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camento-2026" sheetId="1" r:id="rId5"/>
    <sheet state="visible" name="servicos" sheetId="2" r:id="rId6"/>
    <sheet state="visible" name="linkdados" sheetId="3" r:id="rId7"/>
    <sheet state="hidden" name="contatos" sheetId="4" r:id="rId8"/>
    <sheet state="hidden" name="municipios" sheetId="5" r:id="rId9"/>
    <sheet state="hidden" name="clientes" sheetId="6" r:id="rId10"/>
    <sheet state="visible" name="pconfig" sheetId="7" r:id="rId11"/>
    <sheet state="visible" name="regiao" sheetId="8" r:id="rId12"/>
    <sheet state="visible" name="historico-reajuste" sheetId="9" r:id="rId13"/>
    <sheet state="hidden" name="custeio-link" sheetId="10" r:id="rId14"/>
    <sheet state="hidden" name="implantacao" sheetId="11" r:id="rId15"/>
  </sheets>
  <definedNames>
    <definedName localSheetId="10" name="impfibra">implantacao!$A:$V</definedName>
    <definedName name="servicossistemas">servicos!$D$8:$D$163</definedName>
    <definedName localSheetId="0" name="Print_Area">'orcamento-2026'!$A$1:$R$78</definedName>
    <definedName name="municipios">regiao!$A$6:$A$150</definedName>
    <definedName name="indiceclientesimp">implantacao!$B:$B</definedName>
    <definedName name="mesorregioes">regiao!$L$168:$L$173</definedName>
    <definedName hidden="1" localSheetId="1" name="_xlnm._FilterDatabase">servicos!$A$1:$P$165</definedName>
    <definedName hidden="1" localSheetId="2" name="_xlnm._FilterDatabase">linkdados!$A$1:$Q$433</definedName>
    <definedName hidden="1" localSheetId="7" name="_xlnm._FilterDatabase">regiao!$A$5:$H$150</definedName>
  </definedNames>
  <calcPr/>
</workbook>
</file>

<file path=xl/sharedStrings.xml><?xml version="1.0" encoding="utf-8"?>
<sst xmlns="http://schemas.openxmlformats.org/spreadsheetml/2006/main" count="4903" uniqueCount="963">
  <si>
    <t>Área</t>
  </si>
  <si>
    <t>Subárea</t>
  </si>
  <si>
    <t xml:space="preserve"> </t>
  </si>
  <si>
    <t>Codigo</t>
  </si>
  <si>
    <t xml:space="preserve">
EMPRESA DE TECNOLOGIA DA INFORMAÇÃO E COMUNICAÇÃO DO ESTADO DO PARÁ</t>
  </si>
  <si>
    <t>Descrição</t>
  </si>
  <si>
    <t>Tipo</t>
  </si>
  <si>
    <t>Coluna 2</t>
  </si>
  <si>
    <t>Lim inferior</t>
  </si>
  <si>
    <t>Lim Superior</t>
  </si>
  <si>
    <t>Grandeza</t>
  </si>
  <si>
    <t>Preço Pacote</t>
  </si>
  <si>
    <t>Tipo de faturamento</t>
  </si>
  <si>
    <t>Pagamento anual 2025</t>
  </si>
  <si>
    <t>Pagamento anual 2026</t>
  </si>
  <si>
    <t xml:space="preserve">Emissão: </t>
  </si>
  <si>
    <t>Unitário Contrato Cliente</t>
  </si>
  <si>
    <t>Mensal 2025</t>
  </si>
  <si>
    <t>Mensal 2026</t>
  </si>
  <si>
    <r>
      <rPr>
        <rFont val="Arial"/>
        <color theme="1"/>
        <sz val="10.0"/>
      </rPr>
      <t>1 - Comunicação de Dados</t>
    </r>
  </si>
  <si>
    <t>Orçamento nº</t>
  </si>
  <si>
    <t>TELECOM</t>
  </si>
  <si>
    <t>057/2026</t>
  </si>
  <si>
    <t>DADOS DO CLIENTE</t>
  </si>
  <si>
    <t>OCULTAR</t>
  </si>
  <si>
    <t>Implantação de infraestrutura de</t>
  </si>
  <si>
    <t>Contatos</t>
  </si>
  <si>
    <t>Cliente:</t>
  </si>
  <si>
    <t>item</t>
  </si>
  <si>
    <t>MunicIpio</t>
  </si>
  <si>
    <t>Modalidade</t>
  </si>
  <si>
    <t>tecnologias</t>
  </si>
  <si>
    <t>indice</t>
  </si>
  <si>
    <t>Mbps</t>
  </si>
  <si>
    <t>Mesorreg</t>
  </si>
  <si>
    <t>TCE</t>
  </si>
  <si>
    <t>ATENDIDO</t>
  </si>
  <si>
    <t>Regint</t>
  </si>
  <si>
    <t>Degrau</t>
  </si>
  <si>
    <t>UnitTransporte</t>
  </si>
  <si>
    <t>CNPJ:</t>
  </si>
  <si>
    <t>UnitTransFinal</t>
  </si>
  <si>
    <t>Cmanut</t>
  </si>
  <si>
    <t>Cmanutfinal</t>
  </si>
  <si>
    <t>Endereço:</t>
  </si>
  <si>
    <t>Preço Final</t>
  </si>
  <si>
    <t>PvTranporte</t>
  </si>
  <si>
    <t>PvTransportDesc</t>
  </si>
  <si>
    <t>PvFinal</t>
  </si>
  <si>
    <t>Nome:</t>
  </si>
  <si>
    <t>FIBRA</t>
  </si>
  <si>
    <t>Thyago Souza de Andrade</t>
  </si>
  <si>
    <t>Cargo:</t>
  </si>
  <si>
    <t>Configuração, Cabeamento, Equipamento</t>
  </si>
  <si>
    <t>Setor:</t>
  </si>
  <si>
    <t>Pagamento único anual</t>
  </si>
  <si>
    <t>sob consulta</t>
  </si>
  <si>
    <t>E-mail:</t>
  </si>
  <si>
    <t>ABAETETUBA</t>
  </si>
  <si>
    <t>RADIO</t>
  </si>
  <si>
    <t>ALVARION, CALIUM, AIRMUX</t>
  </si>
  <si>
    <t>NORDESTE</t>
  </si>
  <si>
    <r>
      <rPr>
        <rFont val="Arial"/>
        <color theme="1"/>
        <sz val="10.0"/>
      </rPr>
      <t>1 - Comunicação de Dados</t>
    </r>
  </si>
  <si>
    <t>TOCANTINS</t>
  </si>
  <si>
    <t>D2</t>
  </si>
  <si>
    <t>Configuração, Equipamento, Cabeamento</t>
  </si>
  <si>
    <t>Telefone</t>
  </si>
  <si>
    <t>5.1 - INSTALAÇÃO</t>
  </si>
  <si>
    <t>Item</t>
  </si>
  <si>
    <t>Município</t>
  </si>
  <si>
    <t>Região</t>
  </si>
  <si>
    <t>Nome</t>
  </si>
  <si>
    <t>Código</t>
  </si>
  <si>
    <t>Serviço</t>
  </si>
  <si>
    <r>
      <rPr>
        <rFont val="Arial"/>
        <color theme="1"/>
        <sz val="10.0"/>
      </rPr>
      <t>1 - Comunicação de Dados</t>
    </r>
  </si>
  <si>
    <t>Status</t>
  </si>
  <si>
    <t>Incluir</t>
  </si>
  <si>
    <t>Qtd</t>
  </si>
  <si>
    <t>Link de Dados</t>
  </si>
  <si>
    <t>Custo</t>
  </si>
  <si>
    <r>
      <rPr>
        <rFont val="Arial"/>
        <color theme="1"/>
        <sz val="10.0"/>
      </rPr>
      <t>sob consulta</t>
    </r>
  </si>
  <si>
    <t>Mensal</t>
  </si>
  <si>
    <t>METRO, GPON</t>
  </si>
  <si>
    <r>
      <rPr>
        <rFont val="Arial"/>
        <color theme="1"/>
        <sz val="10.0"/>
      </rPr>
      <t>1 - Comunicação de Dados</t>
    </r>
  </si>
  <si>
    <r>
      <rPr>
        <rFont val="Arial"/>
        <color theme="1"/>
        <sz val="10.0"/>
      </rPr>
      <t>sob consulta</t>
    </r>
  </si>
  <si>
    <r>
      <rPr>
        <rFont val="Arial"/>
        <color theme="1"/>
        <sz val="10.0"/>
      </rPr>
      <t>1 - Comunicação de Dados</t>
    </r>
  </si>
  <si>
    <r>
      <rPr>
        <rFont val="Arial"/>
        <color theme="1"/>
        <sz val="10.0"/>
      </rPr>
      <t>Internet</t>
    </r>
  </si>
  <si>
    <t>Internet</t>
  </si>
  <si>
    <t>Ocultar</t>
  </si>
  <si>
    <t>Total</t>
  </si>
  <si>
    <t>Ativação</t>
  </si>
  <si>
    <t>Configuração</t>
  </si>
  <si>
    <t>Desp Adm</t>
  </si>
  <si>
    <t>Com/Sem</t>
  </si>
  <si>
    <t>Reaparelhamento</t>
  </si>
  <si>
    <t>Impostos</t>
  </si>
  <si>
    <t>Coluna 1</t>
  </si>
  <si>
    <t>Coluna 3</t>
  </si>
  <si>
    <t>Coluna 4</t>
  </si>
  <si>
    <t>1 - Comunicação de Dados</t>
  </si>
  <si>
    <r>
      <rPr>
        <rFont val="Arial"/>
        <color theme="1"/>
        <sz val="10.0"/>
      </rPr>
      <t>Internet</t>
    </r>
  </si>
  <si>
    <t>SATELITE</t>
  </si>
  <si>
    <t>TELEBRAS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</si>
  <si>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</si>
  <si>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</si>
  <si>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REGISTRO DE DOMÍNIO</t>
  </si>
  <si>
    <t>-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</si>
  <si>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</si>
  <si>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</si>
  <si>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Locação de Espaço em Disco</t>
    </r>
  </si>
  <si>
    <t>GB</t>
  </si>
  <si>
    <t>ABEL FIGUEIREDO</t>
  </si>
  <si>
    <t>PARAGOMINAS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</si>
  <si>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</si>
  <si>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</si>
  <si>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Hospedagem de Servidor (colocation) - 1U</t>
  </si>
  <si>
    <t>1U</t>
  </si>
  <si>
    <t>U</t>
  </si>
  <si>
    <t>SINE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</si>
  <si>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</si>
  <si>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</si>
  <si>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Hospedagem de Rack de Servidores - 22 U</t>
  </si>
  <si>
    <t>22 U</t>
  </si>
  <si>
    <t>Previsto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</si>
  <si>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</si>
  <si>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</si>
  <si>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Hospedagem de Rack de Servidores (compartilhado) - 44U</t>
  </si>
  <si>
    <t>44 U</t>
  </si>
  <si>
    <t>SUDESTE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</si>
  <si>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</si>
  <si>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</si>
  <si>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Hosped. de Rack de Servidores (exclusivo) - 44 U</t>
  </si>
  <si>
    <t>RIO CAPIM</t>
  </si>
  <si>
    <t>D6</t>
  </si>
  <si>
    <t>ANANINDEUA</t>
  </si>
  <si>
    <t>2 - Data Center</t>
  </si>
  <si>
    <t>Hospedagem</t>
  </si>
  <si>
    <r>
      <rPr>
        <rFont val="Arial"/>
        <color theme="1"/>
        <sz val="10.0"/>
      </rPr>
      <t>Hospedagem de Servidor Storage (colocation)</t>
    </r>
  </si>
  <si>
    <t>Máquina</t>
  </si>
  <si>
    <t>3 - Data Center</t>
  </si>
  <si>
    <r>
      <rPr>
        <rFont val="Arial"/>
        <color theme="1"/>
        <sz val="10.0"/>
      </rPr>
      <t>Hospedagem de Servidor Virtualizado</t>
    </r>
  </si>
  <si>
    <r>
      <rPr>
        <rFont val="Arial"/>
        <color theme="1"/>
        <sz val="10.0"/>
      </rPr>
      <t>sob consulta</t>
    </r>
  </si>
  <si>
    <t>4 - Data Center</t>
  </si>
  <si>
    <r>
      <rPr>
        <rFont val="Arial"/>
        <color theme="1"/>
        <sz val="10.0"/>
      </rPr>
      <t>Hospedagem de Website (5Gb)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</si>
  <si>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</si>
  <si>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</si>
  <si>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Hospedagem de Website (10Gb)</t>
    </r>
  </si>
  <si>
    <t>TOTAL IMPLANTAÇÃO</t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</si>
  <si>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</si>
  <si>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Hospedagem de Website (30Gb)</t>
    </r>
  </si>
  <si>
    <t>5.2 - SERVIÇOS DE TELECOM - LINK DE DADOS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</si>
  <si>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</si>
  <si>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</si>
  <si>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Hospedagem de Website (50Gb)</t>
    </r>
  </si>
  <si>
    <t>Unidade</t>
  </si>
  <si>
    <t>Tabela-ano</t>
  </si>
  <si>
    <t>Total Mensal c/ Reajuste</t>
  </si>
  <si>
    <t>Unitário</t>
  </si>
  <si>
    <t>Preço Manutenção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</si>
  <si>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</si>
  <si>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</si>
  <si>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Mensal 2021</t>
  </si>
  <si>
    <t>Mensal 2022</t>
  </si>
  <si>
    <r>
      <rPr>
        <rFont val="Arial"/>
        <color theme="1"/>
        <sz val="10.0"/>
      </rPr>
      <t>Hospedagem de Website (100Gb)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</si>
  <si>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</si>
  <si>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</si>
  <si>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Mensal 2023</t>
  </si>
  <si>
    <t>Mensal 2024</t>
  </si>
  <si>
    <t>2026-reg</t>
  </si>
  <si>
    <r>
      <rPr>
        <rFont val="Arial"/>
        <color theme="1"/>
        <sz val="10.0"/>
      </rPr>
      <t>Conta de Email (1Gb) 1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</si>
  <si>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</si>
  <si>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</si>
  <si>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(1Gb) 25 Cx</t>
    </r>
  </si>
  <si>
    <t>BELEM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</si>
  <si>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</si>
  <si>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</si>
  <si>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(1Gb) 50 Cx</t>
    </r>
  </si>
  <si>
    <t>CIIC</t>
  </si>
  <si>
    <t>Ativo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</si>
  <si>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</si>
  <si>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</si>
  <si>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(1Gb) 100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</si>
  <si>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</si>
  <si>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</si>
  <si>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</si>
  <si>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</si>
  <si>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</si>
  <si>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</si>
  <si>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</si>
  <si>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</si>
  <si>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(2Gb) 1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</si>
  <si>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</si>
  <si>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</si>
  <si>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(2Gb) 25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</si>
  <si>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</si>
  <si>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</si>
  <si>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(2Gb) 50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</si>
  <si>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</si>
  <si>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</si>
  <si>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(2Gb) 100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</si>
  <si>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</si>
  <si>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</si>
  <si>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</si>
  <si>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</si>
  <si>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</si>
  <si>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</si>
  <si>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</si>
  <si>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</si>
  <si>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(5Gb) 1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</si>
  <si>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</si>
  <si>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</si>
  <si>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(5Gb) 25 Cx</t>
    </r>
  </si>
  <si>
    <t>SANTAREM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</si>
  <si>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</si>
  <si>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</si>
  <si>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(5Gb) 50 Cx</t>
    </r>
  </si>
  <si>
    <t>ABRIGO LAR DA PROVIDENCIA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</si>
  <si>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</si>
  <si>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</si>
  <si>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(5Gb) 100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</si>
  <si>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</si>
  <si>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</si>
  <si>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(5Gb)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</si>
  <si>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</si>
  <si>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</si>
  <si>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(5Gb)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</si>
  <si>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</si>
  <si>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</si>
  <si>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(10Gb) 1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</si>
  <si>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</si>
  <si>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</si>
  <si>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(10Gb) 25 Cx</t>
    </r>
  </si>
  <si>
    <t>ACARA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</si>
  <si>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</si>
  <si>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</si>
  <si>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D4</t>
  </si>
  <si>
    <r>
      <rPr>
        <rFont val="Arial"/>
        <color theme="1"/>
        <sz val="10.0"/>
      </rPr>
      <t>Conta de Email (10Gb) 50 Cx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</si>
  <si>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</si>
  <si>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</si>
  <si>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theme="1"/>
        <sz val="10.0"/>
      </rPr>
      <t>Conta de Email (10Gb) 100 Cx</t>
    </r>
  </si>
  <si>
    <t>ABRIGO SOCORRO GABRIEL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</si>
  <si>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</si>
  <si>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</si>
  <si>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(10Gb)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</si>
  <si>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</si>
  <si>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</si>
  <si>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(10Gb)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</si>
  <si>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</si>
  <si>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</si>
  <si>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(15Gb) 1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</si>
  <si>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</si>
  <si>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</si>
  <si>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(15Gb) 25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</si>
  <si>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</si>
  <si>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</si>
  <si>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AFUA</t>
  </si>
  <si>
    <r>
      <rPr>
        <rFont val="Arial"/>
        <color rgb="FF000000"/>
        <sz val="10.0"/>
      </rPr>
      <t xml:space="preserve">Conta de Email (15Gb) 50 Cx </t>
    </r>
    <r>
      <rPr>
        <rFont val="Arial"/>
        <b/>
        <color rgb="FF0000FF"/>
        <sz val="10.0"/>
      </rPr>
      <t>NOVO</t>
    </r>
  </si>
  <si>
    <t>PADRE EUTÍQUIO</t>
  </si>
  <si>
    <t>MARAJÓ</t>
  </si>
  <si>
    <t>D7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</si>
  <si>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</si>
  <si>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</si>
  <si>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(15Gb) 100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</si>
  <si>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</si>
  <si>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</si>
  <si>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(15Gb)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</si>
  <si>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</si>
  <si>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</si>
  <si>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(15Gb)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</si>
  <si>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</si>
  <si>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</si>
  <si>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(20Gb) 1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</si>
  <si>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</si>
  <si>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</si>
  <si>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(20Gb) 25 Cx </t>
    </r>
    <r>
      <rPr>
        <rFont val="Arial"/>
        <b/>
        <color rgb="FF0000FF"/>
        <sz val="10.0"/>
      </rPr>
      <t>NOVO</t>
    </r>
  </si>
  <si>
    <t>SEDE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</si>
  <si>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</si>
  <si>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</si>
  <si>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AGUA AZUL DO NORTE</t>
  </si>
  <si>
    <r>
      <rPr>
        <rFont val="Arial"/>
        <color rgb="FF000000"/>
        <sz val="10.0"/>
      </rPr>
      <t xml:space="preserve">Conta de Email (20Gb) 50 Cx </t>
    </r>
    <r>
      <rPr>
        <rFont val="Arial"/>
        <b/>
        <color rgb="FF0000FF"/>
        <sz val="10.0"/>
      </rPr>
      <t>NOVO</t>
    </r>
  </si>
  <si>
    <t>ARAGUAIA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</si>
  <si>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</si>
  <si>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</si>
  <si>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(20Gb) 100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</si>
  <si>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</si>
  <si>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</si>
  <si>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(20Gb)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</si>
  <si>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</si>
  <si>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</si>
  <si>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(20Gb)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</si>
  <si>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</si>
  <si>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</si>
  <si>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(25Gb) 1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</si>
  <si>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</si>
  <si>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</si>
  <si>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(25Gb) 25 Cx </t>
    </r>
    <r>
      <rPr>
        <rFont val="Arial"/>
        <b/>
        <color rgb="FF0000FF"/>
        <sz val="10.0"/>
      </rPr>
      <t>NOVO</t>
    </r>
  </si>
  <si>
    <t>ALENQUER</t>
  </si>
  <si>
    <t>BAIXO AMAZONAS</t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</si>
  <si>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</si>
  <si>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</si>
  <si>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(25Gb) 50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</si>
  <si>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</si>
  <si>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</si>
  <si>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(25Gb) 100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</si>
  <si>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</si>
  <si>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</si>
  <si>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(25Gb)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</si>
  <si>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</si>
  <si>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</si>
  <si>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(25Gb)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</si>
  <si>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</si>
  <si>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</si>
  <si>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(30Gb) 1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</si>
  <si>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</si>
  <si>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</si>
  <si>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(30Gb) 25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</si>
  <si>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</si>
  <si>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</si>
  <si>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(30Gb) 50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</si>
  <si>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</si>
  <si>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</si>
  <si>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(30Gb) 100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</si>
  <si>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</si>
  <si>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</si>
  <si>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t>ALMEIRIM</t>
  </si>
  <si>
    <r>
      <rPr>
        <rFont val="Arial"/>
        <color rgb="FF000000"/>
        <sz val="10.0"/>
      </rPr>
      <t xml:space="preserve">Conta de Email (30Gb) 500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</si>
  <si>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2 - Data Center</t>
    </r>
  </si>
  <si>
    <r>
      <rPr>
        <rFont val="Arial"/>
        <color theme="1"/>
        <sz val="10.0"/>
      </rPr>
      <t>Hospedagem</t>
    </r>
  </si>
  <si>
    <r>
      <rPr>
        <rFont val="Arial"/>
        <color rgb="FF000000"/>
        <sz val="10.0"/>
      </rPr>
      <t xml:space="preserve">Conta de Email (30Gb) 1000 Cx </t>
    </r>
    <r>
      <rPr>
        <rFont val="Arial"/>
        <b/>
        <color rgb="FF0000FF"/>
        <sz val="10.0"/>
      </rPr>
      <t>NOVO</t>
    </r>
  </si>
  <si>
    <r>
      <rPr>
        <rFont val="Arial"/>
        <color theme="1"/>
        <sz val="10.0"/>
      </rPr>
      <t>3 - Impressão Corporativa</t>
    </r>
  </si>
  <si>
    <r>
      <rPr>
        <rFont val="Arial"/>
        <color theme="1"/>
        <sz val="10.0"/>
      </rPr>
      <t>Carteiras e Crachás</t>
    </r>
  </si>
  <si>
    <r>
      <rPr>
        <rFont val="Arial"/>
        <color theme="1"/>
        <sz val="10.0"/>
      </rPr>
      <t>Emissão de cartão/carteira/crachá pvc (com tratamento)</t>
    </r>
  </si>
  <si>
    <t>Cartão</t>
  </si>
  <si>
    <t>Sob demanda</t>
  </si>
  <si>
    <r>
      <rPr>
        <rFont val="Arial"/>
        <color theme="1"/>
        <sz val="10.0"/>
      </rPr>
      <t>3 - Impressão Corporativa</t>
    </r>
  </si>
  <si>
    <r>
      <rPr>
        <rFont val="Arial"/>
        <color theme="1"/>
        <sz val="10.0"/>
      </rPr>
      <t>Carteiras e Crachás</t>
    </r>
  </si>
  <si>
    <r>
      <rPr>
        <rFont val="Arial"/>
        <color theme="1"/>
        <sz val="10.0"/>
      </rPr>
      <t>Emissão de cartão/carteira/crachá pvc (sem tratamento)</t>
    </r>
  </si>
  <si>
    <t>D3</t>
  </si>
  <si>
    <r>
      <rPr>
        <rFont val="Arial"/>
        <color theme="1"/>
        <sz val="10.0"/>
      </rPr>
      <t>3 - Impressão Corporativa</t>
    </r>
  </si>
  <si>
    <r>
      <rPr>
        <rFont val="Arial"/>
        <color theme="1"/>
        <sz val="10.0"/>
      </rPr>
      <t>Impressão e Envelopamento</t>
    </r>
  </si>
  <si>
    <r>
      <rPr>
        <rFont val="Arial"/>
        <color theme="1"/>
        <sz val="10.0"/>
      </rPr>
      <t>Envelopamento papel A4</t>
    </r>
  </si>
  <si>
    <t>Página</t>
  </si>
  <si>
    <r>
      <rPr>
        <rFont val="Arial"/>
        <color theme="1"/>
        <sz val="10.0"/>
      </rPr>
      <t>3 - Impressão Corporativa</t>
    </r>
  </si>
  <si>
    <r>
      <rPr>
        <rFont val="Arial"/>
        <color theme="1"/>
        <sz val="10.0"/>
      </rPr>
      <t>Impressão e Envelopamento</t>
    </r>
  </si>
  <si>
    <r>
      <rPr>
        <rFont val="Arial"/>
        <color theme="1"/>
        <sz val="10.0"/>
      </rPr>
      <t>Impressão – A4 Simplex Preto e Branco</t>
    </r>
  </si>
  <si>
    <r>
      <rPr>
        <rFont val="Arial"/>
        <color theme="1"/>
        <sz val="10.0"/>
      </rPr>
      <t>3 - Impressão Corporativa</t>
    </r>
  </si>
  <si>
    <r>
      <rPr>
        <rFont val="Arial"/>
        <color theme="1"/>
        <sz val="10.0"/>
      </rPr>
      <t>Impressão e Envelopamento</t>
    </r>
  </si>
  <si>
    <r>
      <rPr>
        <rFont val="Arial"/>
        <color theme="1"/>
        <sz val="10.0"/>
      </rPr>
      <t>Impressão – A4 Simplex Colorida</t>
    </r>
  </si>
  <si>
    <r>
      <rPr>
        <rFont val="Arial"/>
        <color theme="1"/>
        <sz val="10.0"/>
      </rPr>
      <t>3 - Impressão Corporativa</t>
    </r>
  </si>
  <si>
    <r>
      <rPr>
        <rFont val="Arial"/>
        <color theme="1"/>
        <sz val="10.0"/>
      </rPr>
      <t>Impressão e Envelopamento</t>
    </r>
  </si>
  <si>
    <r>
      <rPr>
        <rFont val="Arial"/>
        <color theme="1"/>
        <sz val="10.0"/>
      </rPr>
      <t>Impressão – A4 Duplex Preto e Branco</t>
    </r>
  </si>
  <si>
    <r>
      <rPr>
        <rFont val="Arial"/>
        <color theme="1"/>
        <sz val="10.0"/>
      </rPr>
      <t>3 - Impressão Corporativa</t>
    </r>
  </si>
  <si>
    <r>
      <rPr>
        <rFont val="Arial"/>
        <color theme="1"/>
        <sz val="10.0"/>
      </rPr>
      <t>Impressão e Envelopamento</t>
    </r>
  </si>
  <si>
    <r>
      <rPr>
        <rFont val="Arial"/>
        <color theme="1"/>
        <sz val="10.0"/>
      </rPr>
      <t>Impressão – A4 Duplex Colorida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</si>
  <si>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</si>
  <si>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Preparação do acervo</t>
    </r>
  </si>
  <si>
    <r>
      <rPr>
        <rFont val="Arial"/>
        <color theme="1"/>
        <sz val="10.0"/>
      </rPr>
      <t>Preparação do acervo</t>
    </r>
  </si>
  <si>
    <t>Preparação</t>
  </si>
  <si>
    <t>CASTANHAL</t>
  </si>
  <si>
    <r>
      <rPr>
        <rFont val="Arial"/>
        <color theme="1"/>
        <sz val="10.0"/>
      </rPr>
      <t>4- Microfilmagem e Digitalização</t>
    </r>
  </si>
  <si>
    <t>CRAS</t>
  </si>
  <si>
    <r>
      <rPr>
        <rFont val="Arial"/>
        <color theme="1"/>
        <sz val="10.0"/>
      </rPr>
      <t>Microfilmagem de Documentos 16mm</t>
    </r>
  </si>
  <si>
    <r>
      <rPr>
        <rFont val="Arial"/>
        <color theme="1"/>
        <sz val="10.0"/>
      </rPr>
      <t>Microfilmagem 16mm (até 100.000)</t>
    </r>
  </si>
  <si>
    <t>Fotograma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</si>
  <si>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</si>
  <si>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de Documentos 16mm</t>
    </r>
  </si>
  <si>
    <r>
      <rPr>
        <rFont val="Arial"/>
        <color theme="1"/>
        <sz val="10.0"/>
      </rPr>
      <t>Microfilmagem 16mm (até 1.000.000)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</si>
  <si>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</si>
  <si>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de Documentos 16mm</t>
    </r>
  </si>
  <si>
    <r>
      <rPr>
        <rFont val="Arial"/>
        <color theme="1"/>
        <sz val="10.0"/>
      </rPr>
      <t>Microfilmagem 16mm (até 2.000.000)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</si>
  <si>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</si>
  <si>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de Documentos 16mm</t>
    </r>
  </si>
  <si>
    <r>
      <rPr>
        <rFont val="Arial"/>
        <color theme="1"/>
        <sz val="10.0"/>
      </rPr>
      <t>Microfilmagem 16mm (acima de 2.000.000)</t>
    </r>
  </si>
  <si>
    <t>ALTAMIRA</t>
  </si>
  <si>
    <t>SUDOESTE</t>
  </si>
  <si>
    <t>XINGU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</si>
  <si>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</si>
  <si>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de Documentos 35mm</t>
    </r>
  </si>
  <si>
    <r>
      <rPr>
        <rFont val="Arial"/>
        <color theme="1"/>
        <sz val="10.0"/>
      </rPr>
      <t>Microfilmagem 35mm (até 100.000)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</si>
  <si>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</si>
  <si>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de Documentos 35mm</t>
    </r>
  </si>
  <si>
    <r>
      <rPr>
        <rFont val="Arial"/>
        <color theme="1"/>
        <sz val="10.0"/>
      </rPr>
      <t>Microfilmagem 35mm (até 1.000.000)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</si>
  <si>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</si>
  <si>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de Documentos 35mm</t>
    </r>
  </si>
  <si>
    <r>
      <rPr>
        <rFont val="Arial"/>
        <color theme="1"/>
        <sz val="10.0"/>
      </rPr>
      <t>Microfilmagem 35mm (até 2.000.000)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</si>
  <si>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</si>
  <si>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de Documentos 35mm</t>
    </r>
  </si>
  <si>
    <r>
      <rPr>
        <rFont val="Arial"/>
        <color theme="1"/>
        <sz val="10.0"/>
      </rPr>
      <t>Microfilmagem 35mm (acima de 2.000.000)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</si>
  <si>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</si>
  <si>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16mm</t>
    </r>
  </si>
  <si>
    <r>
      <rPr>
        <rFont val="Arial"/>
        <color theme="1"/>
        <sz val="10.0"/>
      </rPr>
      <t>Microfilmagem e Digitalização 16mm (até 100.000)</t>
    </r>
  </si>
  <si>
    <t>ANAJAS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</si>
  <si>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</si>
  <si>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16mm</t>
    </r>
  </si>
  <si>
    <r>
      <rPr>
        <rFont val="Arial"/>
        <color theme="1"/>
        <sz val="10.0"/>
      </rPr>
      <t>Microfilmagem e Digitalização 16mm (até 1.000.000)</t>
    </r>
  </si>
  <si>
    <t>TAILANDIA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</si>
  <si>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</si>
  <si>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16mm</t>
    </r>
  </si>
  <si>
    <r>
      <rPr>
        <rFont val="Arial"/>
        <color theme="1"/>
        <sz val="10.0"/>
      </rPr>
      <t>Microfilmagem e Digitalização 16mm (até 2.000.000)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</si>
  <si>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</si>
  <si>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16mm</t>
    </r>
  </si>
  <si>
    <t>Microfilmagem e Digitalização 16mm (acima de 2.000.000)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</si>
  <si>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</si>
  <si>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35mm</t>
    </r>
  </si>
  <si>
    <r>
      <rPr>
        <rFont val="Arial"/>
        <color theme="1"/>
        <sz val="10.0"/>
      </rPr>
      <t>Microfilmagem e Digitalização 35mm (até 100.000)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</si>
  <si>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</si>
  <si>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35mm</t>
    </r>
  </si>
  <si>
    <r>
      <rPr>
        <rFont val="Arial"/>
        <color theme="1"/>
        <sz val="10.0"/>
      </rPr>
      <t>Microfilmagem e Digitalização 35mm (até 1.000.000)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</si>
  <si>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</si>
  <si>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35mm</t>
    </r>
  </si>
  <si>
    <t>Microfilmagem e Digitalização 35mm (até 2.000.000)</t>
  </si>
  <si>
    <t>METROPOLITANA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</si>
  <si>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</si>
  <si>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Microfilmagem e Digitalização 35mm</t>
    </r>
  </si>
  <si>
    <t>GUAJARÁ (RMB)</t>
  </si>
  <si>
    <t>Microfilmagem e Digitalização 35mm (acima de 2.000.000)</t>
  </si>
  <si>
    <t>D1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</si>
  <si>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</si>
  <si>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Digitalização de Documento</t>
    </r>
  </si>
  <si>
    <r>
      <rPr>
        <rFont val="Arial"/>
        <color theme="1"/>
        <sz val="10.0"/>
      </rPr>
      <t>Digitalização de Documento</t>
    </r>
  </si>
  <si>
    <t>documento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</si>
  <si>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</si>
  <si>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Digitalização de Fotograma 16mm</t>
    </r>
  </si>
  <si>
    <r>
      <rPr>
        <rFont val="Arial"/>
        <color theme="1"/>
        <sz val="10.0"/>
      </rPr>
      <t>Digitalização de Fotograma 16mm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</si>
  <si>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</si>
  <si>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Digitalização de Fotograma 35mm</t>
    </r>
  </si>
  <si>
    <r>
      <rPr>
        <rFont val="Arial"/>
        <color theme="1"/>
        <sz val="10.0"/>
      </rPr>
      <t>Digitalização de Fotograma 35mm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</si>
  <si>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</si>
  <si>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Licença do sistema INDEXA</t>
    </r>
  </si>
  <si>
    <r>
      <rPr>
        <rFont val="Arial"/>
        <color theme="1"/>
        <sz val="10.0"/>
      </rPr>
      <t>Licença do sistema INDEXA – mensal</t>
    </r>
  </si>
  <si>
    <t>Licença de software</t>
  </si>
  <si>
    <t>ANAPU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</si>
  <si>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</si>
  <si>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Armazenamento de Imagem Digital - Novo</t>
    </r>
  </si>
  <si>
    <r>
      <rPr>
        <rFont val="Arial"/>
        <color theme="1"/>
        <sz val="10.0"/>
      </rPr>
      <t>Armazenamento de Imagem Digital até 80 GB</t>
    </r>
  </si>
  <si>
    <t>80GB</t>
  </si>
  <si>
    <t>ANO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</si>
  <si>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</si>
  <si>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Armazenamento de Imagem Digital - Novo</t>
    </r>
  </si>
  <si>
    <r>
      <rPr>
        <rFont val="Arial"/>
        <color theme="1"/>
        <sz val="10.0"/>
      </rPr>
      <t>Armazenamento de Imagem Digital até 160 GB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</si>
  <si>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</si>
  <si>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Armazenamento de Imagem Digital - Novo</t>
    </r>
  </si>
  <si>
    <r>
      <rPr>
        <rFont val="Arial"/>
        <color theme="1"/>
        <sz val="10.0"/>
      </rPr>
      <t>Armazenamento de Imagem Digital até 240 GB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</si>
  <si>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</si>
  <si>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Armazenamento de Imagem Digital - Novo</t>
    </r>
  </si>
  <si>
    <r>
      <rPr>
        <rFont val="Arial"/>
        <color theme="1"/>
        <sz val="10.0"/>
      </rPr>
      <t>Armazenamento de Imagem Digital até 320 GB</t>
    </r>
  </si>
  <si>
    <r>
      <rPr>
        <rFont val="Arial"/>
        <color theme="1"/>
        <sz val="10.0"/>
      </rPr>
      <t>4- Microfilmagem e Digitalização</t>
    </r>
  </si>
  <si>
    <t>IGP-M (%)</t>
  </si>
  <si>
    <r>
      <rPr>
        <rFont val="Arial"/>
        <color theme="1"/>
        <sz val="10.0"/>
      </rPr>
      <t>Armazenamento de Imagem Digital Legada</t>
    </r>
  </si>
  <si>
    <r>
      <rPr>
        <rFont val="Arial"/>
        <color theme="1"/>
        <sz val="10.0"/>
      </rPr>
      <t>Armazenamento de Imagem Digital Legada</t>
    </r>
  </si>
  <si>
    <t>%</t>
  </si>
  <si>
    <t>Taxa Administrativa</t>
  </si>
  <si>
    <t>Quadro para validações de dados</t>
  </si>
  <si>
    <t>ATIVO</t>
  </si>
  <si>
    <t>PREVISTO</t>
  </si>
  <si>
    <t>Fibra, Radio</t>
  </si>
  <si>
    <t>METRO</t>
  </si>
  <si>
    <t>GPON</t>
  </si>
  <si>
    <t>Fibra</t>
  </si>
  <si>
    <r>
      <rPr>
        <rFont val="Arial"/>
        <color theme="1"/>
        <sz val="10.0"/>
      </rPr>
      <t>4- Microfilmagem e Digitalização</t>
    </r>
  </si>
  <si>
    <t>AIRMUX</t>
  </si>
  <si>
    <t>ALVARION</t>
  </si>
  <si>
    <t>CALLIUM</t>
  </si>
  <si>
    <r>
      <rPr>
        <rFont val="Arial"/>
        <color theme="1"/>
        <sz val="10.0"/>
      </rPr>
      <t>Armazenamento de Microfilme - Novo</t>
    </r>
  </si>
  <si>
    <t>Radio</t>
  </si>
  <si>
    <t>Armazenamento de Rolo Microfilme - Novo</t>
  </si>
  <si>
    <t>Rolo</t>
  </si>
  <si>
    <t>Deslocamento Equipe</t>
  </si>
  <si>
    <t>Link</t>
  </si>
  <si>
    <t>Link + internet</t>
  </si>
  <si>
    <t>LimInf</t>
  </si>
  <si>
    <t>LimSup</t>
  </si>
  <si>
    <t>Desconto</t>
  </si>
  <si>
    <t>Instalação de equipamento</t>
  </si>
  <si>
    <t>Desinstalação de equipamento</t>
  </si>
  <si>
    <r>
      <rPr>
        <rFont val="Arial"/>
        <color theme="1"/>
        <sz val="10.0"/>
      </rPr>
      <t>4- Microfilmagem e Digitalização</t>
    </r>
  </si>
  <si>
    <t>Serviço de Instalação de armário hermético</t>
  </si>
  <si>
    <r>
      <rPr>
        <rFont val="Arial"/>
        <color theme="1"/>
        <sz val="10.0"/>
      </rPr>
      <t>Armazenamento de Microfilme - Legado</t>
    </r>
  </si>
  <si>
    <r>
      <rPr>
        <rFont val="Arial"/>
        <color theme="1"/>
        <sz val="10.0"/>
      </rPr>
      <t>Armazenamento de Rolo Microfilme - Legado</t>
    </r>
  </si>
  <si>
    <t>Internet (Mbps)</t>
  </si>
  <si>
    <t>Velocidades</t>
  </si>
  <si>
    <t>Unidade de medida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</si>
  <si>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</si>
  <si>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16mm</t>
    </r>
  </si>
  <si>
    <r>
      <rPr>
        <rFont val="Arial"/>
        <color theme="1"/>
        <sz val="10.0"/>
      </rPr>
      <t>Impressão de Fotograma 16mm (até 100.000)</t>
    </r>
  </si>
  <si>
    <t>Gbps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</si>
  <si>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</si>
  <si>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16mm</t>
    </r>
  </si>
  <si>
    <r>
      <rPr>
        <rFont val="Arial"/>
        <color theme="1"/>
        <sz val="10.0"/>
      </rPr>
      <t>Impressão de Fotograma 16mm (até 1.000.000)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</si>
  <si>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</si>
  <si>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16mm</t>
    </r>
  </si>
  <si>
    <r>
      <rPr>
        <rFont val="Arial"/>
        <color theme="1"/>
        <sz val="10.0"/>
      </rPr>
      <t>Impressão de Fotograma 16mm (até 2.000.000)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</si>
  <si>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</si>
  <si>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16mm</t>
    </r>
  </si>
  <si>
    <t>AUGUSTO CORREA</t>
  </si>
  <si>
    <r>
      <rPr>
        <rFont val="Arial"/>
        <color theme="1"/>
        <sz val="10.0"/>
      </rPr>
      <t>Impressão de Fotograma 16mm (acima de 2.000.000)</t>
    </r>
  </si>
  <si>
    <t>RIO CAETÉ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</si>
  <si>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</si>
  <si>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35mm</t>
    </r>
  </si>
  <si>
    <r>
      <rPr>
        <rFont val="Arial"/>
        <color theme="1"/>
        <sz val="10.0"/>
      </rPr>
      <t>Impressão de Fotograma 35mm (até 100.000)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</si>
  <si>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</si>
  <si>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35mm</t>
    </r>
  </si>
  <si>
    <r>
      <rPr>
        <rFont val="Arial"/>
        <color theme="1"/>
        <sz val="10.0"/>
      </rPr>
      <t>Impressão de Fotograma 35mm (até 1.000.000)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</si>
  <si>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</si>
  <si>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35mm</t>
    </r>
  </si>
  <si>
    <r>
      <rPr>
        <rFont val="Arial"/>
        <color theme="1"/>
        <sz val="10.0"/>
      </rPr>
      <t>Impressão de Fotograma 35mm (até 2.000.000)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</si>
  <si>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</si>
  <si>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Impressão de fotograma 35mm</t>
    </r>
  </si>
  <si>
    <r>
      <rPr>
        <rFont val="Arial"/>
        <color theme="1"/>
        <sz val="10.0"/>
      </rPr>
      <t>Impressão de Fotograma 35mm (acima de 2.000.000)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</si>
  <si>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</si>
  <si>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Duplicação Rolo Microfilme</t>
    </r>
  </si>
  <si>
    <r>
      <rPr>
        <rFont val="Arial"/>
        <color theme="1"/>
        <sz val="10.0"/>
      </rPr>
      <t>Duplicação Rolo Microfilme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</si>
  <si>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</si>
  <si>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Duplicação Rolo Microfilme 16mm c/ Material</t>
    </r>
  </si>
  <si>
    <r>
      <rPr>
        <rFont val="Arial"/>
        <color theme="1"/>
        <sz val="10.0"/>
      </rPr>
      <t>Duplicação Rolo Microfilme c/ Material (16mm)</t>
    </r>
  </si>
  <si>
    <t>AURORA DO PARA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</si>
  <si>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</si>
  <si>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Duplicação Rolo Microfilme 35mm c/ Material</t>
    </r>
  </si>
  <si>
    <r>
      <rPr>
        <rFont val="Arial"/>
        <color theme="1"/>
        <sz val="10.0"/>
      </rPr>
      <t>Duplicação rolo Microfilme c/ Material (35mm)</t>
    </r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</si>
  <si>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</si>
  <si>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Processamento de Negativo 16 mm</t>
    </r>
  </si>
  <si>
    <r>
      <rPr>
        <rFont val="Arial"/>
        <color theme="1"/>
        <sz val="10.0"/>
      </rPr>
      <t>Processamento de Negativo 16 mm</t>
    </r>
  </si>
  <si>
    <t>TOTAL MENSAL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</si>
  <si>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</si>
  <si>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Processamento de Negativo 35 mm</t>
    </r>
  </si>
  <si>
    <r>
      <rPr>
        <rFont val="Arial"/>
        <color theme="1"/>
        <sz val="10.0"/>
      </rPr>
      <t>Processamento de Negativo 35 mm</t>
    </r>
  </si>
  <si>
    <r>
      <rPr>
        <rFont val="Arial"/>
        <color theme="1"/>
        <sz val="10.0"/>
      </rPr>
      <t>4- Microfilmagem e Digitalização</t>
    </r>
  </si>
  <si>
    <t>Aluguel de Leitor/Copiador - Mensal</t>
  </si>
  <si>
    <r>
      <rPr>
        <rFont val="Arial"/>
        <color theme="1"/>
        <sz val="10.0"/>
      </rPr>
      <t>Leitor/Copiador</t>
    </r>
  </si>
  <si>
    <t>Equipamento</t>
  </si>
  <si>
    <t>Mensal, Pagamento único anual</t>
  </si>
  <si>
    <r>
      <rPr>
        <rFont val="Arial"/>
        <color theme="1"/>
        <sz val="10.0"/>
      </rPr>
      <t>4- Microfilmagem e Digitalização</t>
    </r>
  </si>
  <si>
    <r>
      <rPr>
        <rFont val="Arial"/>
        <color theme="1"/>
        <sz val="10.0"/>
      </rPr>
      <t>Aluguel de Scanner de mesa - Mensal</t>
    </r>
  </si>
  <si>
    <r>
      <rPr>
        <rFont val="Arial"/>
        <color theme="1"/>
        <sz val="10.0"/>
      </rPr>
      <t>Scanner de mesa</t>
    </r>
  </si>
  <si>
    <t>TOTAL ANUAL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</si>
  <si>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</si>
  <si>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Infraestrutura Computacional</t>
    </r>
  </si>
  <si>
    <r>
      <rPr>
        <rFont val="Arial"/>
        <color theme="1"/>
        <sz val="10.0"/>
      </rPr>
      <t>Ativação de Link</t>
    </r>
  </si>
  <si>
    <t>Suporte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</si>
  <si>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</si>
  <si>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Locação de Equipamentos</t>
    </r>
  </si>
  <si>
    <r>
      <rPr>
        <rFont val="Arial"/>
        <color theme="1"/>
        <sz val="10.0"/>
      </rPr>
      <t>Locação de Gbic</t>
    </r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</si>
  <si>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</si>
  <si>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Locação de Equipamentos</t>
    </r>
  </si>
  <si>
    <r>
      <rPr>
        <rFont val="Arial"/>
        <color theme="1"/>
        <sz val="10.0"/>
      </rPr>
      <t>Locação de Switch</t>
    </r>
  </si>
  <si>
    <t>5.3 - SERVIÇOS DE INTERNET</t>
  </si>
  <si>
    <t>Região de Integração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</si>
  <si>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</si>
  <si>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Locação de Equipamentos</t>
    </r>
  </si>
  <si>
    <r>
      <rPr>
        <rFont val="Arial"/>
        <color theme="1"/>
        <sz val="10.0"/>
      </rPr>
      <t>Locação de Servidor Físico</t>
    </r>
  </si>
  <si>
    <t>Incluir reajuste</t>
  </si>
  <si>
    <t>AVEIRO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</si>
  <si>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</si>
  <si>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Locação de Equipamentos</t>
    </r>
  </si>
  <si>
    <r>
      <rPr>
        <rFont val="Arial"/>
        <color theme="1"/>
        <sz val="10.0"/>
      </rPr>
      <t>Locação de Rádio Cliente</t>
    </r>
  </si>
  <si>
    <t>TAPAJÓS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</si>
  <si>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</si>
  <si>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Locação de Equipamentos</t>
    </r>
  </si>
  <si>
    <r>
      <rPr>
        <rFont val="Arial"/>
        <color theme="1"/>
        <sz val="10.0"/>
      </rPr>
      <t>Locação de Rádio Servidor</t>
    </r>
  </si>
  <si>
    <t>Tabela 2026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</si>
  <si>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</si>
  <si>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Locação de Equipamentos</t>
    </r>
  </si>
  <si>
    <r>
      <rPr>
        <rFont val="Arial"/>
        <color theme="1"/>
        <sz val="10.0"/>
      </rPr>
      <t>Locação de Roteador</t>
    </r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</si>
  <si>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</si>
  <si>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Manutenção da Rede</t>
    </r>
  </si>
  <si>
    <t>Manutenção da Rede Metrogepa -</t>
  </si>
  <si>
    <t>SERVIÇOS DE TI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</si>
  <si>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</si>
  <si>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</si>
  <si>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theme="1"/>
        <sz val="10.0"/>
      </rPr>
      <t>Serviço de VPN com instalação</t>
    </r>
  </si>
  <si>
    <r>
      <rPr>
        <rFont val="Arial"/>
        <color theme="1"/>
        <sz val="10.0"/>
      </rPr>
      <t>Serviço</t>
    </r>
  </si>
  <si>
    <t>Tabela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</si>
  <si>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</si>
  <si>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</si>
  <si>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theme="1"/>
        <sz val="10.0"/>
      </rPr>
      <t>Instalação de Servidor Firewall</t>
    </r>
  </si>
  <si>
    <t>Sede</t>
  </si>
  <si>
    <t>Business Intelligence Web - B.I.</t>
  </si>
  <si>
    <t>BAGRE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</si>
  <si>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</si>
  <si>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</si>
  <si>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t>Contrato Cliente</t>
  </si>
  <si>
    <r>
      <rPr>
        <rFont val="Arial"/>
        <color theme="1"/>
        <sz val="10.0"/>
      </rPr>
      <t>Instalação de Servidor de Domínio</t>
    </r>
  </si>
  <si>
    <t>SAO FELIX DO XINGU</t>
  </si>
  <si>
    <t>Preço Mpbs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</si>
  <si>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</si>
  <si>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</si>
  <si>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t>Configuração de Equipamento de Rede (SWITCH) - MPLS</t>
  </si>
  <si>
    <t>INFRA</t>
  </si>
  <si>
    <t>MUNICÍPIO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</si>
  <si>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</si>
  <si>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</si>
  <si>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t>BACKBONE</t>
  </si>
  <si>
    <t>ULTIMA MILHA</t>
  </si>
  <si>
    <r>
      <rPr>
        <rFont val="Arial"/>
        <color rgb="FF000000"/>
        <sz val="10.0"/>
      </rPr>
      <t xml:space="preserve">Blocos do Ender.(IP's)  /29  </t>
    </r>
    <r>
      <rPr>
        <rFont val="Arial"/>
        <b/>
        <color rgb="FF0000FF"/>
        <sz val="10.0"/>
      </rPr>
      <t>(NOVO)</t>
    </r>
  </si>
  <si>
    <t>MUNICÍPIOS</t>
  </si>
  <si>
    <r>
      <rPr>
        <rFont val="Arial"/>
        <color theme="1"/>
        <sz val="10.0"/>
      </rPr>
      <t>IP _255.255.255.248</t>
    </r>
  </si>
  <si>
    <t>MESORREGIÃO</t>
  </si>
  <si>
    <t>REGIAO_INTEGRACAO</t>
  </si>
  <si>
    <t>Atualização</t>
  </si>
  <si>
    <t>Preço</t>
  </si>
  <si>
    <t>IP</t>
  </si>
  <si>
    <t>REGIÃO DE INTEGRAÇÃO</t>
  </si>
  <si>
    <t>Licença de Uso Sistema Globais  (SIMAS/SIAFEM)</t>
  </si>
  <si>
    <t>PREÇO BASE 2026</t>
  </si>
  <si>
    <t>SEM INFRA PRODEPA</t>
  </si>
  <si>
    <t>FIBRA, RÁDIO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</si>
  <si>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</si>
  <si>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</si>
  <si>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rgb="FF000000"/>
        <sz val="10.0"/>
      </rPr>
      <t xml:space="preserve">Blocos do Ender.(IP's)  /28  </t>
    </r>
    <r>
      <rPr>
        <rFont val="Arial"/>
        <b/>
        <color rgb="FF0000FF"/>
        <sz val="10.0"/>
      </rPr>
      <t>(NOVO)</t>
    </r>
  </si>
  <si>
    <r>
      <rPr>
        <rFont val="Arial"/>
        <color theme="1"/>
        <sz val="10.0"/>
      </rPr>
      <t>IP_255.255.255.240</t>
    </r>
  </si>
  <si>
    <t>JUNHO 2026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</si>
  <si>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</si>
  <si>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</si>
  <si>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rgb="FF000000"/>
        <sz val="10.0"/>
      </rPr>
      <t xml:space="preserve">Blocos do Ender. (IP's)  /27 </t>
    </r>
    <r>
      <rPr>
        <rFont val="Arial"/>
        <b/>
        <color rgb="FF0000FF"/>
        <sz val="10.0"/>
      </rPr>
      <t>(NOVO)</t>
    </r>
  </si>
  <si>
    <r>
      <rPr>
        <rFont val="Arial"/>
        <color theme="1"/>
        <sz val="10.0"/>
      </rPr>
      <t>IP _255.255.255.224</t>
    </r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</si>
  <si>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</si>
  <si>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</si>
  <si>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rgb="FF000000"/>
        <sz val="10.0"/>
      </rPr>
      <t xml:space="preserve">Blocos do Ender.(IP's) /26 </t>
    </r>
    <r>
      <rPr>
        <rFont val="Arial"/>
        <b/>
        <color rgb="FF0000FF"/>
        <sz val="10.0"/>
      </rPr>
      <t>(NOVO)</t>
    </r>
  </si>
  <si>
    <r>
      <rPr>
        <rFont val="Arial"/>
        <color theme="1"/>
        <sz val="10.0"/>
      </rPr>
      <t>IP_255.255.255.192</t>
    </r>
  </si>
  <si>
    <t>BAIAO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</si>
  <si>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</si>
  <si>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</si>
  <si>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rgb="FF000000"/>
        <sz val="10.0"/>
      </rPr>
      <t>Blocos do Ender.(IP's)  /25</t>
    </r>
    <r>
      <rPr>
        <rFont val="Arial"/>
        <b/>
        <color rgb="FF0000FF"/>
        <sz val="10.0"/>
      </rPr>
      <t>(NOVO)</t>
    </r>
  </si>
  <si>
    <r>
      <rPr>
        <rFont val="Arial"/>
        <color theme="1"/>
        <sz val="10.0"/>
      </rPr>
      <t>IP_255.255.255.128</t>
    </r>
  </si>
  <si>
    <t>D5</t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</si>
  <si>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</si>
  <si>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</si>
  <si>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rgb="FF000000"/>
        <sz val="10.0"/>
      </rPr>
      <t>Blocos do Ender. (IP's) - /24</t>
    </r>
    <r>
      <rPr>
        <rFont val="Arial"/>
        <b/>
        <color rgb="FF0000FF"/>
        <sz val="10.0"/>
      </rPr>
      <t>(NOVO)</t>
    </r>
  </si>
  <si>
    <r>
      <rPr>
        <rFont val="Arial"/>
        <color theme="1"/>
        <sz val="10.0"/>
      </rPr>
      <t>IP_255.255.255.0</t>
    </r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</si>
  <si>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</si>
  <si>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</si>
  <si>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rgb="FF000000"/>
        <sz val="10.0"/>
      </rPr>
      <t xml:space="preserve">Blocos do Ender. (IP's) - /23 </t>
    </r>
    <r>
      <rPr>
        <rFont val="Arial"/>
        <b/>
        <color rgb="FF0000FF"/>
        <sz val="10.0"/>
      </rPr>
      <t>(NOVO)</t>
    </r>
  </si>
  <si>
    <r>
      <rPr>
        <rFont val="Arial"/>
        <color theme="1"/>
        <sz val="10.0"/>
      </rPr>
      <t>IP3_255.255.255.0</t>
    </r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</si>
  <si>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</si>
  <si>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</si>
  <si>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r>
      <rPr>
        <rFont val="Arial"/>
        <color rgb="FF000000"/>
        <sz val="10.0"/>
      </rPr>
      <t xml:space="preserve">Blocos do Ender. (IP's) - /22 </t>
    </r>
    <r>
      <rPr>
        <rFont val="Arial"/>
        <b/>
        <color rgb="FF0000FF"/>
        <sz val="10.0"/>
      </rPr>
      <t>(NOVO)</t>
    </r>
  </si>
  <si>
    <r>
      <rPr>
        <rFont val="Arial"/>
        <color theme="1"/>
        <sz val="10.0"/>
      </rPr>
      <t>IP_255.255.255.0</t>
    </r>
  </si>
  <si>
    <r>
      <rPr>
        <rFont val="Arial"/>
        <color theme="1"/>
        <sz val="10.0"/>
      </rPr>
      <t>5 - Suporte Computacional</t>
    </r>
  </si>
  <si>
    <r>
      <rPr>
        <rFont val="Arial"/>
        <color theme="1"/>
        <sz val="10.0"/>
      </rPr>
      <t>Gestão de Rede</t>
    </r>
  </si>
  <si>
    <t>IP Válido através de NAT</t>
  </si>
  <si>
    <r>
      <rPr>
        <rFont val="Arial"/>
        <color theme="1"/>
        <sz val="10.0"/>
      </rPr>
      <t>6 - Consultoria</t>
    </r>
  </si>
  <si>
    <r>
      <rPr>
        <rFont val="Arial"/>
        <color theme="1"/>
        <sz val="10.0"/>
      </rPr>
      <t>Consultoria</t>
    </r>
  </si>
  <si>
    <t>RÁDIO</t>
  </si>
  <si>
    <r>
      <rPr>
        <rFont val="Arial"/>
        <color theme="1"/>
        <sz val="10.0"/>
      </rPr>
      <t>Analista Desenvolvedor/Programador</t>
    </r>
  </si>
  <si>
    <r>
      <rPr>
        <rFont val="Arial"/>
        <color theme="1"/>
        <sz val="10.0"/>
      </rPr>
      <t>Júnior</t>
    </r>
  </si>
  <si>
    <t>Hora</t>
  </si>
  <si>
    <t>BANNACH</t>
  </si>
  <si>
    <r>
      <rPr>
        <rFont val="Arial"/>
        <color theme="1"/>
        <sz val="10.0"/>
      </rPr>
      <t>6 - Consultoria</t>
    </r>
  </si>
  <si>
    <r>
      <rPr>
        <rFont val="Arial"/>
        <color theme="1"/>
        <sz val="10.0"/>
      </rPr>
      <t>Consultoria</t>
    </r>
  </si>
  <si>
    <r>
      <rPr>
        <rFont val="Arial"/>
        <color theme="1"/>
        <sz val="10.0"/>
      </rPr>
      <t>Analista Desenvolvedor/Programador</t>
    </r>
  </si>
  <si>
    <r>
      <rPr>
        <rFont val="Arial"/>
        <color theme="1"/>
        <sz val="10.0"/>
      </rPr>
      <t>Pleno</t>
    </r>
  </si>
  <si>
    <r>
      <rPr>
        <rFont val="Arial"/>
        <color theme="1"/>
        <sz val="10.0"/>
      </rPr>
      <t>6 - Consultoria</t>
    </r>
  </si>
  <si>
    <r>
      <rPr>
        <rFont val="Arial"/>
        <color theme="1"/>
        <sz val="10.0"/>
      </rPr>
      <t>Consultoria</t>
    </r>
  </si>
  <si>
    <r>
      <rPr>
        <rFont val="Arial"/>
        <color theme="1"/>
        <sz val="10.0"/>
      </rPr>
      <t>Analista Desenvolvedor/Programador</t>
    </r>
  </si>
  <si>
    <r>
      <rPr>
        <rFont val="Arial"/>
        <color theme="1"/>
        <sz val="10.0"/>
      </rPr>
      <t>Sênior</t>
    </r>
  </si>
  <si>
    <t>SIM</t>
  </si>
  <si>
    <r>
      <rPr>
        <rFont val="Arial"/>
        <color theme="1"/>
        <sz val="10.0"/>
      </rPr>
      <t>6 - Consultoria</t>
    </r>
  </si>
  <si>
    <r>
      <rPr>
        <rFont val="Arial"/>
        <color theme="1"/>
        <sz val="10.0"/>
      </rPr>
      <t>Consultoria</t>
    </r>
  </si>
  <si>
    <t>GUAJARÁ</t>
  </si>
  <si>
    <r>
      <rPr>
        <rFont val="Arial"/>
        <color theme="1"/>
        <sz val="10.0"/>
      </rPr>
      <t>Consultoria Especializadas</t>
    </r>
  </si>
  <si>
    <r>
      <rPr>
        <rFont val="Arial"/>
        <color theme="1"/>
        <sz val="10.0"/>
      </rPr>
      <t>Sênior</t>
    </r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</si>
  <si>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</si>
  <si>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Desenvolvimento</t>
    </r>
  </si>
  <si>
    <r>
      <rPr>
        <rFont val="Arial"/>
        <color theme="1"/>
        <sz val="10.0"/>
      </rPr>
      <t>Desenvolvimento de Sistemas</t>
    </r>
  </si>
  <si>
    <t>Pontos de função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</si>
  <si>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</si>
  <si>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Desenvolvimento</t>
    </r>
  </si>
  <si>
    <t>Desenvolvimento de Website/Portal Padrão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</si>
  <si>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</si>
  <si>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</si>
  <si>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r>
      <rPr>
        <rFont val="Arial"/>
        <color theme="1"/>
        <sz val="10.0"/>
      </rPr>
      <t>Licença de Uso Sistema Globais  (SIMAS/SIAFEM)</t>
    </r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</si>
  <si>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</si>
  <si>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</si>
  <si>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t>Licença de Uso Sistemas Específicos (ID CIVIL)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</si>
  <si>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</si>
  <si>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</si>
  <si>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r>
      <rPr>
        <rFont val="Arial"/>
        <color theme="1"/>
        <sz val="10.0"/>
      </rPr>
      <t>Licença de Uso Sistema de busca (INDEXA)</t>
    </r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</si>
  <si>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</si>
  <si>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</si>
  <si>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t>Licença de Uso de  sistema (SIGA)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</si>
  <si>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</si>
  <si>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</si>
  <si>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t>Licença de uso de sistema (SUAS)</t>
  </si>
  <si>
    <t>BARCARENA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</si>
  <si>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</si>
  <si>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</si>
  <si>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t>Licença de uso de sistema (COBEN)</t>
  </si>
  <si>
    <t>BELTERRA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</si>
  <si>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</si>
  <si>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</si>
  <si>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t>BENEVIDES</t>
  </si>
  <si>
    <r>
      <rPr>
        <rFont val="Arial"/>
        <color theme="1"/>
        <sz val="10.0"/>
      </rPr>
      <t>Processos Eletrônicos (PAE) - Exclusivo Prefeituras</t>
    </r>
  </si>
  <si>
    <r>
      <rPr>
        <rFont val="Arial"/>
        <color theme="1"/>
        <sz val="10.0"/>
      </rPr>
      <t>1 Gb</t>
    </r>
  </si>
  <si>
    <t>Pacote</t>
  </si>
  <si>
    <t>BOM JESUS DO TOCANTINS</t>
  </si>
  <si>
    <t>CARAJÁS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</si>
  <si>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</si>
  <si>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</si>
  <si>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r>
      <rPr>
        <rFont val="Arial"/>
        <color theme="1"/>
        <sz val="10.0"/>
      </rPr>
      <t>Processos Eletrônicos (PAE) - Pacote 1</t>
    </r>
  </si>
  <si>
    <t>BONITO</t>
  </si>
  <si>
    <r>
      <rPr>
        <rFont val="Arial"/>
        <color theme="1"/>
        <sz val="10.0"/>
      </rPr>
      <t>Pct 1 - Até 5GB</t>
    </r>
  </si>
  <si>
    <t>BRAGANCA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</si>
  <si>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</si>
  <si>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Licença de Uso</t>
    </r>
  </si>
  <si>
    <r>
      <rPr>
        <rFont val="Arial"/>
        <color theme="1"/>
        <sz val="10.0"/>
      </rPr>
      <t>Processos Eletrônicos (PAE) - Pacote 2</t>
    </r>
  </si>
  <si>
    <r>
      <rPr>
        <rFont val="Arial"/>
        <color theme="1"/>
        <sz val="10.0"/>
      </rPr>
      <t>Pct. 2 - entre 5GB e 20 GB</t>
    </r>
  </si>
  <si>
    <t>BRASIL NOVO</t>
  </si>
  <si>
    <r>
      <rPr>
        <rFont val="Arial"/>
        <color theme="1"/>
        <sz val="10.0"/>
      </rPr>
      <t>7- Sistemas</t>
    </r>
  </si>
  <si>
    <t>Hospedagem de Website (30Gb)</t>
  </si>
  <si>
    <r>
      <rPr>
        <rFont val="Arial"/>
        <color theme="1"/>
        <sz val="10.0"/>
      </rPr>
      <t>Licença de Uso</t>
    </r>
  </si>
  <si>
    <r>
      <rPr>
        <rFont val="Arial"/>
        <color theme="1"/>
        <sz val="10.0"/>
      </rPr>
      <t>Processos Eletrônicos (PAE) - Pacote 3</t>
    </r>
  </si>
  <si>
    <r>
      <rPr>
        <rFont val="Arial"/>
        <color theme="1"/>
        <sz val="10.0"/>
      </rPr>
      <t>Pct 3 - Acima de 20GB</t>
    </r>
  </si>
  <si>
    <t>BREJO GRANDE DO ARAGUAIA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</si>
  <si>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</si>
  <si>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Manutenção Corretiva_sistemas</t>
    </r>
  </si>
  <si>
    <r>
      <rPr>
        <rFont val="Arial"/>
        <color theme="1"/>
        <sz val="10.0"/>
      </rPr>
      <t>Manutenção corretiva_defeitos de software</t>
    </r>
  </si>
  <si>
    <t>BREU BRANCO</t>
  </si>
  <si>
    <t>LAGO DE TUCURUÍ</t>
  </si>
  <si>
    <r>
      <rPr>
        <rFont val="Arial"/>
        <color theme="1"/>
        <sz val="10.0"/>
      </rPr>
      <t>10H/h Pleno</t>
    </r>
  </si>
  <si>
    <t>BREVES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</si>
  <si>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</si>
  <si>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Manutenção Adaptativa_sistemas</t>
    </r>
  </si>
  <si>
    <r>
      <rPr>
        <rFont val="Arial"/>
        <color theme="1"/>
        <sz val="10.0"/>
      </rPr>
      <t>Manut. Evolut._adaptar o softw. a outro ambiente</t>
    </r>
  </si>
  <si>
    <r>
      <rPr>
        <rFont val="Arial"/>
        <color theme="1"/>
        <sz val="10.0"/>
      </rPr>
      <t>20H/h Pleno</t>
    </r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</si>
  <si>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</si>
  <si>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Manutenção Adaptativa_sistemas</t>
    </r>
  </si>
  <si>
    <r>
      <rPr>
        <rFont val="Arial"/>
        <color theme="1"/>
        <sz val="10.0"/>
      </rPr>
      <t>Manut. Evolut._adaptar o softw. a outro ambiente</t>
    </r>
  </si>
  <si>
    <r>
      <rPr>
        <rFont val="Arial"/>
        <color theme="1"/>
        <sz val="10.0"/>
      </rPr>
      <t>40H/h Pleno</t>
    </r>
  </si>
  <si>
    <t>BUJARU</t>
  </si>
  <si>
    <t>Conta de Email (5Gb) 1 Cx</t>
  </si>
  <si>
    <t>D0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</si>
  <si>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</si>
  <si>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Manutenção Adaptativa-sistemas</t>
    </r>
  </si>
  <si>
    <r>
      <rPr>
        <rFont val="Arial"/>
        <color theme="1"/>
        <sz val="10.0"/>
      </rPr>
      <t>Manut. Evolut._adaptar o softw. a outro ambiente</t>
    </r>
  </si>
  <si>
    <r>
      <rPr>
        <rFont val="Arial"/>
        <color theme="1"/>
        <sz val="10.0"/>
      </rPr>
      <t>60H/h Pleno</t>
    </r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</si>
  <si>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</si>
  <si>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Manutenção Adaptativa_website/portal</t>
    </r>
  </si>
  <si>
    <r>
      <rPr>
        <rFont val="Arial"/>
        <color theme="1"/>
        <sz val="10.0"/>
      </rPr>
      <t>Manutenção ADAPTATIVA de Website/Portal_10h/h</t>
    </r>
  </si>
  <si>
    <r>
      <rPr>
        <rFont val="Arial"/>
        <color theme="1"/>
        <sz val="10.0"/>
      </rPr>
      <t>10h/h_Pleno</t>
    </r>
  </si>
  <si>
    <t>CACHOEIRA DO ARARI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</si>
  <si>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</si>
  <si>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Manutenção Evolutiva_website/portal</t>
    </r>
  </si>
  <si>
    <r>
      <rPr>
        <rFont val="Arial"/>
        <color theme="1"/>
        <sz val="10.0"/>
      </rPr>
      <t>Manutenção EVOLUTIVA de Website/Portal</t>
    </r>
  </si>
  <si>
    <r>
      <rPr>
        <rFont val="Arial"/>
        <color theme="1"/>
        <sz val="10.0"/>
      </rPr>
      <t>h/h_Sênior</t>
    </r>
  </si>
  <si>
    <t>CACHOEIRA DO PIRIA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</si>
  <si>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</si>
  <si>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Suporte</t>
    </r>
  </si>
  <si>
    <r>
      <rPr>
        <rFont val="Arial"/>
        <color theme="1"/>
        <sz val="10.0"/>
      </rPr>
      <t>Business Intelligence Web - B.I.</t>
    </r>
  </si>
  <si>
    <t>CAMETA</t>
  </si>
  <si>
    <t>SERVIÇOS SOB DEMANDA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</si>
  <si>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</si>
  <si>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Suporte</t>
    </r>
  </si>
  <si>
    <r>
      <rPr>
        <rFont val="Arial"/>
        <color theme="1"/>
        <sz val="10.0"/>
      </rPr>
      <t>Suporte de DW Estadual</t>
    </r>
  </si>
  <si>
    <t>Tipo faturamento</t>
  </si>
  <si>
    <t>Utilização</t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</si>
  <si>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</si>
  <si>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Treinamento</t>
    </r>
  </si>
  <si>
    <t>unidade-faturamento</t>
  </si>
  <si>
    <r>
      <rPr>
        <rFont val="Arial"/>
        <color theme="1"/>
        <sz val="10.0"/>
      </rPr>
      <t>Treinamento – Sistema/Website/Portal/Aplicativos</t>
    </r>
  </si>
  <si>
    <t>Ocultar 2</t>
  </si>
  <si>
    <t>Anual</t>
  </si>
  <si>
    <t>CANAA DOS CARAJAS</t>
  </si>
  <si>
    <r>
      <rPr>
        <rFont val="Arial"/>
        <color theme="1"/>
        <sz val="10.0"/>
      </rPr>
      <t>sob consulta</t>
    </r>
  </si>
  <si>
    <r>
      <rPr>
        <rFont val="Arial"/>
        <color theme="1"/>
        <sz val="10.0"/>
      </rPr>
      <t>7- Sistemas</t>
    </r>
  </si>
  <si>
    <r>
      <rPr>
        <rFont val="Arial"/>
        <color theme="1"/>
        <sz val="10.0"/>
      </rPr>
      <t>Mídia Indoor</t>
    </r>
  </si>
  <si>
    <r>
      <rPr>
        <rFont val="Arial"/>
        <color theme="1"/>
        <sz val="10.0"/>
      </rPr>
      <t>Ponto de Acesso (Mídia Indoor)</t>
    </r>
  </si>
  <si>
    <t>Serviço de TIC</t>
  </si>
  <si>
    <t>Novas implantações, Remanejamento</t>
  </si>
  <si>
    <r>
      <rPr>
        <rFont val="Arial"/>
        <color theme="1"/>
        <sz val="10.0"/>
      </rPr>
      <t>sob consulta</t>
    </r>
  </si>
  <si>
    <t>CAPANEMA</t>
  </si>
  <si>
    <t>US</t>
  </si>
  <si>
    <t>Índice</t>
  </si>
  <si>
    <t>Período</t>
  </si>
  <si>
    <t>Percentual</t>
  </si>
  <si>
    <t>igpm</t>
  </si>
  <si>
    <t>CAPITAO POCO</t>
  </si>
  <si>
    <t>5.4 - RESUMO</t>
  </si>
  <si>
    <t>Indice</t>
  </si>
  <si>
    <t>Cliente</t>
  </si>
  <si>
    <t>Mbps Link</t>
  </si>
  <si>
    <t>Lote</t>
  </si>
  <si>
    <t>Tecnologia</t>
  </si>
  <si>
    <t>Mesorreg.</t>
  </si>
  <si>
    <t>Reg. int.</t>
  </si>
  <si>
    <t>TOTAL (INSTALAÇÃO)</t>
  </si>
  <si>
    <t>Manutenção</t>
  </si>
  <si>
    <t>Transporte</t>
  </si>
  <si>
    <t>CustoTransporteDesc</t>
  </si>
  <si>
    <t>Custo bruto</t>
  </si>
  <si>
    <t>Desp. adm.</t>
  </si>
  <si>
    <t>Acrésc. reap.</t>
  </si>
  <si>
    <t>Tributos</t>
  </si>
  <si>
    <t>Valor Mensal 2021</t>
  </si>
  <si>
    <t>Valor Mensal 2022</t>
  </si>
  <si>
    <t>Valor Mensal 2023</t>
  </si>
  <si>
    <t>Valor Mensal 2024</t>
  </si>
  <si>
    <t>Valor Mensal 2025</t>
  </si>
  <si>
    <t>TOTAL ANUAL - LINK DE DADOS</t>
  </si>
  <si>
    <t>GUAMÁ</t>
  </si>
  <si>
    <t>SEASTER</t>
  </si>
  <si>
    <t>TOTAL ANUAL - INTERNET</t>
  </si>
  <si>
    <t>TOTAL ANUAL - SERVIÇOS DE TI</t>
  </si>
  <si>
    <t>CHAVES</t>
  </si>
  <si>
    <t>SOB DEMANDA</t>
  </si>
  <si>
    <t>TOTAL GLOBAL</t>
  </si>
  <si>
    <t>COLARES</t>
  </si>
  <si>
    <t>Belém - PA,</t>
  </si>
  <si>
    <t>Validade</t>
  </si>
  <si>
    <t>15 dias</t>
  </si>
  <si>
    <t>Local e Data</t>
  </si>
  <si>
    <t>Prazo de Execução (dias)</t>
  </si>
  <si>
    <t>Constante na proposta comercial</t>
  </si>
  <si>
    <t>CONCEICAO DO ARAGUAIA</t>
  </si>
  <si>
    <t>Assinatura e Carimbo do funcionário PRODEPA</t>
  </si>
  <si>
    <t>Condições de Pagamento:</t>
  </si>
  <si>
    <t>via contrato</t>
  </si>
  <si>
    <t>Aceite do Cliente</t>
  </si>
  <si>
    <t>CONCORDIA DO PARA</t>
  </si>
  <si>
    <t>OBSERVAÇÕES</t>
  </si>
  <si>
    <t>Valores de implantação compreendem serviço de lançamento de fibra, ativação e configuração de equipamentos e aquisição de ativos de rede (rack, switch gerenciável e DIO)</t>
  </si>
  <si>
    <t>Os valores mensais de link de dados estão conforme tabela vigente e deverão ser incluídos no contrato do cliente através de termo aditivo.</t>
  </si>
  <si>
    <t xml:space="preserve">Em caso de anuência com este orçameno pelo gestor do órgão, serão originadas as Propostas Técnica e Comercial, que serão parte integrante e indivisível do contrato.  </t>
  </si>
  <si>
    <t>CUMARU DO NORTE</t>
  </si>
  <si>
    <t>ELABORADO POR JULIANA LOBO</t>
  </si>
  <si>
    <t>CINBESA</t>
  </si>
  <si>
    <t>SEDE2</t>
  </si>
  <si>
    <t>CURIONOPOLIS</t>
  </si>
  <si>
    <t>CURRALINHO</t>
  </si>
  <si>
    <t>CURUA</t>
  </si>
  <si>
    <t>Metragem fibra</t>
  </si>
  <si>
    <t>Custo de implantação</t>
  </si>
  <si>
    <t>Custo Bruto</t>
  </si>
  <si>
    <t>VALOR 2025</t>
  </si>
  <si>
    <t>CURUCA</t>
  </si>
  <si>
    <t>DOM ELISEU</t>
  </si>
  <si>
    <t>HOL</t>
  </si>
  <si>
    <t>Jurunas</t>
  </si>
  <si>
    <t>Sim</t>
  </si>
  <si>
    <t>ELDORADO DO CARAJAS</t>
  </si>
  <si>
    <t>FARO</t>
  </si>
  <si>
    <t>FLORESTA DO ARAGUAIA</t>
  </si>
  <si>
    <t>SAO MIGUEL DO GUAMA</t>
  </si>
  <si>
    <t>DEFPUB</t>
  </si>
  <si>
    <t>São Miguel</t>
  </si>
  <si>
    <t>GARRAFAO DO NORTE</t>
  </si>
  <si>
    <t>GOIANESIA DO PARA</t>
  </si>
  <si>
    <t>GURUPA</t>
  </si>
  <si>
    <t>SALINOPOLIS</t>
  </si>
  <si>
    <t>IGARAPE-ACU</t>
  </si>
  <si>
    <t>Remanejamento</t>
  </si>
  <si>
    <t>IGARAPE-MIRI</t>
  </si>
  <si>
    <t>INHANGAPI</t>
  </si>
  <si>
    <t>IPIXUNA DO PARA</t>
  </si>
  <si>
    <t>Icoaraci</t>
  </si>
  <si>
    <t>IRITUIA</t>
  </si>
  <si>
    <t>ITAITUBA</t>
  </si>
  <si>
    <t>ITUPIRANGA</t>
  </si>
  <si>
    <t>Senador Manoel Barata</t>
  </si>
  <si>
    <t>JACAREACANGA</t>
  </si>
  <si>
    <t>NUGEN MULHER</t>
  </si>
  <si>
    <t>JACUNDA</t>
  </si>
  <si>
    <t>JURUTI</t>
  </si>
  <si>
    <t>LIMOEIRO DO AJURU</t>
  </si>
  <si>
    <t>MAE DO RIO</t>
  </si>
  <si>
    <t>Abrigo</t>
  </si>
  <si>
    <t>MAGALHAES BARATA</t>
  </si>
  <si>
    <t>MARABA</t>
  </si>
  <si>
    <t>MARACANA</t>
  </si>
  <si>
    <t>MARAPANIM</t>
  </si>
  <si>
    <t>MARITUBA</t>
  </si>
  <si>
    <t>EMATER</t>
  </si>
  <si>
    <t>Escritório Local</t>
  </si>
  <si>
    <t>MEDICILANDIA</t>
  </si>
  <si>
    <t>Regional das Ilhas</t>
  </si>
  <si>
    <t>NOVA TIMBOTEUA</t>
  </si>
  <si>
    <t>SEDAP</t>
  </si>
  <si>
    <t>POSTO</t>
  </si>
  <si>
    <t>SEMAS</t>
  </si>
  <si>
    <t>EVENTO COP</t>
  </si>
  <si>
    <t>BANPARÁ</t>
  </si>
  <si>
    <t>BANPARÁ - ROTA C</t>
  </si>
  <si>
    <t>MELGACO</t>
  </si>
  <si>
    <t>MOCAJUBA</t>
  </si>
  <si>
    <t>MOJU</t>
  </si>
  <si>
    <t>FASEPA</t>
  </si>
  <si>
    <t>Remanejamento SEDE</t>
  </si>
  <si>
    <t>MOJUI DOS CAMPOS</t>
  </si>
  <si>
    <t>MONTE ALEGRE</t>
  </si>
  <si>
    <t>MOSQUEIRO</t>
  </si>
  <si>
    <t>SEOP</t>
  </si>
  <si>
    <t>SEBRAE</t>
  </si>
  <si>
    <t>MUANA</t>
  </si>
  <si>
    <t>PONTA DE PEDRAS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</si>
  <si>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</si>
  <si>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</si>
  <si>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</si>
  <si>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</si>
  <si>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</si>
  <si>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</si>
  <si>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</si>
  <si>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</si>
  <si>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</si>
  <si>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</si>
  <si>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</si>
  <si>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PARAUAPEBAS</t>
  </si>
  <si>
    <t>PAU DARCO</t>
  </si>
  <si>
    <t>PEIXE-BOI</t>
  </si>
  <si>
    <t>PICARRA</t>
  </si>
  <si>
    <t>PLACAS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</si>
  <si>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</si>
  <si>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</si>
  <si>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</si>
  <si>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</si>
  <si>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</si>
  <si>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</si>
  <si>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</si>
  <si>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</si>
  <si>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</si>
  <si>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</si>
  <si>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</si>
  <si>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</si>
  <si>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</si>
  <si>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</si>
  <si>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</si>
  <si>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</si>
  <si>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</si>
  <si>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 NOVO</t>
  </si>
  <si>
    <t>SANTO ANTONIO DO TAUA</t>
  </si>
  <si>
    <t>SAO CAETANO DE ODIVELAS</t>
  </si>
  <si>
    <t>SAO DOMINGOS DO ARAGUAIA</t>
  </si>
  <si>
    <t>SAO DOMINGOS DO CAPIM</t>
  </si>
  <si>
    <t>SAO FRANCISCO DO PARA</t>
  </si>
  <si>
    <t>SAO GERALDO DO ARAGUAIA</t>
  </si>
  <si>
    <t>SAO JOAO DA PONTA</t>
  </si>
  <si>
    <t>SAO JOAO DE PIRABAS</t>
  </si>
  <si>
    <t>SAO JOAO DO ARAGUAIA</t>
  </si>
  <si>
    <t>SAO SEBASTIAO DA BOA VISTA</t>
  </si>
  <si>
    <t>SAPUCAIA</t>
  </si>
  <si>
    <t>SENADOR JOSE PORFIRIO</t>
  </si>
  <si>
    <t>SOURE</t>
  </si>
  <si>
    <t>TERRA ALTA</t>
  </si>
  <si>
    <t>TERRA SANTA</t>
  </si>
  <si>
    <t>TOME 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</si>
  <si>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</si>
  <si>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</si>
  <si>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</si>
  <si>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</si>
  <si>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</si>
  <si>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</si>
  <si>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</si>
  <si>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</si>
  <si>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</si>
  <si>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</si>
  <si>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FEVEREIRO 2026</t>
  </si>
  <si>
    <t>Mesorregião</t>
  </si>
  <si>
    <t>CONCEIÇAO DO ARAGUAIA</t>
  </si>
  <si>
    <t>CURUÇA</t>
  </si>
  <si>
    <t>MELGAÇO</t>
  </si>
  <si>
    <t>NOVA ESPERANÇA DO PIRIA</t>
  </si>
  <si>
    <t>OURILÂNDIA DO NORTE</t>
  </si>
  <si>
    <t>PAU D'ARCO</t>
  </si>
  <si>
    <t>PIÇARRA</t>
  </si>
  <si>
    <t>TOME-AÇU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</si>
</sst>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[$R$-416]\ #,##0.00;[RED]\-[$R$-416]\ #,##0.00"/>
    <numFmt numFmtId="166" formatCode="#,##0.0000"/>
    <numFmt numFmtId="167" formatCode="0 &quot; MBPS&quot;"/>
    <numFmt numFmtId="168" formatCode="mmm/yyyy"/>
    <numFmt numFmtId="169" formatCode="d&quot; de &quot;mmmm&quot; de &quot;yyyy"/>
  </numFmts>
  <fonts count="44">
    <font>
      <sz val="11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2.0"/>
      <color rgb="FF000000"/>
      <name val="Verdana"/>
    </font>
    <font>
      <b/>
      <color rgb="FFFFFFFF"/>
      <name val="Roboto"/>
    </font>
    <font>
      <b/>
      <sz val="12.0"/>
      <color rgb="FF000000"/>
      <name val="Verdana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color rgb="FF434343"/>
      <name val="Roboto"/>
    </font>
    <font>
      <b/>
      <sz val="12.0"/>
      <color rgb="FFFFFFFF"/>
      <name val="Verdana"/>
    </font>
    <font>
      <b/>
      <sz val="11.0"/>
      <color rgb="FFFFFFFF"/>
      <name val="Roboto"/>
    </font>
    <font>
      <sz val="12.0"/>
      <color theme="1"/>
      <name val="Verdana"/>
    </font>
    <font>
      <sz val="11.0"/>
      <color rgb="FF434343"/>
      <name val="Roboto"/>
    </font>
    <font/>
    <font>
      <b/>
      <sz val="12.0"/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sz val="11.0"/>
      <color theme="1"/>
      <name val="Arial"/>
    </font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FFFFFF"/>
      <name val="Calibri"/>
    </font>
    <font>
      <color theme="1"/>
      <name val="Arial"/>
    </font>
    <font>
      <sz val="11.0"/>
      <color theme="1"/>
      <name val="Calibri"/>
    </font>
    <font>
      <b/>
      <sz val="11.0"/>
      <color theme="1"/>
      <name val="Roboto"/>
    </font>
    <font>
      <color theme="1"/>
      <name val="Calibri"/>
    </font>
    <font>
      <color theme="1"/>
      <name val="Roboto"/>
    </font>
    <font>
      <b/>
      <sz val="12.0"/>
      <color theme="1"/>
      <name val="Verdana"/>
    </font>
    <font>
      <b/>
      <i/>
      <sz val="12.0"/>
      <color theme="1"/>
      <name val="Calibri"/>
    </font>
    <font>
      <b/>
      <i/>
      <sz val="12.0"/>
      <color rgb="FFFFFFFF"/>
      <name val="Calibri"/>
    </font>
    <font>
      <b/>
      <sz val="12.0"/>
      <color theme="1"/>
      <name val="Calibri"/>
    </font>
    <font>
      <sz val="12.0"/>
      <color rgb="FFFFFFFF"/>
      <name val="Calibri"/>
    </font>
    <font>
      <b/>
      <sz val="12.0"/>
      <color rgb="FFFFFFFF"/>
      <name val="Calibri"/>
    </font>
    <font>
      <sz val="12.0"/>
      <color rgb="FF434343"/>
      <name val="Calibri"/>
    </font>
    <font>
      <sz val="12.0"/>
      <color theme="1"/>
      <name val="Calibri"/>
    </font>
    <font>
      <sz val="12.0"/>
      <color rgb="FF3D3D3D"/>
      <name val="Calibri"/>
    </font>
    <font>
      <sz val="12.0"/>
      <color rgb="FF11734B"/>
      <name val="Calibri"/>
    </font>
    <font>
      <sz val="12.0"/>
      <color rgb="FF3F4170"/>
      <name val="Calibri"/>
    </font>
    <font>
      <b/>
      <sz val="12.0"/>
      <color rgb="FF000000"/>
      <name val="Arial"/>
      <scheme val="minor"/>
    </font>
    <font>
      <b/>
      <color theme="1"/>
      <name val="Arial"/>
    </font>
    <font>
      <b/>
      <color rgb="FFFFFFFF"/>
      <name val="Arial"/>
    </font>
    <font>
      <b/>
      <sz val="12.0"/>
      <color rgb="FF434343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0B5394"/>
        <bgColor rgb="FF0B5394"/>
      </patternFill>
    </fill>
    <fill>
      <patternFill patternType="solid">
        <fgColor rgb="FFDDDDDD"/>
        <bgColor rgb="FFDDDDDD"/>
      </patternFill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2381B4"/>
        <bgColor rgb="FF2381B4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</fills>
  <borders count="36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1A6187"/>
      </left>
      <right style="thin">
        <color rgb="FF2381B4"/>
      </right>
      <top style="thin">
        <color rgb="FF1A6187"/>
      </top>
      <bottom style="thin">
        <color rgb="FF1A6187"/>
      </bottom>
    </border>
    <border>
      <left style="thin">
        <color rgb="FF2381B4"/>
      </left>
      <right style="thin">
        <color rgb="FF2381B4"/>
      </right>
      <top style="thin">
        <color rgb="FF1A6187"/>
      </top>
      <bottom style="thin">
        <color rgb="FF1A6187"/>
      </bottom>
    </border>
    <border>
      <left style="thin">
        <color rgb="FF2381B4"/>
      </left>
      <right style="thin">
        <color rgb="FF1A6187"/>
      </right>
      <top style="thin">
        <color rgb="FF1A6187"/>
      </top>
      <bottom style="thin">
        <color rgb="FF1A6187"/>
      </bottom>
    </border>
    <border>
      <left style="thin">
        <color rgb="FF1A6187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1A6187"/>
      </right>
      <top style="thin">
        <color rgb="FFFFFFFF"/>
      </top>
      <bottom style="thin">
        <color rgb="FFFFFFFF"/>
      </bottom>
    </border>
    <border>
      <left style="thin">
        <color rgb="FF1A6187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1A6187"/>
      </right>
      <top style="thin">
        <color rgb="FFF6F8F9"/>
      </top>
      <bottom style="thin">
        <color rgb="FFF6F8F9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thin">
        <color rgb="FF000000"/>
      </bottom>
    </border>
    <border>
      <left style="hair">
        <color rgb="FF000000"/>
      </left>
    </border>
    <border>
      <left style="thin">
        <color rgb="FF1A6187"/>
      </left>
      <right style="thin">
        <color rgb="FFF6F8F9"/>
      </right>
      <top style="thin">
        <color rgb="FFF6F8F9"/>
      </top>
      <bottom style="thin">
        <color rgb="FF1A6187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1A6187"/>
      </bottom>
    </border>
    <border>
      <left style="thin">
        <color rgb="FFF6F8F9"/>
      </left>
      <right style="thin">
        <color rgb="FF1A6187"/>
      </right>
      <top style="thin">
        <color rgb="FFF6F8F9"/>
      </top>
      <bottom style="thin">
        <color rgb="FF1A6187"/>
      </bottom>
    </border>
  </borders>
  <cellStyleXfs count="1">
    <xf borderId="0" fillId="0" fontId="0" numFmtId="0" applyAlignment="1" applyFont="1"/>
  </cellStyleXfs>
  <cellXfs count="3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1" numFmtId="49" xfId="0" applyFont="1" applyNumberFormat="1"/>
    <xf borderId="0" fillId="2" fontId="3" numFmtId="0" xfId="0" applyAlignment="1" applyFill="1" applyFont="1">
      <alignment horizontal="center" readingOrder="0" shrinkToFit="0" vertical="bottom" wrapText="0"/>
    </xf>
    <xf borderId="1" fillId="3" fontId="4" numFmtId="49" xfId="0" applyAlignment="1" applyBorder="1" applyFill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0"/>
    </xf>
    <xf borderId="0" fillId="0" fontId="2" numFmtId="4" xfId="0" applyAlignment="1" applyFont="1" applyNumberFormat="1">
      <alignment horizontal="center" readingOrder="0" shrinkToFit="0" vertical="center" wrapText="1"/>
    </xf>
    <xf borderId="0" fillId="4" fontId="5" numFmtId="0" xfId="0" applyAlignment="1" applyFill="1" applyFont="1">
      <alignment horizontal="right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right" readingOrder="0" shrinkToFit="0" vertical="center" wrapText="0"/>
    </xf>
    <xf borderId="0" fillId="0" fontId="6" numFmtId="49" xfId="0" applyFont="1" applyNumberFormat="1"/>
    <xf borderId="0" fillId="0" fontId="2" numFmtId="164" xfId="0" applyAlignment="1" applyFont="1" applyNumberFormat="1">
      <alignment horizontal="center" readingOrder="0" shrinkToFit="0" vertical="center" wrapText="1"/>
    </xf>
    <xf borderId="0" fillId="0" fontId="5" numFmtId="14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Font="1"/>
    <xf borderId="2" fillId="2" fontId="9" numFmtId="0" xfId="0" applyAlignment="1" applyBorder="1" applyFont="1">
      <alignment horizontal="center" shrinkToFit="0" vertical="center" wrapText="1"/>
    </xf>
    <xf borderId="0" fillId="5" fontId="5" numFmtId="0" xfId="0" applyAlignment="1" applyFill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6" fontId="10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bottom" wrapText="1"/>
    </xf>
    <xf borderId="0" fillId="7" fontId="10" numFmtId="0" xfId="0" applyAlignment="1" applyFill="1" applyFont="1">
      <alignment horizontal="center" readingOrder="0" shrinkToFit="0" vertical="center" wrapText="0"/>
    </xf>
    <xf borderId="0" fillId="7" fontId="10" numFmtId="0" xfId="0" applyAlignment="1" applyFont="1">
      <alignment horizontal="center" readingOrder="0" shrinkToFit="0" vertical="center" wrapText="1"/>
    </xf>
    <xf borderId="3" fillId="8" fontId="11" numFmtId="49" xfId="0" applyAlignment="1" applyBorder="1" applyFill="1" applyFont="1" applyNumberFormat="1">
      <alignment horizontal="center" readingOrder="0" shrinkToFit="0" vertical="center" wrapText="1"/>
    </xf>
    <xf borderId="4" fillId="8" fontId="11" numFmtId="49" xfId="0" applyAlignment="1" applyBorder="1" applyFont="1" applyNumberFormat="1">
      <alignment horizontal="left" readingOrder="0" shrinkToFit="0" vertical="center" wrapText="1"/>
    </xf>
    <xf borderId="4" fillId="8" fontId="11" numFmtId="49" xfId="0" applyAlignment="1" applyBorder="1" applyFont="1" applyNumberFormat="1">
      <alignment horizontal="left" readingOrder="0" shrinkToFit="0" vertical="center" wrapText="1"/>
    </xf>
    <xf borderId="4" fillId="8" fontId="11" numFmtId="49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4" fillId="8" fontId="11" numFmtId="4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7" fontId="10" numFmtId="49" xfId="0" applyAlignment="1" applyFont="1" applyNumberFormat="1">
      <alignment horizontal="center" shrinkToFit="0" vertical="center" wrapText="1"/>
    </xf>
    <xf borderId="4" fillId="8" fontId="11" numFmtId="0" xfId="0" applyAlignment="1" applyBorder="1" applyFont="1">
      <alignment horizontal="left" readingOrder="0" shrinkToFit="0" vertical="center" wrapText="1"/>
    </xf>
    <xf borderId="0" fillId="7" fontId="10" numFmtId="0" xfId="0" applyAlignment="1" applyFont="1">
      <alignment horizontal="center" shrinkToFit="0" vertical="center" wrapText="1"/>
    </xf>
    <xf borderId="5" fillId="8" fontId="11" numFmtId="0" xfId="0" applyAlignment="1" applyBorder="1" applyFont="1">
      <alignment shrinkToFit="0" wrapText="1"/>
    </xf>
    <xf borderId="0" fillId="9" fontId="12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9" fontId="12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2" numFmtId="0" xfId="0" applyAlignment="1" applyFont="1">
      <alignment horizontal="center" vertical="center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6" fillId="2" fontId="13" numFmtId="0" xfId="0" applyAlignment="1" applyBorder="1" applyFont="1">
      <alignment horizontal="center" shrinkToFit="0" vertical="center" wrapText="0"/>
    </xf>
    <xf borderId="2" fillId="2" fontId="13" numFmtId="0" xfId="0" applyAlignment="1" applyBorder="1" applyFont="1">
      <alignment shrinkToFit="0" vertical="center" wrapText="0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2" fillId="2" fontId="13" numFmtId="0" xfId="0" applyAlignment="1" applyBorder="1" applyFont="1">
      <alignment shrinkToFit="0" vertical="center" wrapText="0"/>
    </xf>
    <xf borderId="2" fillId="2" fontId="13" numFmtId="0" xfId="0" applyAlignment="1" applyBorder="1" applyFont="1">
      <alignment horizontal="center" shrinkToFit="0" vertical="center" wrapText="0"/>
    </xf>
    <xf borderId="7" fillId="10" fontId="9" numFmtId="0" xfId="0" applyAlignment="1" applyBorder="1" applyFill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0"/>
    </xf>
    <xf borderId="2" fillId="2" fontId="13" numFmtId="164" xfId="0" applyAlignment="1" applyBorder="1" applyFont="1" applyNumberFormat="1">
      <alignment horizontal="center" shrinkToFit="0" vertical="center" wrapText="0"/>
    </xf>
    <xf borderId="2" fillId="2" fontId="13" numFmtId="164" xfId="0" applyAlignment="1" applyBorder="1" applyFont="1" applyNumberFormat="1">
      <alignment horizontal="right" shrinkToFit="0" vertical="center" wrapText="0"/>
    </xf>
    <xf borderId="0" fillId="0" fontId="6" numFmtId="3" xfId="0" applyFont="1" applyNumberFormat="1"/>
    <xf borderId="0" fillId="0" fontId="3" numFmtId="0" xfId="0" applyAlignment="1" applyFont="1">
      <alignment readingOrder="0" shrinkToFit="0" vertical="bottom" wrapText="0"/>
    </xf>
    <xf borderId="8" fillId="11" fontId="5" numFmtId="0" xfId="0" applyAlignment="1" applyBorder="1" applyFill="1" applyFont="1">
      <alignment horizontal="left" readingOrder="0" shrinkToFit="0" vertical="center" wrapText="0"/>
    </xf>
    <xf borderId="9" fillId="0" fontId="14" numFmtId="0" xfId="0" applyBorder="1" applyFont="1"/>
    <xf borderId="10" fillId="0" fontId="14" numFmtId="0" xfId="0" applyBorder="1" applyFont="1"/>
    <xf borderId="0" fillId="6" fontId="10" numFmtId="49" xfId="0" applyAlignment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2" fillId="2" fontId="13" numFmtId="2" xfId="0" applyAlignment="1" applyBorder="1" applyFont="1" applyNumberFormat="1">
      <alignment horizontal="right" shrinkToFit="0" vertical="center" wrapText="0"/>
    </xf>
    <xf borderId="11" fillId="12" fontId="5" numFmtId="49" xfId="0" applyAlignment="1" applyBorder="1" applyFill="1" applyFont="1" applyNumberFormat="1">
      <alignment horizontal="center" readingOrder="0" shrinkToFit="0" vertical="center" wrapText="0"/>
    </xf>
    <xf borderId="11" fillId="12" fontId="5" numFmtId="49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2" fillId="2" fontId="13" numFmtId="164" xfId="0" applyAlignment="1" applyBorder="1" applyFont="1" applyNumberFormat="1">
      <alignment horizontal="right" shrinkToFit="0" vertical="center" wrapText="0"/>
    </xf>
    <xf borderId="0" fillId="0" fontId="7" numFmtId="4" xfId="0" applyAlignment="1" applyFont="1" applyNumberFormat="1">
      <alignment horizontal="center" shrinkToFit="0" vertical="center" wrapText="1"/>
    </xf>
    <xf borderId="12" fillId="2" fontId="13" numFmtId="164" xfId="0" applyAlignment="1" applyBorder="1" applyFont="1" applyNumberFormat="1">
      <alignment horizontal="right" shrinkToFit="0" wrapText="0"/>
    </xf>
    <xf borderId="0" fillId="0" fontId="6" numFmtId="0" xfId="0" applyAlignment="1" applyFont="1">
      <alignment shrinkToFit="0" vertical="center" wrapText="0"/>
    </xf>
    <xf borderId="13" fillId="10" fontId="13" numFmtId="0" xfId="0" applyAlignment="1" applyBorder="1" applyFont="1">
      <alignment horizontal="center" shrinkToFit="0" vertical="center" wrapText="0"/>
    </xf>
    <xf borderId="7" fillId="10" fontId="13" numFmtId="0" xfId="0" applyAlignment="1" applyBorder="1" applyFont="1">
      <alignment shrinkToFit="0" vertical="center" wrapText="0"/>
    </xf>
    <xf borderId="7" fillId="10" fontId="13" numFmtId="0" xfId="0" applyAlignment="1" applyBorder="1" applyFont="1">
      <alignment shrinkToFit="0" vertical="center" wrapText="0"/>
    </xf>
    <xf borderId="7" fillId="10" fontId="13" numFmtId="0" xfId="0" applyAlignment="1" applyBorder="1" applyFont="1">
      <alignment horizontal="center" shrinkToFit="0" vertical="center" wrapText="0"/>
    </xf>
    <xf borderId="7" fillId="10" fontId="13" numFmtId="164" xfId="0" applyAlignment="1" applyBorder="1" applyFont="1" applyNumberFormat="1">
      <alignment horizontal="center" shrinkToFit="0" vertical="center" wrapText="0"/>
    </xf>
    <xf borderId="7" fillId="10" fontId="13" numFmtId="164" xfId="0" applyAlignment="1" applyBorder="1" applyFont="1" applyNumberFormat="1">
      <alignment horizontal="right" shrinkToFit="0" vertical="center" wrapText="0"/>
    </xf>
    <xf borderId="0" fillId="0" fontId="16" numFmtId="0" xfId="0" applyFont="1"/>
    <xf borderId="7" fillId="10" fontId="13" numFmtId="2" xfId="0" applyAlignment="1" applyBorder="1" applyFont="1" applyNumberFormat="1">
      <alignment horizontal="right" shrinkToFit="0" vertical="center" wrapText="0"/>
    </xf>
    <xf borderId="7" fillId="10" fontId="13" numFmtId="164" xfId="0" applyAlignment="1" applyBorder="1" applyFont="1" applyNumberFormat="1">
      <alignment horizontal="right" shrinkToFit="0" vertical="center" wrapText="0"/>
    </xf>
    <xf borderId="14" fillId="10" fontId="13" numFmtId="164" xfId="0" applyAlignment="1" applyBorder="1" applyFont="1" applyNumberFormat="1">
      <alignment horizontal="right" shrinkToFit="0" wrapText="0"/>
    </xf>
    <xf borderId="0" fillId="0" fontId="6" numFmtId="0" xfId="0" applyAlignment="1" applyFont="1">
      <alignment horizontal="left" readingOrder="0" shrinkToFit="0" vertical="center" wrapText="0"/>
    </xf>
    <xf borderId="0" fillId="13" fontId="5" numFmtId="49" xfId="0" applyAlignment="1" applyFill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0"/>
    </xf>
    <xf borderId="15" fillId="13" fontId="5" numFmtId="49" xfId="0" applyAlignment="1" applyBorder="1" applyFont="1" applyNumberFormat="1">
      <alignment horizontal="center" readingOrder="0" shrinkToFit="0" vertical="center" wrapText="1"/>
    </xf>
    <xf borderId="0" fillId="13" fontId="5" numFmtId="0" xfId="0" applyAlignment="1" applyFon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 readingOrder="0" shrinkToFit="0" vertical="center" wrapText="1"/>
    </xf>
    <xf borderId="2" fillId="2" fontId="18" numFmtId="0" xfId="0" applyAlignment="1" applyBorder="1" applyFont="1">
      <alignment shrinkToFit="0" vertical="center" wrapText="0"/>
    </xf>
    <xf borderId="7" fillId="10" fontId="18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horizontal="center" readingOrder="0" shrinkToFit="0" vertical="center" wrapText="0"/>
    </xf>
    <xf borderId="11" fillId="2" fontId="3" numFmtId="0" xfId="0" applyAlignment="1" applyBorder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0"/>
    </xf>
    <xf borderId="11" fillId="2" fontId="3" numFmtId="49" xfId="0" applyAlignment="1" applyBorder="1" applyFont="1" applyNumberFormat="1">
      <alignment horizontal="center" readingOrder="0" shrinkToFit="0" vertical="center" wrapText="1"/>
    </xf>
    <xf borderId="16" fillId="2" fontId="3" numFmtId="49" xfId="0" applyAlignment="1" applyBorder="1" applyFont="1" applyNumberFormat="1">
      <alignment horizontal="center" readingOrder="0" shrinkToFit="0" vertical="center" wrapText="1"/>
    </xf>
    <xf borderId="7" fillId="10" fontId="18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readingOrder="0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1"/>
    </xf>
    <xf borderId="11" fillId="13" fontId="3" numFmtId="164" xfId="0" applyAlignment="1" applyBorder="1" applyFont="1" applyNumberFormat="1">
      <alignment horizontal="center" readingOrder="0" shrinkToFit="0" vertical="center" wrapText="0"/>
    </xf>
    <xf borderId="0" fillId="2" fontId="6" numFmtId="164" xfId="0" applyAlignment="1" applyFont="1" applyNumberFormat="1">
      <alignment shrinkToFit="0" vertical="center" wrapText="0"/>
    </xf>
    <xf borderId="11" fillId="2" fontId="3" numFmtId="164" xfId="0" applyAlignment="1" applyBorder="1" applyFont="1" applyNumberFormat="1">
      <alignment horizontal="center" readingOrder="0" shrinkToFit="0" vertical="center" wrapText="0"/>
    </xf>
    <xf borderId="0" fillId="13" fontId="3" numFmtId="164" xfId="0" applyAlignment="1" applyFont="1" applyNumberFormat="1">
      <alignment horizontal="center" readingOrder="0" shrinkToFit="0" vertical="center" wrapText="0"/>
    </xf>
    <xf borderId="17" fillId="13" fontId="12" numFmtId="0" xfId="0" applyAlignment="1" applyBorder="1" applyFont="1">
      <alignment horizontal="center" readingOrder="0" shrinkToFit="0" vertical="center" wrapText="0"/>
    </xf>
    <xf borderId="15" fillId="13" fontId="3" numFmtId="164" xfId="0" applyAlignment="1" applyBorder="1" applyFont="1" applyNumberFormat="1">
      <alignment horizontal="center" readingOrder="0" shrinkToFit="0" vertical="center" wrapText="0"/>
    </xf>
    <xf borderId="0" fillId="13" fontId="3" numFmtId="0" xfId="0" applyAlignment="1" applyFont="1">
      <alignment horizontal="center" readingOrder="0" shrinkToFit="0" vertical="center" wrapText="0"/>
    </xf>
    <xf borderId="0" fillId="13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1"/>
    </xf>
    <xf borderId="2" fillId="2" fontId="18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4" xfId="0" applyAlignment="1" applyFont="1" applyNumberFormat="1">
      <alignment horizontal="center" readingOrder="0" shrinkToFit="0" vertical="center" wrapText="1"/>
    </xf>
    <xf borderId="18" fillId="2" fontId="3" numFmtId="0" xfId="0" applyAlignment="1" applyBorder="1" applyFont="1">
      <alignment horizontal="center" readingOrder="0" shrinkToFit="0" vertical="center" wrapText="0"/>
    </xf>
    <xf borderId="19" fillId="2" fontId="3" numFmtId="0" xfId="0" applyAlignment="1" applyBorder="1" applyFont="1">
      <alignment horizontal="center" readingOrder="0" shrinkToFit="0" vertical="center" wrapText="0"/>
    </xf>
    <xf borderId="19" fillId="0" fontId="3" numFmtId="0" xfId="0" applyAlignment="1" applyBorder="1" applyFont="1">
      <alignment horizontal="center" shrinkToFit="0" vertical="center" wrapText="1"/>
    </xf>
    <xf borderId="19" fillId="13" fontId="3" numFmtId="164" xfId="0" applyAlignment="1" applyBorder="1" applyFont="1" applyNumberFormat="1">
      <alignment horizontal="center" readingOrder="0" shrinkToFit="0" vertical="center" wrapText="0"/>
    </xf>
    <xf borderId="2" fillId="2" fontId="9" numFmtId="0" xfId="0" applyAlignment="1" applyBorder="1" applyFont="1">
      <alignment horizontal="center" shrinkToFit="0" vertical="center" wrapText="1"/>
    </xf>
    <xf borderId="20" fillId="13" fontId="12" numFmtId="0" xfId="0" applyAlignment="1" applyBorder="1" applyFont="1">
      <alignment horizontal="center" readingOrder="0" shrinkToFit="0" vertical="center" wrapText="0"/>
    </xf>
    <xf borderId="8" fillId="12" fontId="5" numFmtId="0" xfId="0" applyAlignment="1" applyBorder="1" applyFont="1">
      <alignment horizontal="center" readingOrder="0" shrinkToFit="0" vertical="center" wrapText="1"/>
    </xf>
    <xf borderId="0" fillId="2" fontId="6" numFmtId="0" xfId="0" applyFont="1"/>
    <xf borderId="0" fillId="2" fontId="5" numFmtId="165" xfId="0" applyAlignment="1" applyFont="1" applyNumberFormat="1">
      <alignment horizontal="center" shrinkToFit="0" vertical="center" wrapText="1"/>
    </xf>
    <xf borderId="9" fillId="12" fontId="5" numFmtId="165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0"/>
    </xf>
    <xf borderId="8" fillId="12" fontId="5" numFmtId="0" xfId="0" applyAlignment="1" applyBorder="1" applyFont="1">
      <alignment readingOrder="0" shrinkToFit="0" vertical="center" wrapText="0"/>
    </xf>
    <xf borderId="0" fillId="6" fontId="20" numFmtId="0" xfId="0" applyAlignment="1" applyFont="1">
      <alignment horizontal="center" readingOrder="0" vertical="center"/>
    </xf>
    <xf borderId="11" fillId="12" fontId="5" numFmtId="0" xfId="0" applyAlignment="1" applyBorder="1" applyFont="1">
      <alignment horizontal="center" readingOrder="0" shrinkToFit="0" vertical="center" wrapText="0"/>
    </xf>
    <xf borderId="11" fillId="12" fontId="5" numFmtId="0" xfId="0" applyAlignment="1" applyBorder="1" applyFont="1">
      <alignment horizontal="center" readingOrder="0" shrinkToFit="0" vertical="center" wrapText="1"/>
    </xf>
    <xf borderId="11" fillId="12" fontId="5" numFmtId="49" xfId="0" applyAlignment="1" applyBorder="1" applyFont="1" applyNumberFormat="1">
      <alignment horizontal="center" readingOrder="0" shrinkToFit="0" vertical="center" wrapText="1"/>
    </xf>
    <xf borderId="11" fillId="12" fontId="5" numFmtId="49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13" fontId="21" numFmtId="0" xfId="0" applyAlignment="1" applyFont="1">
      <alignment horizontal="center" readingOrder="0" shrinkToFit="0" vertical="center" wrapText="1"/>
    </xf>
    <xf borderId="0" fillId="13" fontId="21" numFmtId="49" xfId="0" applyAlignment="1" applyFont="1" applyNumberFormat="1">
      <alignment horizontal="center" readingOrder="0" shrinkToFit="0" vertical="center" wrapText="1"/>
    </xf>
    <xf borderId="7" fillId="10" fontId="9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readingOrder="0" shrinkToFit="0" vertical="center" wrapText="0"/>
    </xf>
    <xf borderId="11" fillId="2" fontId="3" numFmtId="49" xfId="0" applyAlignment="1" applyBorder="1" applyFont="1" applyNumberFormat="1">
      <alignment readingOrder="0" shrinkToFit="0" vertical="center" wrapText="1"/>
    </xf>
    <xf borderId="16" fillId="2" fontId="3" numFmtId="49" xfId="0" applyAlignment="1" applyBorder="1" applyFont="1" applyNumberForma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readingOrder="0" shrinkToFit="0" vertical="center" wrapText="0"/>
    </xf>
    <xf borderId="0" fillId="2" fontId="6" numFmtId="0" xfId="0" applyAlignment="1" applyFont="1">
      <alignment shrinkToFit="0" vertical="center" wrapText="0"/>
    </xf>
    <xf borderId="11" fillId="2" fontId="3" numFmtId="164" xfId="0" applyAlignment="1" applyBorder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shrinkToFit="0" vertical="center" wrapText="1"/>
    </xf>
    <xf borderId="11" fillId="13" fontId="22" numFmtId="164" xfId="0" applyAlignment="1" applyBorder="1" applyFont="1" applyNumberFormat="1">
      <alignment horizontal="center" readingOrder="0" shrinkToFit="0" vertical="center" wrapText="1"/>
    </xf>
    <xf borderId="11" fillId="13" fontId="22" numFmtId="164" xfId="0" applyAlignment="1" applyBorder="1" applyFont="1" applyNumberFormat="1">
      <alignment horizontal="center" readingOrder="0" shrinkToFit="0" vertical="center" wrapText="0"/>
    </xf>
    <xf borderId="11" fillId="13" fontId="22" numFmtId="164" xfId="0" applyAlignment="1" applyBorder="1" applyFont="1" applyNumberFormat="1">
      <alignment horizontal="center" readingOrder="0" shrinkToFit="0" vertical="center" wrapText="0"/>
    </xf>
    <xf borderId="7" fillId="10" fontId="13" numFmtId="0" xfId="0" applyAlignment="1" applyBorder="1" applyFont="1">
      <alignment shrinkToFit="0" vertical="center" wrapText="0"/>
    </xf>
    <xf borderId="2" fillId="2" fontId="13" numFmtId="0" xfId="0" applyAlignment="1" applyBorder="1" applyFont="1">
      <alignment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0" fillId="7" fontId="23" numFmtId="0" xfId="0" applyAlignment="1" applyBorder="1" applyFont="1">
      <alignment horizontal="center"/>
    </xf>
    <xf borderId="8" fillId="7" fontId="23" numFmtId="0" xfId="0" applyAlignment="1" applyBorder="1" applyFont="1">
      <alignment horizontal="center"/>
    </xf>
    <xf borderId="0" fillId="0" fontId="24" numFmtId="0" xfId="0" applyFont="1"/>
    <xf borderId="0" fillId="0" fontId="24" numFmtId="0" xfId="0" applyAlignment="1" applyFont="1">
      <alignment vertical="bottom"/>
    </xf>
    <xf borderId="11" fillId="14" fontId="25" numFmtId="0" xfId="0" applyAlignment="1" applyBorder="1" applyFill="1" applyFont="1">
      <alignment horizontal="center"/>
    </xf>
    <xf borderId="11" fillId="0" fontId="25" numFmtId="10" xfId="0" applyAlignment="1" applyBorder="1" applyFont="1" applyNumberFormat="1">
      <alignment horizontal="center"/>
    </xf>
    <xf borderId="11" fillId="7" fontId="23" numFmtId="0" xfId="0" applyAlignment="1" applyBorder="1" applyFont="1">
      <alignment shrinkToFit="0" wrapText="1"/>
    </xf>
    <xf borderId="11" fillId="0" fontId="24" numFmtId="0" xfId="0" applyBorder="1" applyFont="1"/>
    <xf borderId="11" fillId="0" fontId="25" numFmtId="10" xfId="0" applyAlignment="1" applyBorder="1" applyFont="1" applyNumberFormat="1">
      <alignment horizontal="center" readingOrder="0"/>
    </xf>
    <xf borderId="21" fillId="15" fontId="26" numFmtId="0" xfId="0" applyAlignment="1" applyBorder="1" applyFill="1" applyFont="1">
      <alignment horizontal="center"/>
    </xf>
    <xf borderId="22" fillId="0" fontId="14" numFmtId="0" xfId="0" applyBorder="1" applyFont="1"/>
    <xf borderId="23" fillId="0" fontId="14" numFmtId="0" xfId="0" applyBorder="1" applyFont="1"/>
    <xf borderId="11" fillId="14" fontId="25" numFmtId="0" xfId="0" applyAlignment="1" applyBorder="1" applyFont="1">
      <alignment horizontal="center" readingOrder="0"/>
    </xf>
    <xf borderId="2" fillId="0" fontId="25" numFmtId="0" xfId="0" applyAlignment="1" applyBorder="1" applyFont="1">
      <alignment horizontal="center"/>
    </xf>
    <xf borderId="2" fillId="0" fontId="27" numFmtId="0" xfId="0" applyBorder="1" applyFont="1"/>
    <xf borderId="2" fillId="0" fontId="28" numFmtId="0" xfId="0" applyBorder="1" applyFont="1"/>
    <xf borderId="24" fillId="0" fontId="28" numFmtId="0" xfId="0" applyBorder="1" applyFont="1"/>
    <xf borderId="11" fillId="7" fontId="23" numFmtId="0" xfId="0" applyAlignment="1" applyBorder="1" applyFont="1">
      <alignment horizontal="center" readingOrder="0" shrinkToFit="0" wrapText="1"/>
    </xf>
    <xf borderId="11" fillId="14" fontId="25" numFmtId="164" xfId="0" applyAlignment="1" applyBorder="1" applyFont="1" applyNumberFormat="1">
      <alignment horizontal="center"/>
    </xf>
    <xf borderId="0" fillId="0" fontId="24" numFmtId="0" xfId="0" applyAlignment="1" applyFont="1">
      <alignment horizontal="center"/>
    </xf>
    <xf borderId="11" fillId="7" fontId="23" numFmtId="0" xfId="0" applyAlignment="1" applyBorder="1" applyFont="1">
      <alignment horizontal="center" shrinkToFit="0" wrapText="1"/>
    </xf>
    <xf borderId="0" fillId="0" fontId="18" numFmtId="0" xfId="0" applyFont="1"/>
    <xf borderId="11" fillId="7" fontId="23" numFmtId="0" xfId="0" applyAlignment="1" applyBorder="1" applyFont="1">
      <alignment readingOrder="0" shrinkToFit="0" wrapText="1"/>
    </xf>
    <xf borderId="11" fillId="14" fontId="25" numFmtId="164" xfId="0" applyAlignment="1" applyBorder="1" applyFont="1" applyNumberFormat="1">
      <alignment horizontal="center" readingOrder="0"/>
    </xf>
    <xf borderId="0" fillId="0" fontId="18" numFmtId="0" xfId="0" applyAlignment="1" applyFont="1">
      <alignment horizontal="center"/>
    </xf>
    <xf borderId="11" fillId="7" fontId="23" numFmtId="0" xfId="0" applyAlignment="1" applyBorder="1" applyFont="1">
      <alignment horizontal="center" readingOrder="0"/>
    </xf>
    <xf borderId="11" fillId="7" fontId="23" numFmtId="0" xfId="0" applyAlignment="1" applyBorder="1" applyFont="1">
      <alignment horizontal="center"/>
    </xf>
    <xf borderId="25" fillId="0" fontId="28" numFmtId="0" xfId="0" applyBorder="1" applyFont="1"/>
    <xf borderId="11" fillId="0" fontId="6" numFmtId="0" xfId="0" applyAlignment="1" applyBorder="1" applyFont="1">
      <alignment horizontal="center" readingOrder="0"/>
    </xf>
    <xf borderId="11" fillId="0" fontId="6" numFmtId="4" xfId="0" applyAlignment="1" applyBorder="1" applyFont="1" applyNumberFormat="1">
      <alignment horizontal="center" readingOrder="0"/>
    </xf>
    <xf borderId="11" fillId="0" fontId="24" numFmtId="0" xfId="0" applyAlignment="1" applyBorder="1" applyFont="1">
      <alignment horizontal="center" readingOrder="0"/>
    </xf>
    <xf borderId="11" fillId="0" fontId="24" numFmtId="166" xfId="0" applyAlignment="1" applyBorder="1" applyFont="1" applyNumberFormat="1">
      <alignment horizontal="center" readingOrder="0"/>
    </xf>
    <xf borderId="26" fillId="0" fontId="28" numFmtId="0" xfId="0" applyBorder="1" applyFont="1"/>
    <xf borderId="27" fillId="0" fontId="28" numFmtId="0" xfId="0" applyBorder="1" applyFont="1"/>
    <xf borderId="28" fillId="0" fontId="28" numFmtId="0" xfId="0" applyBorder="1" applyFont="1"/>
    <xf borderId="0" fillId="0" fontId="24" numFmtId="10" xfId="0" applyFont="1" applyNumberFormat="1"/>
    <xf borderId="10" fillId="7" fontId="23" numFmtId="0" xfId="0" applyAlignment="1" applyBorder="1" applyFont="1">
      <alignment horizontal="center" shrinkToFit="0" wrapText="1"/>
    </xf>
    <xf borderId="11" fillId="14" fontId="25" numFmtId="167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2" fontId="8" numFmtId="0" xfId="0" applyAlignment="1" applyFont="1">
      <alignment readingOrder="0" shrinkToFit="0" wrapText="1"/>
    </xf>
    <xf borderId="11" fillId="12" fontId="5" numFmtId="165" xfId="0" applyAlignment="1" applyBorder="1" applyFont="1" applyNumberFormat="1">
      <alignment horizontal="center" shrinkToFit="0" vertical="center" wrapText="1"/>
    </xf>
    <xf borderId="8" fillId="12" fontId="5" numFmtId="16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wrapText="1"/>
    </xf>
    <xf borderId="8" fillId="12" fontId="5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164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164" xfId="0" applyAlignment="1" applyFont="1" applyNumberFormat="1">
      <alignment horizontal="center" readingOrder="0" shrinkToFit="0" vertical="center" wrapText="0"/>
    </xf>
    <xf borderId="0" fillId="11" fontId="5" numFmtId="0" xfId="0" applyAlignment="1" applyFont="1">
      <alignment horizontal="center" readingOrder="0" shrinkToFit="0" vertical="center" wrapText="0"/>
    </xf>
    <xf borderId="0" fillId="11" fontId="5" numFmtId="0" xfId="0" applyAlignment="1" applyFont="1">
      <alignment horizontal="center" readingOrder="0" shrinkToFit="0" vertical="center" wrapText="1"/>
    </xf>
    <xf borderId="0" fillId="11" fontId="5" numFmtId="49" xfId="0" applyAlignment="1" applyFont="1" applyNumberFormat="1">
      <alignment horizontal="center" readingOrder="0" shrinkToFit="0" vertical="center" wrapText="1"/>
    </xf>
    <xf borderId="0" fillId="11" fontId="5" numFmtId="49" xfId="0" applyAlignment="1" applyFont="1" applyNumberForma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vertical="center" wrapText="1"/>
    </xf>
    <xf borderId="19" fillId="2" fontId="3" numFmtId="0" xfId="0" applyAlignment="1" applyBorder="1" applyFont="1">
      <alignment horizontal="center" readingOrder="0" shrinkToFit="0" vertical="center" wrapText="0"/>
    </xf>
    <xf borderId="19" fillId="0" fontId="3" numFmtId="0" xfId="0" applyAlignment="1" applyBorder="1" applyFont="1">
      <alignment horizontal="center" shrinkToFit="0" vertical="center" wrapText="1"/>
    </xf>
    <xf borderId="19" fillId="2" fontId="3" numFmtId="0" xfId="0" applyAlignment="1" applyBorder="1" applyFont="1">
      <alignment readingOrder="0" shrinkToFit="0" vertical="center" wrapText="1"/>
    </xf>
    <xf borderId="11" fillId="2" fontId="3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shrinkToFit="0" vertical="center" wrapText="1"/>
    </xf>
    <xf borderId="11" fillId="2" fontId="3" numFmtId="49" xfId="0" applyAlignment="1" applyBorder="1" applyFont="1" applyNumberForma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0"/>
    </xf>
    <xf borderId="11" fillId="2" fontId="3" numFmtId="0" xfId="0" applyAlignment="1" applyBorder="1" applyFont="1">
      <alignment readingOrder="0" shrinkToFit="0" vertical="center" wrapText="1"/>
    </xf>
    <xf borderId="8" fillId="2" fontId="3" numFmtId="0" xfId="0" applyAlignment="1" applyBorder="1" applyFont="1">
      <alignment horizontal="center" readingOrder="0" shrinkToFit="0" vertical="center" wrapText="0"/>
    </xf>
    <xf borderId="0" fillId="0" fontId="30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readingOrder="0" vertical="center"/>
    </xf>
    <xf borderId="0" fillId="7" fontId="31" numFmtId="0" xfId="0" applyAlignment="1" applyFont="1">
      <alignment horizontal="center" shrinkToFit="0" vertical="center" wrapText="1"/>
    </xf>
    <xf borderId="11" fillId="2" fontId="3" numFmtId="164" xfId="0" applyAlignment="1" applyBorder="1" applyFont="1" applyNumberFormat="1">
      <alignment horizontal="center" readingOrder="0" shrinkToFit="0" vertical="center" wrapText="0"/>
    </xf>
    <xf borderId="0" fillId="0" fontId="32" numFmtId="0" xfId="0" applyAlignment="1" applyFont="1">
      <alignment horizontal="center" readingOrder="0" shrinkToFit="0" vertical="center" wrapText="1"/>
    </xf>
    <xf borderId="0" fillId="7" fontId="31" numFmtId="164" xfId="0" applyAlignment="1" applyFont="1" applyNumberFormat="1">
      <alignment horizontal="center" shrinkToFit="0" vertical="center" wrapText="1"/>
    </xf>
    <xf borderId="11" fillId="2" fontId="3" numFmtId="164" xfId="0" applyAlignment="1" applyBorder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vertical="center"/>
    </xf>
    <xf borderId="2" fillId="2" fontId="28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vertical="center"/>
    </xf>
    <xf borderId="11" fillId="2" fontId="3" numFmtId="164" xfId="0" applyAlignment="1" applyBorder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1"/>
    </xf>
    <xf borderId="0" fillId="9" fontId="32" numFmtId="0" xfId="0" applyAlignment="1" applyFont="1">
      <alignment horizontal="center" vertical="center"/>
    </xf>
    <xf borderId="0" fillId="9" fontId="32" numFmtId="164" xfId="0" applyAlignment="1" applyFont="1" applyNumberFormat="1">
      <alignment horizontal="center" vertical="center"/>
    </xf>
    <xf borderId="0" fillId="7" fontId="31" numFmtId="0" xfId="0" applyAlignment="1" applyFont="1">
      <alignment horizontal="center" readingOrder="0" shrinkToFit="0" vertical="center" wrapText="1"/>
    </xf>
    <xf borderId="0" fillId="9" fontId="24" numFmtId="164" xfId="0" applyAlignment="1" applyFont="1" applyNumberFormat="1">
      <alignment vertical="center"/>
    </xf>
    <xf borderId="0" fillId="0" fontId="6" numFmtId="164" xfId="0" applyAlignment="1" applyFont="1" applyNumberFormat="1">
      <alignment horizontal="center"/>
    </xf>
    <xf borderId="0" fillId="0" fontId="30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7" fontId="31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7" fontId="34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7" fontId="34" numFmtId="0" xfId="0" applyAlignment="1" applyFont="1">
      <alignment horizontal="center" readingOrder="0" shrinkToFit="0" vertical="center" wrapText="1"/>
    </xf>
    <xf borderId="18" fillId="2" fontId="3" numFmtId="0" xfId="0" applyAlignment="1" applyBorder="1" applyFont="1">
      <alignment horizontal="center" readingOrder="0" shrinkToFit="0" vertical="center" wrapText="0"/>
    </xf>
    <xf borderId="11" fillId="2" fontId="35" numFmtId="0" xfId="0" applyAlignment="1" applyBorder="1" applyFont="1">
      <alignment horizontal="center" shrinkToFit="0" vertical="center" wrapText="0"/>
    </xf>
    <xf borderId="11" fillId="2" fontId="35" numFmtId="0" xfId="0" applyAlignment="1" applyBorder="1" applyFont="1">
      <alignment readingOrder="0" shrinkToFit="0" vertical="center" wrapText="0"/>
    </xf>
    <xf borderId="11" fillId="2" fontId="35" numFmtId="0" xfId="0" applyAlignment="1" applyBorder="1" applyFont="1">
      <alignment readingOrder="0" shrinkToFit="0" vertical="center" wrapText="0"/>
    </xf>
    <xf borderId="11" fillId="2" fontId="35" numFmtId="0" xfId="0" applyAlignment="1" applyBorder="1" applyFont="1">
      <alignment shrinkToFit="0" vertical="center" wrapText="0"/>
    </xf>
    <xf borderId="11" fillId="2" fontId="36" numFmtId="0" xfId="0" applyAlignment="1" applyBorder="1" applyFont="1">
      <alignment shrinkToFit="0" vertical="center" wrapText="0"/>
    </xf>
    <xf borderId="11" fillId="2" fontId="35" numFmtId="49" xfId="0" applyAlignment="1" applyBorder="1" applyFont="1" applyNumberFormat="1">
      <alignment readingOrder="0" shrinkToFit="0" vertical="center" wrapText="0"/>
    </xf>
    <xf borderId="11" fillId="2" fontId="35" numFmtId="164" xfId="0" applyAlignment="1" applyBorder="1" applyFont="1" applyNumberFormat="1">
      <alignment horizontal="center" shrinkToFit="0" vertical="center" wrapText="0"/>
    </xf>
    <xf borderId="0" fillId="2" fontId="35" numFmtId="0" xfId="0" applyAlignment="1" applyFont="1">
      <alignment horizontal="center" shrinkToFit="0" vertical="center" wrapText="0"/>
    </xf>
    <xf borderId="0" fillId="9" fontId="36" numFmtId="0" xfId="0" applyAlignment="1" applyFont="1">
      <alignment horizontal="center" vertical="bottom"/>
    </xf>
    <xf borderId="0" fillId="9" fontId="36" numFmtId="164" xfId="0" applyAlignment="1" applyFont="1" applyNumberFormat="1">
      <alignment horizontal="center" vertical="bottom"/>
    </xf>
    <xf borderId="11" fillId="10" fontId="35" numFmtId="0" xfId="0" applyAlignment="1" applyBorder="1" applyFont="1">
      <alignment horizontal="center" shrinkToFit="0" vertical="center" wrapText="0"/>
    </xf>
    <xf borderId="11" fillId="10" fontId="37" numFmtId="0" xfId="0" applyAlignment="1" applyBorder="1" applyFont="1">
      <alignment shrinkToFit="0" vertical="center" wrapText="0"/>
    </xf>
    <xf borderId="11" fillId="10" fontId="37" numFmtId="0" xfId="0" applyAlignment="1" applyBorder="1" applyFont="1">
      <alignment shrinkToFit="0" vertical="center" wrapText="0"/>
    </xf>
    <xf borderId="11" fillId="10" fontId="35" numFmtId="0" xfId="0" applyAlignment="1" applyBorder="1" applyFont="1">
      <alignment shrinkToFit="0" vertical="center" wrapText="0"/>
    </xf>
    <xf borderId="11" fillId="10" fontId="36" numFmtId="0" xfId="0" applyAlignment="1" applyBorder="1" applyFont="1">
      <alignment shrinkToFit="0" vertical="center" wrapText="0"/>
    </xf>
    <xf borderId="0" fillId="9" fontId="6" numFmtId="0" xfId="0" applyAlignment="1" applyFont="1">
      <alignment horizontal="center"/>
    </xf>
    <xf borderId="0" fillId="9" fontId="6" numFmtId="164" xfId="0" applyAlignment="1" applyFont="1" applyNumberFormat="1">
      <alignment horizontal="center"/>
    </xf>
    <xf borderId="11" fillId="2" fontId="37" numFmtId="0" xfId="0" applyAlignment="1" applyBorder="1" applyFont="1">
      <alignment shrinkToFit="0" vertical="center" wrapText="0"/>
    </xf>
    <xf borderId="11" fillId="10" fontId="38" numFmtId="0" xfId="0" applyAlignment="1" applyBorder="1" applyFont="1">
      <alignment shrinkToFit="0" vertical="center" wrapText="0"/>
    </xf>
    <xf borderId="11" fillId="10" fontId="35" numFmtId="0" xfId="0" applyAlignment="1" applyBorder="1" applyFont="1">
      <alignment shrinkToFit="0" vertical="center" wrapText="0"/>
    </xf>
    <xf borderId="11" fillId="2" fontId="39" numFmtId="0" xfId="0" applyAlignment="1" applyBorder="1" applyFont="1">
      <alignment shrinkToFit="0" vertical="center" wrapText="0"/>
    </xf>
    <xf borderId="11" fillId="2" fontId="39" numFmtId="0" xfId="0" applyAlignment="1" applyBorder="1" applyFont="1">
      <alignment shrinkToFit="0" vertical="center" wrapText="0"/>
    </xf>
    <xf borderId="11" fillId="2" fontId="35" numFmtId="0" xfId="0" applyAlignment="1" applyBorder="1" applyFont="1">
      <alignment shrinkToFit="0" vertical="center" wrapText="0"/>
    </xf>
    <xf borderId="11" fillId="10" fontId="35" numFmtId="0" xfId="0" applyAlignment="1" applyBorder="1" applyFont="1">
      <alignment readingOrder="0" shrinkToFit="0" vertical="center" wrapText="0"/>
    </xf>
    <xf borderId="11" fillId="2" fontId="37" numFmtId="0" xfId="0" applyAlignment="1" applyBorder="1" applyFont="1">
      <alignment shrinkToFit="0" vertical="center" wrapText="0"/>
    </xf>
    <xf borderId="11" fillId="10" fontId="35" numFmtId="0" xfId="0" applyAlignment="1" applyBorder="1" applyFont="1">
      <alignment readingOrder="0" shrinkToFit="0" vertical="center" wrapText="0"/>
    </xf>
    <xf borderId="11" fillId="10" fontId="38" numFmtId="0" xfId="0" applyAlignment="1" applyBorder="1" applyFont="1">
      <alignment shrinkToFit="0" vertical="center" wrapText="0"/>
    </xf>
    <xf borderId="0" fillId="0" fontId="17" numFmtId="4" xfId="0" applyAlignment="1" applyFont="1" applyNumberFormat="1">
      <alignment horizontal="center" readingOrder="0" shrinkToFit="0" vertical="center" wrapText="1"/>
    </xf>
    <xf borderId="11" fillId="10" fontId="37" numFmtId="0" xfId="0" applyAlignment="1" applyBorder="1" applyFont="1">
      <alignment readingOrder="0" shrinkToFit="0" vertical="center" wrapText="0"/>
    </xf>
    <xf borderId="11" fillId="2" fontId="38" numFmtId="0" xfId="0" applyAlignment="1" applyBorder="1" applyFont="1">
      <alignment shrinkToFit="0" vertical="center" wrapText="0"/>
    </xf>
    <xf borderId="11" fillId="10" fontId="39" numFmtId="0" xfId="0" applyAlignment="1" applyBorder="1" applyFont="1">
      <alignment shrinkToFit="0" vertical="center" wrapText="0"/>
    </xf>
    <xf borderId="0" fillId="9" fontId="18" numFmtId="0" xfId="0" applyAlignment="1" applyFont="1">
      <alignment horizontal="center" vertical="bottom"/>
    </xf>
    <xf borderId="0" fillId="9" fontId="18" numFmtId="164" xfId="0" applyAlignment="1" applyFont="1" applyNumberFormat="1">
      <alignment horizontal="center" vertical="bottom"/>
    </xf>
    <xf borderId="11" fillId="10" fontId="39" numFmtId="0" xfId="0" applyAlignment="1" applyBorder="1" applyFont="1">
      <alignment readingOrder="0" shrinkToFit="0" vertical="center" wrapText="0"/>
    </xf>
    <xf borderId="11" fillId="2" fontId="38" numFmtId="0" xfId="0" applyAlignment="1" applyBorder="1" applyFont="1">
      <alignment shrinkToFit="0" vertical="center" wrapText="0"/>
    </xf>
    <xf borderId="19" fillId="2" fontId="3" numFmtId="0" xfId="0" applyAlignment="1" applyBorder="1" applyFont="1">
      <alignment readingOrder="0" shrinkToFit="0" vertical="center" wrapText="0"/>
    </xf>
    <xf borderId="19" fillId="2" fontId="3" numFmtId="164" xfId="0" applyAlignment="1" applyBorder="1" applyFont="1" applyNumberFormat="1">
      <alignment horizontal="center" readingOrder="0" shrinkToFit="0" vertical="center" wrapText="0"/>
    </xf>
    <xf borderId="10" fillId="12" fontId="5" numFmtId="165" xfId="0" applyAlignment="1" applyBorder="1" applyFont="1" applyNumberFormat="1">
      <alignment horizontal="center" shrinkToFit="0" vertical="center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17" numFmtId="164" xfId="0" applyAlignment="1" applyFont="1" applyNumberForma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bottom" wrapText="0"/>
    </xf>
    <xf borderId="0" fillId="11" fontId="5" numFmtId="0" xfId="0" applyAlignment="1" applyFont="1">
      <alignment readingOrder="0" shrinkToFit="0" vertical="bottom" wrapText="0"/>
    </xf>
    <xf borderId="0" fillId="11" fontId="5" numFmtId="0" xfId="0" applyAlignment="1" applyFont="1">
      <alignment readingOrder="0" shrinkToFit="0" vertical="bottom" wrapText="1"/>
    </xf>
    <xf borderId="0" fillId="11" fontId="5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12" fontId="5" numFmtId="0" xfId="0" applyAlignment="1" applyFont="1">
      <alignment horizontal="center" readingOrder="0" shrinkToFit="0" vertical="center" wrapText="0"/>
    </xf>
    <xf borderId="0" fillId="12" fontId="5" numFmtId="0" xfId="0" applyAlignment="1" applyFont="1">
      <alignment horizontal="center" readingOrder="0" shrinkToFit="0" vertical="center" wrapText="1"/>
    </xf>
    <xf borderId="0" fillId="12" fontId="5" numFmtId="49" xfId="0" applyAlignment="1" applyFont="1" applyNumberFormat="1">
      <alignment horizontal="center" readingOrder="0" shrinkToFit="0" vertical="center" wrapText="1"/>
    </xf>
    <xf borderId="0" fillId="12" fontId="5" numFmtId="49" xfId="0" applyAlignment="1" applyFont="1" applyNumberFormat="1">
      <alignment horizontal="center" readingOrder="0" shrinkToFit="0" vertical="center" wrapText="0"/>
    </xf>
    <xf borderId="0" fillId="12" fontId="4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9" fillId="10" fontId="18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readingOrder="0" shrinkToFit="0" vertical="center" wrapText="1"/>
    </xf>
    <xf borderId="18" fillId="2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0"/>
    </xf>
    <xf borderId="8" fillId="2" fontId="3" numFmtId="164" xfId="0" applyAlignment="1" applyBorder="1" applyFont="1" applyNumberFormat="1">
      <alignment horizontal="center" readingOrder="0" shrinkToFit="0" vertical="center" wrapText="1"/>
    </xf>
    <xf borderId="0" fillId="0" fontId="41" numFmtId="0" xfId="0" applyAlignment="1" applyFont="1">
      <alignment horizontal="center" vertical="bottom"/>
    </xf>
    <xf borderId="0" fillId="0" fontId="24" numFmtId="0" xfId="0" applyAlignment="1" applyFont="1">
      <alignment horizontal="center" readingOrder="0" vertical="bottom"/>
    </xf>
    <xf borderId="0" fillId="0" fontId="24" numFmtId="168" xfId="0" applyAlignment="1" applyFont="1" applyNumberFormat="1">
      <alignment horizontal="center" readingOrder="0" vertical="bottom"/>
    </xf>
    <xf borderId="30" fillId="15" fontId="42" numFmtId="10" xfId="0" applyAlignment="1" applyBorder="1" applyFont="1" applyNumberFormat="1">
      <alignment horizontal="center" readingOrder="0" shrinkToFit="0" wrapText="1"/>
    </xf>
    <xf borderId="0" fillId="0" fontId="24" numFmtId="0" xfId="0" applyAlignment="1" applyFont="1">
      <alignment horizontal="center" vertical="bottom"/>
    </xf>
    <xf borderId="0" fillId="0" fontId="6" numFmtId="0" xfId="0" applyAlignment="1" applyFon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shrinkToFit="0" vertical="top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2" fontId="3" numFmtId="165" xfId="0" applyAlignment="1" applyBorder="1" applyFont="1" applyNumberFormat="1">
      <alignment horizontal="center" shrinkToFit="0" vertical="center" wrapText="0"/>
    </xf>
    <xf borderId="11" fillId="10" fontId="3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shrinkToFit="0" vertical="center" wrapText="0"/>
    </xf>
    <xf borderId="8" fillId="11" fontId="5" numFmtId="0" xfId="0" applyAlignment="1" applyBorder="1" applyFont="1">
      <alignment horizontal="center" readingOrder="0" shrinkToFit="0" vertical="center" wrapText="1"/>
    </xf>
    <xf borderId="8" fillId="11" fontId="5" numFmtId="16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0" fillId="0" fontId="12" numFmtId="4" xfId="0" applyAlignment="1" applyFont="1" applyNumberFormat="1">
      <alignment horizontal="right" readingOrder="0" shrinkToFit="0" wrapText="1"/>
    </xf>
    <xf borderId="0" fillId="0" fontId="12" numFmtId="4" xfId="0" applyAlignment="1" applyFont="1" applyNumberFormat="1">
      <alignment horizontal="right" readingOrder="0"/>
    </xf>
    <xf borderId="0" fillId="0" fontId="12" numFmtId="4" xfId="0" applyAlignment="1" applyFont="1" applyNumberFormat="1">
      <alignment horizontal="center" readingOrder="0"/>
    </xf>
    <xf borderId="0" fillId="0" fontId="3" numFmtId="169" xfId="0" applyAlignment="1" applyFont="1" applyNumberFormat="1">
      <alignment horizontal="center" readingOrder="0" shrinkToFit="0" vertical="bottom" wrapText="0"/>
    </xf>
    <xf borderId="0" fillId="0" fontId="3" numFmtId="169" xfId="0" applyAlignment="1" applyFont="1" applyNumberFormat="1">
      <alignment horizontal="left" readingOrder="0" shrinkToFit="0" vertical="bottom" wrapText="0"/>
    </xf>
    <xf borderId="31" fillId="0" fontId="12" numFmtId="4" xfId="0" applyAlignment="1" applyBorder="1" applyFont="1" applyNumberFormat="1">
      <alignment horizontal="right" readingOrder="0" shrinkToFit="0" wrapText="1"/>
    </xf>
    <xf borderId="31" fillId="0" fontId="14" numFmtId="0" xfId="0" applyBorder="1" applyFont="1"/>
    <xf borderId="31" fillId="0" fontId="3" numFmtId="169" xfId="0" applyAlignment="1" applyBorder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31" fillId="0" fontId="3" numFmtId="0" xfId="0" applyAlignment="1" applyBorder="1" applyFont="1">
      <alignment horizontal="center" shrinkToFit="0" vertical="bottom" wrapText="1"/>
    </xf>
    <xf borderId="0" fillId="0" fontId="6" numFmtId="164" xfId="0" applyAlignment="1" applyFont="1" applyNumberFormat="1">
      <alignment shrinkToFit="0" vertical="center" wrapText="0"/>
    </xf>
    <xf borderId="0" fillId="2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6" numFmtId="164" xfId="0" applyAlignment="1" applyFont="1" applyNumberFormat="1">
      <alignment horizontal="center" shrinkToFit="0" vertical="center" wrapText="0"/>
    </xf>
    <xf borderId="0" fillId="0" fontId="6" numFmtId="164" xfId="0" applyAlignment="1" applyFont="1" applyNumberFormat="1">
      <alignment shrinkToFit="0" vertical="center" wrapText="0"/>
    </xf>
    <xf borderId="32" fillId="4" fontId="3" numFmtId="0" xfId="0" applyAlignment="1" applyBorder="1" applyFont="1">
      <alignment shrinkToFit="0" vertical="bottom" wrapText="0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horizontal="center" shrinkToFit="0" vertical="bottom" wrapText="0"/>
    </xf>
    <xf borderId="0" fillId="5" fontId="5" numFmtId="0" xfId="0" applyAlignment="1" applyFont="1">
      <alignment horizontal="center" shrinkToFit="0" vertical="center" wrapText="0"/>
    </xf>
    <xf borderId="0" fillId="5" fontId="1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1" fillId="10" fontId="39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11" fillId="10" fontId="43" numFmtId="0" xfId="0" applyAlignment="1" applyBorder="1" applyFont="1">
      <alignment horizontal="center" shrinkToFit="0" vertical="center" wrapText="0"/>
    </xf>
    <xf borderId="11" fillId="10" fontId="37" numFmtId="0" xfId="0" applyAlignment="1" applyBorder="1" applyFont="1">
      <alignment readingOrder="0" shrinkToFit="0" vertical="center" wrapText="0"/>
    </xf>
    <xf borderId="0" fillId="2" fontId="35" numFmtId="0" xfId="0" applyAlignment="1" applyFont="1">
      <alignment horizontal="center" readingOrder="0" shrinkToFit="0" vertical="center" wrapText="0"/>
    </xf>
    <xf borderId="11" fillId="2" fontId="38" numFmtId="0" xfId="0" applyAlignment="1" applyBorder="1" applyFont="1">
      <alignment readingOrder="0" shrinkToFit="0" vertical="center" wrapText="0"/>
    </xf>
    <xf borderId="11" fillId="10" fontId="35" numFmtId="0" xfId="0" applyAlignment="1" applyBorder="1" applyFont="1">
      <alignment horizontal="center" shrinkToFit="0" vertical="center" wrapText="0"/>
    </xf>
    <xf borderId="11" fillId="2" fontId="36" numFmtId="0" xfId="0" applyAlignment="1" applyBorder="1" applyFont="1">
      <alignment readingOrder="0" shrinkToFit="0" vertical="center" wrapText="0"/>
    </xf>
    <xf borderId="11" fillId="10" fontId="36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7" fillId="10" fontId="13" numFmtId="0" xfId="0" applyAlignment="1" applyBorder="1" applyFont="1">
      <alignment horizontal="center" shrinkToFit="0" vertical="center" wrapText="0"/>
    </xf>
    <xf borderId="33" fillId="10" fontId="13" numFmtId="0" xfId="0" applyAlignment="1" applyBorder="1" applyFont="1">
      <alignment horizontal="center" shrinkToFit="0" vertical="center" wrapText="0"/>
    </xf>
    <xf borderId="34" fillId="10" fontId="13" numFmtId="0" xfId="0" applyAlignment="1" applyBorder="1" applyFont="1">
      <alignment shrinkToFit="0" vertical="center" wrapText="0"/>
    </xf>
    <xf borderId="34" fillId="10" fontId="13" numFmtId="0" xfId="0" applyAlignment="1" applyBorder="1" applyFont="1">
      <alignment shrinkToFit="0" vertical="center" wrapText="0"/>
    </xf>
    <xf borderId="34" fillId="10" fontId="13" numFmtId="0" xfId="0" applyAlignment="1" applyBorder="1" applyFont="1">
      <alignment horizontal="center" shrinkToFit="0" vertical="center" wrapText="0"/>
    </xf>
    <xf borderId="34" fillId="10" fontId="13" numFmtId="164" xfId="0" applyAlignment="1" applyBorder="1" applyFont="1" applyNumberFormat="1">
      <alignment horizontal="center" shrinkToFit="0" vertical="center" wrapText="0"/>
    </xf>
    <xf borderId="34" fillId="10" fontId="13" numFmtId="164" xfId="0" applyAlignment="1" applyBorder="1" applyFont="1" applyNumberFormat="1">
      <alignment horizontal="right" shrinkToFit="0" vertical="center" wrapText="0"/>
    </xf>
    <xf borderId="34" fillId="10" fontId="13" numFmtId="2" xfId="0" applyAlignment="1" applyBorder="1" applyFont="1" applyNumberFormat="1">
      <alignment horizontal="right" shrinkToFit="0" vertical="center" wrapText="0"/>
    </xf>
    <xf borderId="34" fillId="10" fontId="13" numFmtId="164" xfId="0" applyAlignment="1" applyBorder="1" applyFont="1" applyNumberFormat="1">
      <alignment horizontal="right" shrinkToFit="0" vertical="center" wrapText="0"/>
    </xf>
    <xf borderId="35" fillId="10" fontId="13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2381B4"/>
          <bgColor rgb="FF2381B4"/>
        </patternFill>
      </fill>
      <border/>
    </dxf>
    <dxf>
      <font/>
      <fill>
        <patternFill patternType="solid">
          <fgColor rgb="FF327AC0"/>
          <bgColor rgb="FF327AC0"/>
        </patternFill>
      </fill>
      <border/>
    </dxf>
    <dxf>
      <font/>
      <fill>
        <patternFill patternType="solid">
          <fgColor rgb="FF4C7591"/>
          <bgColor rgb="FF4C7591"/>
        </patternFill>
      </fill>
      <border/>
    </dxf>
    <dxf>
      <font/>
      <fill>
        <patternFill patternType="solid">
          <fgColor rgb="FF6A93B8"/>
          <bgColor rgb="FF6A93B8"/>
        </patternFill>
      </fill>
      <border/>
    </dxf>
  </dxfs>
  <tableStyles count="12">
    <tableStyle count="4" pivot="0" name="serv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camento-2026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rcamento-2026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rcamento-2026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rcamento-2026-style 4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orcamento-2026-style 5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inkdado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egiao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egiao-style 2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regiao-style 3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custeio-link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implantacao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32</xdr:row>
      <xdr:rowOff>19050</xdr:rowOff>
    </xdr:from>
    <xdr:ext cx="323850" cy="342900"/>
    <xdr:sp>
      <xdr:nvSpPr>
        <xdr:cNvPr id="3" name="Shape 3"/>
        <xdr:cNvSpPr/>
      </xdr:nvSpPr>
      <xdr:spPr>
        <a:xfrm>
          <a:off x="247625" y="305000"/>
          <a:ext cx="308400" cy="3285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CFE2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+</a:t>
          </a:r>
          <a:endParaRPr sz="1400"/>
        </a:p>
      </xdr:txBody>
    </xdr:sp>
    <xdr:clientData fLocksWithSheet="0"/>
  </xdr:oneCellAnchor>
  <xdr:oneCellAnchor>
    <xdr:from>
      <xdr:col>0</xdr:col>
      <xdr:colOff>733425</xdr:colOff>
      <xdr:row>32</xdr:row>
      <xdr:rowOff>19050</xdr:rowOff>
    </xdr:from>
    <xdr:ext cx="323850" cy="342900"/>
    <xdr:sp>
      <xdr:nvSpPr>
        <xdr:cNvPr id="4" name="Shape 4"/>
        <xdr:cNvSpPr/>
      </xdr:nvSpPr>
      <xdr:spPr>
        <a:xfrm>
          <a:off x="247625" y="305000"/>
          <a:ext cx="308400" cy="3285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CFE2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-</a:t>
          </a:r>
          <a:endParaRPr sz="1400"/>
        </a:p>
      </xdr:txBody>
    </xdr:sp>
    <xdr:clientData fLocksWithSheet="0"/>
  </xdr:oneCellAnchor>
  <xdr:oneCellAnchor>
    <xdr:from>
      <xdr:col>0</xdr:col>
      <xdr:colOff>247650</xdr:colOff>
      <xdr:row>38</xdr:row>
      <xdr:rowOff>409575</xdr:rowOff>
    </xdr:from>
    <xdr:ext cx="323850" cy="342900"/>
    <xdr:sp>
      <xdr:nvSpPr>
        <xdr:cNvPr id="5" name="Shape 5"/>
        <xdr:cNvSpPr/>
      </xdr:nvSpPr>
      <xdr:spPr>
        <a:xfrm>
          <a:off x="247625" y="305000"/>
          <a:ext cx="308400" cy="3285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CFE2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+</a:t>
          </a:r>
          <a:endParaRPr sz="1400"/>
        </a:p>
      </xdr:txBody>
    </xdr:sp>
    <xdr:clientData fLocksWithSheet="0"/>
  </xdr:oneCellAnchor>
  <xdr:oneCellAnchor>
    <xdr:from>
      <xdr:col>0</xdr:col>
      <xdr:colOff>723900</xdr:colOff>
      <xdr:row>38</xdr:row>
      <xdr:rowOff>409575</xdr:rowOff>
    </xdr:from>
    <xdr:ext cx="323850" cy="342900"/>
    <xdr:sp>
      <xdr:nvSpPr>
        <xdr:cNvPr id="6" name="Shape 6"/>
        <xdr:cNvSpPr/>
      </xdr:nvSpPr>
      <xdr:spPr>
        <a:xfrm>
          <a:off x="247625" y="305000"/>
          <a:ext cx="308400" cy="3285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CFE2F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-</a:t>
          </a:r>
          <a:endParaRPr sz="1400"/>
        </a:p>
      </xdr:txBody>
    </xdr:sp>
    <xdr:clientData fLocksWithSheet="0"/>
  </xdr:oneCellAnchor>
  <xdr:oneCellAnchor>
    <xdr:from>
      <xdr:col>0</xdr:col>
      <xdr:colOff>371475</xdr:colOff>
      <xdr:row>0</xdr:row>
      <xdr:rowOff>38100</xdr:rowOff>
    </xdr:from>
    <xdr:ext cx="485775" cy="571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5:X17" displayName="tabelaimplantacao_3" name="tabelaimplantacao_3" id="2">
  <tableColumns count="24">
    <tableColumn name="Item" id="1"/>
    <tableColumn name="Município" id="2"/>
    <tableColumn name="Região" id="3"/>
    <tableColumn name="Nome" id="4"/>
    <tableColumn name="Código" id="5"/>
    <tableColumn name="Serviço" id="6"/>
    <tableColumn name="Tipo" id="7"/>
    <tableColumn name="Status" id="8"/>
    <tableColumn name="Incluir" id="9"/>
    <tableColumn name="Qtd" id="10"/>
    <tableColumn name="Grandeza" id="11"/>
    <tableColumn name="Custo" id="12"/>
    <tableColumn name="Ocultar" id="13"/>
    <tableColumn name="Total" id="14"/>
    <tableColumn name="Ativação" id="15"/>
    <tableColumn name="Configuração" id="16"/>
    <tableColumn name="Desp Adm" id="17"/>
    <tableColumn name="Com/Sem" id="18"/>
    <tableColumn name="Reaparelhamento" id="19"/>
    <tableColumn name="Impostos" id="20"/>
    <tableColumn name="Coluna 1" id="21"/>
    <tableColumn name="Coluna 2" id="22"/>
    <tableColumn name="Coluna 3" id="23"/>
    <tableColumn name="Coluna 4" id="24"/>
  </tableColumns>
  <tableStyleInfo name="orcamento-2026-style" showColumnStripes="0" showFirstColumn="1" showLastColumn="1" showRowStripes="1"/>
</table>
</file>

<file path=xl/tables/table2.xml><?xml version="1.0" encoding="utf-8"?>
<table xmlns="http://schemas.openxmlformats.org/spreadsheetml/2006/main" ref="A21:Y30" displayName="tabelatelecom_3" name="tabelatelecom_3" id="3">
  <tableColumns count="25">
    <tableColumn name="Item" id="1"/>
    <tableColumn name="Município" id="2"/>
    <tableColumn name="Região" id="3"/>
    <tableColumn name="Unidade" id="4"/>
    <tableColumn name="Código" id="5"/>
    <tableColumn name="Serviço" id="6"/>
    <tableColumn name="Tipo" id="7"/>
    <tableColumn name="Status" id="8"/>
    <tableColumn name="Incluir" id="9"/>
    <tableColumn name="Qtd" id="10"/>
    <tableColumn name="Grandeza" id="11"/>
    <tableColumn name="Tabela-ano" id="12"/>
    <tableColumn name="Ocultar" id="13"/>
    <tableColumn name="Mensal" id="14"/>
    <tableColumn name="Total Mensal c/ Reajuste" id="15"/>
    <tableColumn name="Unitário" id="16"/>
    <tableColumn name="Preço Manutenção" id="17"/>
    <tableColumn name="Total" id="18"/>
    <tableColumn name="Mensal 2021" id="19"/>
    <tableColumn name="Mensal 2022" id="20"/>
    <tableColumn name="Mensal 2023" id="21"/>
    <tableColumn name="Mensal 2024" id="22"/>
    <tableColumn name="Mensal 2025" id="23"/>
    <tableColumn name="Mensal 2026" id="24"/>
    <tableColumn name="2026-reg" id="25"/>
  </tableColumns>
  <tableStyleInfo name="orcamento-2026-style 2" showColumnStripes="0" showFirstColumn="1" showLastColumn="1" showRowStripes="1"/>
</table>
</file>

<file path=xl/tables/table3.xml><?xml version="1.0" encoding="utf-8"?>
<table xmlns="http://schemas.openxmlformats.org/spreadsheetml/2006/main" ref="A36:O37" displayName="tabelaInternet_4" name="tabelaInternet_4" id="4">
  <tableColumns count="15">
    <tableColumn name="Item" id="1"/>
    <tableColumn name="Município" id="2"/>
    <tableColumn name="Região de Integração" id="3"/>
    <tableColumn name="Unidade" id="4"/>
    <tableColumn name="Código" id="5"/>
    <tableColumn name="Serviço" id="6"/>
    <tableColumn name="Tipo" id="7"/>
    <tableColumn name="Status" id="8"/>
    <tableColumn name="Incluir" id="9"/>
    <tableColumn name="Qtd" id="10"/>
    <tableColumn name="Grandeza" id="11"/>
    <tableColumn name="Unitário" id="12"/>
    <tableColumn name="Incluir reajuste" id="13"/>
    <tableColumn name="Mensal" id="14"/>
    <tableColumn name="Total Mensal c/ Reajuste" id="15"/>
  </tableColumns>
  <tableStyleInfo name="orcamento-2026-style 3" showColumnStripes="0" showFirstColumn="1" showLastColumn="1" showRowStripes="1"/>
</table>
</file>

<file path=xl/tables/table4.xml><?xml version="1.0" encoding="utf-8"?>
<table xmlns="http://schemas.openxmlformats.org/spreadsheetml/2006/main" ref="A42:O50" displayName="tabelati_3" name="tabelati_3" id="5">
  <tableColumns count="15">
    <tableColumn name="Item" id="1"/>
    <tableColumn name="Município" id="2"/>
    <tableColumn name="Região" id="3"/>
    <tableColumn name="Unidade" id="4"/>
    <tableColumn name="Código" id="5"/>
    <tableColumn name="Serviço" id="6"/>
    <tableColumn name="Grandeza" id="7"/>
    <tableColumn name="Status" id="8"/>
    <tableColumn name="Incluir" id="9"/>
    <tableColumn name="Qtd" id="10"/>
    <tableColumn name="Tabela" id="11"/>
    <tableColumn name="Unitário" id="12"/>
    <tableColumn name="Ocultar" id="13"/>
    <tableColumn name="Mensal" id="14"/>
    <tableColumn name="Total Mensal c/ Reajuste" id="15"/>
  </tableColumns>
  <tableStyleInfo name="orcamento-2026-style 4" showColumnStripes="0" showFirstColumn="1" showLastColumn="1" showRowStripes="1"/>
</table>
</file>

<file path=xl/tables/table5.xml><?xml version="1.0" encoding="utf-8"?>
<table xmlns="http://schemas.openxmlformats.org/spreadsheetml/2006/main" ref="A55:N56" displayName="tabelademanda_4" name="tabelademanda_4" id="6">
  <tableColumns count="14">
    <tableColumn name="Item" id="1"/>
    <tableColumn name="Município" id="2"/>
    <tableColumn name="Região" id="3"/>
    <tableColumn name="Unidade" id="4"/>
    <tableColumn name="Serviço" id="5"/>
    <tableColumn name="Tipo faturamento" id="6"/>
    <tableColumn name="Utilização" id="7"/>
    <tableColumn name="Status" id="8"/>
    <tableColumn name="Incluir" id="9"/>
    <tableColumn name="Qtd" id="10"/>
    <tableColumn name="Ocultar" id="11"/>
    <tableColumn name="unidade-faturamento" id="12"/>
    <tableColumn name="Ocultar 2" id="13"/>
    <tableColumn name="Anual" id="14"/>
  </tableColumns>
  <tableStyleInfo name="orcamento-2026-style 5" showColumnStripes="0" showFirstColumn="1" showLastColumn="1" showRowStripes="1"/>
</table>
</file>

<file path=xl/tables/table6.xml><?xml version="1.0" encoding="utf-8"?>
<table xmlns="http://schemas.openxmlformats.org/spreadsheetml/2006/main" ref="A1:P165" displayName="Tabela_2" name="Tabela_2" id="1">
  <autoFilter ref="$A$1:$P$165"/>
  <tableColumns count="16">
    <tableColumn name="Área" id="1"/>
    <tableColumn name="Subárea" id="2"/>
    <tableColumn name="Codigo" id="3"/>
    <tableColumn name="Descrição" id="4"/>
    <tableColumn name="Tipo" id="5"/>
    <tableColumn name="Coluna 2" id="6"/>
    <tableColumn name="Lim inferior" id="7"/>
    <tableColumn name="Lim Superior" id="8"/>
    <tableColumn name="Grandeza" id="9"/>
    <tableColumn name="Preço Pacote" id="10"/>
    <tableColumn name="Tipo de faturamento" id="11"/>
    <tableColumn name="Pagamento anual 2025" id="12"/>
    <tableColumn name="Pagamento anual 2026" id="13"/>
    <tableColumn name="Unitário Contrato Cliente" id="14"/>
    <tableColumn name="Mensal 2025" id="15"/>
    <tableColumn name="Mensal 2026" id="16"/>
  </tableColumns>
  <tableStyleInfo name="servicos-style" showColumnStripes="0" showFirstColumn="1" showLastColumn="1" showRowStripes="1"/>
</table>
</file>

<file path=xl/tables/table7.xml><?xml version="1.0" encoding="utf-8"?>
<table xmlns="http://schemas.openxmlformats.org/spreadsheetml/2006/main" ref="A1:Q433" displayName="Tabela_4" name="Tabela_4" id="7">
  <autoFilter ref="$A$1:$Q$433">
    <filterColumn colId="1">
      <filters>
        <filter val="BELEM"/>
      </filters>
    </filterColumn>
  </autoFilter>
  <tableColumns count="17">
    <tableColumn name="item" id="1"/>
    <tableColumn name="MunicIpio" id="2"/>
    <tableColumn name="Modalidade" id="3"/>
    <tableColumn name="tecnologias" id="4"/>
    <tableColumn name="indice" id="5"/>
    <tableColumn name="Mbps" id="6"/>
    <tableColumn name="Mesorreg" id="7"/>
    <tableColumn name="ATENDIDO" id="8"/>
    <tableColumn name="Regint" id="9"/>
    <tableColumn name="Degrau" id="10"/>
    <tableColumn name="UnitTransporte" id="11"/>
    <tableColumn name="UnitTransFinal" id="12"/>
    <tableColumn name="Cmanut" id="13"/>
    <tableColumn name="Cmanutfinal" id="14"/>
    <tableColumn name="Preço Final" id="15"/>
    <tableColumn name="PvTranporte" id="16"/>
    <tableColumn name="PvTransportDesc" id="17"/>
  </tableColumns>
  <tableStyleInfo name="linkdados-style" showColumnStripes="0" showFirstColumn="1" showLastColumn="1" showRowStripes="1"/>
</table>
</file>

<file path=xl/tables/table8.xml><?xml version="1.0" encoding="utf-8"?>
<table xmlns="http://schemas.openxmlformats.org/spreadsheetml/2006/main" ref="A5:H150" displayName="regiao" name="regiao" id="8">
  <autoFilter ref="$A$5:$H$150"/>
  <tableColumns count="8">
    <tableColumn name="MUNICÍPIO" id="1"/>
    <tableColumn name="BACKBONE" id="2"/>
    <tableColumn name="ULTIMA MILHA" id="3"/>
    <tableColumn name="MUNICÍPIOS" id="4"/>
    <tableColumn name="MESORREGIÃO" id="5"/>
    <tableColumn name="REGIAO_INTEGRACAO" id="6"/>
    <tableColumn name="Atualização" id="7"/>
    <tableColumn name="Preço" id="8"/>
  </tableColumns>
  <tableStyleInfo name="regiao-style" showColumnStripes="0" showFirstColumn="1" showLastColumn="1" showRowStripes="1"/>
</table>
</file>

<file path=xl/tables/table9.xml><?xml version="1.0" encoding="utf-8"?>
<table xmlns="http://schemas.openxmlformats.org/spreadsheetml/2006/main" ref="L152:N164" displayName="tabelaregiaoprecos" name="tabelaregiaoprecos" id="9">
  <tableColumns count="3">
    <tableColumn name="Região" id="1"/>
    <tableColumn name="FEVEREIRO 2026" id="2"/>
    <tableColumn name="JUNHO 2026" id="3"/>
  </tableColumns>
  <tableStyleInfo name="regiao-style 2" showColumnStripes="0" showFirstColumn="1" showLastColumn="1" showRowStripes="1"/>
</table>
</file>

<file path=xl/tables/table10.xml><?xml version="1.0" encoding="utf-8"?>
<table xmlns="http://schemas.openxmlformats.org/spreadsheetml/2006/main" ref="L167:L173" displayName="tabelameso" name="tabelameso" id="10">
  <tableColumns count="1">
    <tableColumn name="Mesorregião" id="1"/>
  </tableColumns>
  <tableStyleInfo name="regiao-style 3" showColumnStripes="0" showFirstColumn="1" showLastColumn="1" showRowStripes="1"/>
</table>
</file>

<file path=xl/tables/table11.xml><?xml version="1.0" encoding="utf-8"?>
<table xmlns="http://schemas.openxmlformats.org/spreadsheetml/2006/main" ref="A1:Y3" displayName="custeiolink" name="custeiolink" id="11">
  <tableColumns count="25">
    <tableColumn name="Item" id="1"/>
    <tableColumn name="Indice" id="2"/>
    <tableColumn name="Município" id="3"/>
    <tableColumn name="Cliente" id="4"/>
    <tableColumn name="Unidade" id="5"/>
    <tableColumn name="Mbps Link" id="6"/>
    <tableColumn name="Status" id="7"/>
    <tableColumn name="Lote" id="8"/>
    <tableColumn name="Tecnologia" id="9"/>
    <tableColumn name="Mesorreg." id="10"/>
    <tableColumn name="Reg. int." id="11"/>
    <tableColumn name="Degrau" id="12"/>
    <tableColumn name="Manutenção" id="13"/>
    <tableColumn name="Transporte" id="14"/>
    <tableColumn name="CustoTransporteDesc" id="15"/>
    <tableColumn name="Custo bruto" id="16"/>
    <tableColumn name="Desp. adm." id="17"/>
    <tableColumn name="Acrésc. reap." id="18"/>
    <tableColumn name="Tributos" id="19"/>
    <tableColumn name="Preço" id="20"/>
    <tableColumn name="Valor Mensal 2021" id="21"/>
    <tableColumn name="Valor Mensal 2022" id="22"/>
    <tableColumn name="Valor Mensal 2023" id="23"/>
    <tableColumn name="Valor Mensal 2024" id="24"/>
    <tableColumn name="Valor Mensal 2025" id="25"/>
  </tableColumns>
  <tableStyleInfo name="custeio-link-style" showColumnStripes="0" showFirstColumn="1" showLastColumn="1" showRowStripes="1"/>
</table>
</file>

<file path=xl/tables/table12.xml><?xml version="1.0" encoding="utf-8"?>
<table xmlns="http://schemas.openxmlformats.org/spreadsheetml/2006/main" ref="A1:V22" displayName="implantacaofibra" name="implantacaofibra" id="12">
  <tableColumns count="22">
    <tableColumn name="Item" id="1"/>
    <tableColumn name="Indice" id="2"/>
    <tableColumn name="Município" id="3"/>
    <tableColumn name="Região" id="4"/>
    <tableColumn name="Reg. int." id="5"/>
    <tableColumn name="Mesorreg." id="6"/>
    <tableColumn name="Cliente" id="7"/>
    <tableColumn name="Unidade" id="8"/>
    <tableColumn name="Internet" id="9"/>
    <tableColumn name="Metragem fibra" id="10"/>
    <tableColumn name="Status" id="11"/>
    <tableColumn name="Tecnologia" id="12"/>
    <tableColumn name="Lote" id="13"/>
    <tableColumn name="Degrau" id="14"/>
    <tableColumn name="Custo de implantação" id="15"/>
    <tableColumn name="Ativação" id="16"/>
    <tableColumn name="Configuração" id="17"/>
    <tableColumn name="Custo Bruto" id="18"/>
    <tableColumn name="Desp. adm." id="19"/>
    <tableColumn name="Acrésc. reap." id="20"/>
    <tableColumn name="Tributos" id="21"/>
    <tableColumn name="VALOR 2025" id="22"/>
  </tableColumns>
  <tableStyleInfo name="implanta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a.me/5591985921772" TargetMode="External"/><Relationship Id="rId2" Type="http://schemas.openxmlformats.org/officeDocument/2006/relationships/hyperlink" Target="http://wa.me/5571997371066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siwuTjorbPzSbH7r6" TargetMode="External"/><Relationship Id="rId2" Type="http://schemas.openxmlformats.org/officeDocument/2006/relationships/hyperlink" Target="https://www.google.com/search?q=sedeme&amp;rlz=1C1GCEA_enBR1181BR1181&amp;oq=sedeme&amp;aqs=chrome.0.0i355i512j46i175i199i512j0i512l7.1836j0j7&amp;sourceid=chrome&amp;ie=UTF-8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7.13"/>
    <col customWidth="1" hidden="1" min="3" max="3" width="18.63"/>
    <col customWidth="1" min="4" max="4" width="25.63"/>
    <col customWidth="1" min="5" max="5" width="18.75"/>
    <col customWidth="1" min="6" max="6" width="27.63"/>
    <col customWidth="1" min="7" max="7" width="19.5"/>
    <col customWidth="1" min="8" max="8" width="14.13"/>
    <col customWidth="1" hidden="1" min="9" max="9" width="12.38"/>
    <col customWidth="1" min="10" max="10" width="9.0"/>
    <col customWidth="1" min="11" max="11" width="22.88"/>
    <col customWidth="1" min="12" max="12" width="20.13"/>
    <col customWidth="1" hidden="1" min="13" max="13" width="27.5"/>
    <col customWidth="1" min="14" max="14" width="22.13"/>
    <col customWidth="1" min="15" max="16" width="29.63"/>
    <col customWidth="1" min="17" max="18" width="27.88"/>
    <col customWidth="1" min="19" max="19" width="30.63"/>
    <col customWidth="1" min="20" max="20" width="31.75"/>
    <col customWidth="1" min="21" max="21" width="19.88"/>
    <col customWidth="1" min="22" max="22" width="23.0"/>
    <col customWidth="1" min="23" max="23" width="25.13"/>
    <col customWidth="1" min="24" max="28" width="27.13"/>
  </cols>
  <sheetData>
    <row r="1" ht="54.75" customHeight="1">
      <c r="A1" s="4" t="s">
        <v>2</v>
      </c>
      <c r="B1" s="6" t="s">
        <v>4</v>
      </c>
      <c r="O1" s="9"/>
      <c r="P1" s="6"/>
      <c r="Q1" s="6"/>
      <c r="R1" s="6"/>
      <c r="S1" s="6"/>
      <c r="T1" s="6"/>
      <c r="U1" s="6"/>
      <c r="V1" s="6"/>
      <c r="W1" s="6"/>
      <c r="X1" s="11"/>
      <c r="Y1" s="11"/>
      <c r="Z1" s="11"/>
      <c r="AA1" s="11"/>
      <c r="AB1" s="11"/>
    </row>
    <row r="2" ht="4.5" customHeight="1">
      <c r="A2" s="13"/>
      <c r="X2" s="11"/>
      <c r="Y2" s="11"/>
      <c r="Z2" s="11"/>
      <c r="AA2" s="11"/>
      <c r="AB2" s="11"/>
    </row>
    <row r="3" ht="50.25" customHeight="1">
      <c r="A3" s="15" t="s">
        <v>15</v>
      </c>
      <c r="B3" s="18">
        <f>TODAY()</f>
        <v>46232</v>
      </c>
      <c r="C3" s="19"/>
      <c r="D3" s="20"/>
      <c r="E3" s="20"/>
      <c r="F3" s="20"/>
      <c r="G3" s="19"/>
      <c r="H3" s="15" t="s">
        <v>20</v>
      </c>
      <c r="K3" s="9" t="s">
        <v>22</v>
      </c>
      <c r="M3" s="9"/>
      <c r="N3" s="9"/>
      <c r="O3" s="9"/>
      <c r="P3" s="9"/>
      <c r="Q3" s="9"/>
      <c r="R3" s="23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36.0" customHeight="1">
      <c r="A4" s="25" t="s">
        <v>23</v>
      </c>
      <c r="O4" s="26"/>
      <c r="P4" s="27" t="s">
        <v>24</v>
      </c>
      <c r="Q4" s="27"/>
      <c r="R4" s="27"/>
      <c r="S4" s="27"/>
      <c r="T4" s="27"/>
      <c r="U4" s="27"/>
      <c r="V4" s="27"/>
      <c r="W4" s="27"/>
      <c r="X4" s="28" t="s">
        <v>26</v>
      </c>
      <c r="Y4" s="28"/>
      <c r="Z4" s="28"/>
      <c r="AA4" s="28"/>
      <c r="AB4" s="28"/>
    </row>
    <row r="5" ht="36.0" customHeight="1">
      <c r="A5" s="29" t="s">
        <v>27</v>
      </c>
      <c r="B5" s="30" t="str">
        <f>VLOOKUP(N5,clientes!A:B,2,0)</f>
        <v>Tribunal de Contas do Estado</v>
      </c>
      <c r="N5" s="29" t="s">
        <v>35</v>
      </c>
      <c r="O5" s="35"/>
      <c r="P5" s="27"/>
      <c r="Q5" s="27"/>
      <c r="R5" s="27"/>
      <c r="S5" s="27"/>
      <c r="T5" s="27"/>
      <c r="U5" s="27"/>
      <c r="V5" s="27"/>
      <c r="W5" s="27"/>
      <c r="X5" s="37" t="str">
        <f>IFERROR(__xludf.DUMMYFUNCTION("IFERROR(FILTER(contatos!D:D, contatos!$C:$C = $N$5), ""..."")"),"Thyago Souza de Andrade")</f>
        <v>Thyago Souza de Andrade</v>
      </c>
      <c r="Y5" s="37"/>
      <c r="Z5" s="37"/>
      <c r="AA5" s="37"/>
      <c r="AB5" s="37"/>
    </row>
    <row r="6" ht="36.0" customHeight="1">
      <c r="A6" s="29" t="s">
        <v>40</v>
      </c>
      <c r="B6" s="38" t="str">
        <f>VLOOKUP(N5,clientes!A:H,4,0)</f>
        <v/>
      </c>
      <c r="N6" s="29"/>
      <c r="O6" s="26"/>
      <c r="P6" s="27"/>
      <c r="Q6" s="27"/>
      <c r="R6" s="27"/>
      <c r="S6" s="27"/>
      <c r="T6" s="27"/>
      <c r="U6" s="27"/>
      <c r="V6" s="27"/>
      <c r="W6" s="27"/>
      <c r="X6" s="37" t="str">
        <f>IFERROR(__xludf.DUMMYFUNCTION("""COMPUTED_VALUE"""),"Mônica Regina Câmara")</f>
        <v>Mônica Regina Câmara</v>
      </c>
      <c r="Y6" s="37"/>
      <c r="Z6" s="37"/>
      <c r="AA6" s="37"/>
      <c r="AB6" s="37"/>
    </row>
    <row r="7" ht="36.0" customHeight="1">
      <c r="A7" s="29" t="s">
        <v>44</v>
      </c>
      <c r="B7" s="40" t="str">
        <f>CONCATENATE(VLOOKUP($N$5,clientes!A:M,8,0)," , ",VLOOKUP($N$5,clientes!A:M,9,0)," , ",VLOOKUP($N$5,clientes!A:L,11,0)," , ",VLOOKUP($N$5,clientes!A:M,12,0))</f>
        <v>Tv. Quintino Bocaiúva, 1585 , Nazaré , Belém , PA</v>
      </c>
      <c r="N7" s="29"/>
      <c r="O7" s="26"/>
      <c r="P7" s="27"/>
      <c r="Q7" s="27"/>
      <c r="R7" s="27"/>
      <c r="S7" s="27"/>
      <c r="T7" s="27"/>
      <c r="U7" s="27"/>
      <c r="V7" s="27"/>
      <c r="W7" s="27"/>
      <c r="X7" s="37"/>
      <c r="Y7" s="37"/>
      <c r="Z7" s="37"/>
      <c r="AA7" s="37"/>
      <c r="AB7" s="37"/>
    </row>
    <row r="8" ht="36.0" customHeight="1">
      <c r="A8" s="29" t="s">
        <v>49</v>
      </c>
      <c r="B8" s="42" t="s">
        <v>51</v>
      </c>
      <c r="O8" s="44"/>
      <c r="P8" s="27"/>
      <c r="Q8" s="27"/>
      <c r="R8" s="27"/>
      <c r="S8" s="27"/>
      <c r="T8" s="27"/>
      <c r="U8" s="27"/>
      <c r="V8" s="27"/>
      <c r="W8" s="27"/>
      <c r="X8" s="37"/>
      <c r="Y8" s="37"/>
      <c r="Z8" s="37"/>
      <c r="AA8" s="37"/>
      <c r="AB8" s="37"/>
    </row>
    <row r="9" ht="36.0" customHeight="1">
      <c r="A9" s="29" t="s">
        <v>52</v>
      </c>
      <c r="B9" s="45" t="str">
        <f t="array" ref="B9">IFERROR(XLOOKUP($B$8, contatos!$D:$D, contatos!E:E), " ")</f>
        <v/>
      </c>
      <c r="O9" s="47"/>
      <c r="P9" s="27"/>
      <c r="Q9" s="27"/>
      <c r="R9" s="27"/>
      <c r="S9" s="27"/>
      <c r="T9" s="27"/>
      <c r="U9" s="27"/>
      <c r="V9" s="27"/>
      <c r="W9" s="27"/>
      <c r="X9" s="37"/>
      <c r="Y9" s="37"/>
      <c r="Z9" s="37"/>
      <c r="AA9" s="37"/>
      <c r="AB9" s="37"/>
    </row>
    <row r="10" ht="36.0" customHeight="1">
      <c r="A10" s="29" t="s">
        <v>54</v>
      </c>
      <c r="B10" s="45" t="str">
        <f t="array" ref="B10">IFERROR(XLOOKUP($B$8, contatos!$D:$D, contatos!F:F), " ")</f>
        <v>Coordenadoria de Infraestrutura e Segurança - Secretaria de Tecnologia da Informação</v>
      </c>
      <c r="O10" s="47"/>
      <c r="P10" s="27"/>
      <c r="Q10" s="27"/>
      <c r="R10" s="27"/>
      <c r="S10" s="27"/>
      <c r="T10" s="27"/>
      <c r="U10" s="27"/>
      <c r="V10" s="27"/>
      <c r="W10" s="27"/>
      <c r="X10" s="35"/>
      <c r="Y10" s="35"/>
      <c r="Z10" s="35"/>
      <c r="AA10" s="35"/>
      <c r="AB10" s="35"/>
    </row>
    <row r="11" ht="36.0" customHeight="1">
      <c r="A11" s="29" t="s">
        <v>57</v>
      </c>
      <c r="B11" s="45" t="str">
        <f t="array" ref="B11">IFERROR(TEXTJOIN("  ", TRUE, XLOOKUP($B$8, contatos!$D:$D, contatos!I:I), XLOOKUP($B$8, contatos!$D:$D, contatos!J:J)), " ")</f>
        <v>thyago.andrade@tcepa.tc.br</v>
      </c>
      <c r="O11" s="47"/>
      <c r="P11" s="27"/>
      <c r="Q11" s="27"/>
      <c r="R11" s="27"/>
      <c r="S11" s="27"/>
      <c r="T11" s="27"/>
      <c r="U11" s="27"/>
      <c r="V11" s="27"/>
      <c r="W11" s="27"/>
      <c r="X11" s="37"/>
      <c r="Y11" s="37"/>
      <c r="Z11" s="37"/>
      <c r="AA11" s="37"/>
      <c r="AB11" s="37"/>
    </row>
    <row r="12" ht="36.0" customHeight="1">
      <c r="A12" s="29" t="s">
        <v>66</v>
      </c>
      <c r="B12" s="45" t="str">
        <f t="array" ref="B12">IFERROR(TEXTJOIN("  ", TRUE, XLOOKUP($B$8, contatos!$D:$D, contatos!G:G), XLOOKUP($B$8, contatos!$D:$D, contatos!H:H)), " ")</f>
        <v>(91) 3210-0530</v>
      </c>
      <c r="O12" s="47"/>
      <c r="P12" s="27"/>
      <c r="Q12" s="27"/>
      <c r="R12" s="27"/>
      <c r="S12" s="27"/>
      <c r="T12" s="27"/>
      <c r="U12" s="27"/>
      <c r="V12" s="27"/>
      <c r="W12" s="27"/>
      <c r="X12" s="37"/>
      <c r="Y12" s="37"/>
      <c r="Z12" s="37"/>
      <c r="AA12" s="37"/>
      <c r="AB12" s="37"/>
    </row>
    <row r="13" ht="32.25" customHeight="1">
      <c r="A13" s="63"/>
      <c r="X13" s="11"/>
      <c r="Y13" s="11"/>
      <c r="Z13" s="11"/>
      <c r="AA13" s="11"/>
      <c r="AB13" s="11"/>
    </row>
    <row r="14" ht="26.25" customHeight="1">
      <c r="A14" s="64" t="s">
        <v>67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6"/>
      <c r="O14" s="67" t="s">
        <v>24</v>
      </c>
      <c r="U14" s="69"/>
      <c r="V14" s="69"/>
      <c r="W14" s="69"/>
      <c r="X14" s="69"/>
      <c r="Y14" s="69"/>
      <c r="Z14" s="69"/>
      <c r="AA14" s="69"/>
      <c r="AB14" s="69"/>
    </row>
    <row r="15" ht="28.5" customHeight="1">
      <c r="A15" s="71" t="s">
        <v>68</v>
      </c>
      <c r="B15" s="72" t="s">
        <v>69</v>
      </c>
      <c r="C15" s="72" t="s">
        <v>70</v>
      </c>
      <c r="D15" s="72" t="s">
        <v>71</v>
      </c>
      <c r="E15" s="72" t="s">
        <v>72</v>
      </c>
      <c r="F15" s="72" t="s">
        <v>73</v>
      </c>
      <c r="G15" s="71" t="s">
        <v>6</v>
      </c>
      <c r="H15" s="72" t="s">
        <v>75</v>
      </c>
      <c r="I15" s="71" t="s">
        <v>76</v>
      </c>
      <c r="J15" s="71" t="s">
        <v>77</v>
      </c>
      <c r="K15" s="72" t="s">
        <v>10</v>
      </c>
      <c r="L15" s="72" t="s">
        <v>79</v>
      </c>
      <c r="M15" s="88" t="s">
        <v>88</v>
      </c>
      <c r="N15" s="72" t="s">
        <v>89</v>
      </c>
      <c r="O15" s="89" t="s">
        <v>90</v>
      </c>
      <c r="P15" s="89" t="s">
        <v>91</v>
      </c>
      <c r="Q15" s="89" t="s">
        <v>92</v>
      </c>
      <c r="R15" s="89" t="s">
        <v>93</v>
      </c>
      <c r="S15" s="89" t="s">
        <v>94</v>
      </c>
      <c r="T15" s="91" t="s">
        <v>95</v>
      </c>
      <c r="U15" s="92" t="s">
        <v>96</v>
      </c>
      <c r="V15" s="92" t="s">
        <v>7</v>
      </c>
      <c r="W15" s="92" t="s">
        <v>97</v>
      </c>
      <c r="X15" s="92" t="s">
        <v>98</v>
      </c>
      <c r="Y15" s="11"/>
      <c r="Z15" s="11"/>
      <c r="AA15" s="11"/>
      <c r="AB15" s="11"/>
    </row>
    <row r="16">
      <c r="A16" s="96">
        <f>ROW()-ROW(tabelaimplantacao_3[[#HEADERS],[Item]])</f>
        <v>1</v>
      </c>
      <c r="B16" s="97" t="s">
        <v>112</v>
      </c>
      <c r="C16" s="99" t="str">
        <f>ifna(VLOOKUP(B16,regiao[[#ALL],[MUNICÍPIO]:[REGIAO_INTEGRACAO]],5,0),"")</f>
        <v>SUDESTE</v>
      </c>
      <c r="D16" s="100" t="s">
        <v>118</v>
      </c>
      <c r="E16" s="102">
        <f t="array" ref="E16">XLOOKUP(F16&amp;G16,servicos!F:F,servicos!C:C)</f>
        <v>5300</v>
      </c>
      <c r="F16" s="97" t="s">
        <v>25</v>
      </c>
      <c r="G16" s="103" t="s">
        <v>50</v>
      </c>
      <c r="H16" s="97" t="s">
        <v>123</v>
      </c>
      <c r="I16" s="104" t="b">
        <v>0</v>
      </c>
      <c r="J16" s="96">
        <v>1.0</v>
      </c>
      <c r="K16" s="105" t="str">
        <f t="array" ref="K16">XLOOKUP(F16&amp;G16,servicos!$F:$F,servicos!I:I,"Não encontrado",0,1)</f>
        <v>Configuração, Cabeamento, Equipamento</v>
      </c>
      <c r="L16" s="106">
        <v>0.0</v>
      </c>
      <c r="M16" s="107"/>
      <c r="N16" s="108">
        <f>IF(O15&lt;&gt;0,tabelaimplantacao_3[Custo]+tabelaimplantacao_3[Ativação]+tabelaimplantacao_3[Configuração]+tabelaimplantacao_3[Desp Adm]+tabelaimplantacao_3[Reaparelhamento]+tabelaimplantacao_3[Impostos],0)</f>
        <v>885.416064</v>
      </c>
      <c r="O16" s="109">
        <f>IF(tabelaimplantacao_3[Tipo]="Fibra",pconfig!$G$7,pconfig!$G$7)</f>
        <v>285.71</v>
      </c>
      <c r="P16" s="109">
        <f>IF(tabelaimplantacao_3[Tipo]="Radio",pconfig!$G$9,pconfig!$G$8)</f>
        <v>316.45</v>
      </c>
      <c r="Q16" s="109">
        <f>(tabelaimplantacao_3[Custo]+tabelaimplantacao_3[Ativação]+tabelaimplantacao_3[Configuração])*pconfig!$G$2</f>
        <v>60.216</v>
      </c>
      <c r="R16" s="110" t="b">
        <v>1</v>
      </c>
      <c r="S16" s="109">
        <f>IF(R16&lt;&gt;FALSE,(tabelaimplantacao_3[Custo]+tabelaimplantacao_3[Ativação]+tabelaimplantacao_3[Configuração])*pconfig!$G$3,0)</f>
        <v>120.432</v>
      </c>
      <c r="T16" s="111">
        <f>(tabelaimplantacao_3[Custo]+tabelaimplantacao_3[Ativação]+tabelaimplantacao_3[Configuração])*pconfig!$G$4</f>
        <v>102.608064</v>
      </c>
      <c r="U16" s="112"/>
      <c r="V16" s="112"/>
      <c r="W16" s="112"/>
      <c r="X16" s="113"/>
      <c r="Y16" s="11"/>
      <c r="Z16" s="11"/>
      <c r="AA16" s="11"/>
      <c r="AB16" s="11"/>
    </row>
    <row r="17">
      <c r="A17" s="96">
        <f>ROW()-ROW(tabelaimplantacao_3[[#HEADERS],[Item]])</f>
        <v>2</v>
      </c>
      <c r="B17" s="97" t="s">
        <v>134</v>
      </c>
      <c r="C17" s="99" t="str">
        <f>ifna(VLOOKUP(B17,regiao[[#ALL],[MUNICÍPIO]:[REGIAO_INTEGRACAO]],5,0),"")</f>
        <v>METROPOLITANA</v>
      </c>
      <c r="D17" s="100" t="s">
        <v>118</v>
      </c>
      <c r="E17" s="102">
        <f t="array" ref="E17">XLOOKUP(F17&amp;G17,servicos!F:F,servicos!C:C)</f>
        <v>5300</v>
      </c>
      <c r="F17" s="97" t="s">
        <v>25</v>
      </c>
      <c r="G17" s="103" t="s">
        <v>50</v>
      </c>
      <c r="H17" s="97" t="s">
        <v>123</v>
      </c>
      <c r="I17" s="118" t="b">
        <v>0</v>
      </c>
      <c r="J17" s="119">
        <v>1.0</v>
      </c>
      <c r="K17" s="120" t="str">
        <f t="array" ref="K17">XLOOKUP(F17&amp;G17,servicos!$F:$F,servicos!I:I,"Não encontrado",0,1)</f>
        <v>Configuração, Cabeamento, Equipamento</v>
      </c>
      <c r="L17" s="121">
        <v>0.0</v>
      </c>
      <c r="M17" s="107"/>
      <c r="N17" s="108">
        <f>IF(O16&lt;&gt;0,tabelaimplantacao_3[Custo]+tabelaimplantacao_3[Ativação]+tabelaimplantacao_3[Configuração]+tabelaimplantacao_3[Desp Adm]+tabelaimplantacao_3[Reaparelhamento]+tabelaimplantacao_3[Impostos],0)</f>
        <v>885.416064</v>
      </c>
      <c r="O17" s="109">
        <f>IF(tabelaimplantacao_3[Tipo]="Fibra",pconfig!$G$7,pconfig!$G$7)</f>
        <v>285.71</v>
      </c>
      <c r="P17" s="109">
        <f>IF(tabelaimplantacao_3[Tipo]="Radio",pconfig!$G$9,pconfig!$G$8)</f>
        <v>316.45</v>
      </c>
      <c r="Q17" s="109">
        <f>(tabelaimplantacao_3[Custo]+tabelaimplantacao_3[Ativação]+tabelaimplantacao_3[Configuração])*pconfig!$G$2</f>
        <v>60.216</v>
      </c>
      <c r="R17" s="123" t="b">
        <v>1</v>
      </c>
      <c r="S17" s="109">
        <f>IF(R17&lt;&gt;FALSE,(tabelaimplantacao_3[Custo]+tabelaimplantacao_3[Ativação]+tabelaimplantacao_3[Configuração])*pconfig!$G$3,0)</f>
        <v>120.432</v>
      </c>
      <c r="T17" s="111">
        <f>(tabelaimplantacao_3[Custo]+tabelaimplantacao_3[Ativação]+tabelaimplantacao_3[Configuração])*pconfig!$G$4</f>
        <v>102.608064</v>
      </c>
      <c r="U17" s="112"/>
      <c r="V17" s="112"/>
      <c r="W17" s="112"/>
      <c r="X17" s="113"/>
      <c r="Y17" s="11"/>
      <c r="Z17" s="11"/>
      <c r="AA17" s="11"/>
      <c r="AB17" s="11"/>
    </row>
    <row r="18" ht="28.5" customHeight="1">
      <c r="A18" s="124" t="s">
        <v>147</v>
      </c>
      <c r="B18" s="65"/>
      <c r="C18" s="65"/>
      <c r="D18" s="65"/>
      <c r="E18" s="65"/>
      <c r="F18" s="65"/>
      <c r="G18" s="65"/>
      <c r="H18" s="66"/>
      <c r="I18" s="6"/>
      <c r="J18" s="125"/>
      <c r="K18" s="126"/>
      <c r="L18" s="126"/>
      <c r="M18" s="126"/>
      <c r="N18" s="127">
        <f>SUMIF(tabelaimplantacao_3[[#ALL],[Incluir]],TRUE,tabelaimplantacao_3[[#ALL],[Total]])</f>
        <v>0</v>
      </c>
      <c r="O18" s="128"/>
      <c r="P18" s="128"/>
      <c r="Q18" s="23"/>
      <c r="R18" s="23"/>
      <c r="S18" s="11"/>
      <c r="T18" s="11"/>
      <c r="U18" s="11"/>
      <c r="V18" s="11"/>
      <c r="W18" s="23"/>
      <c r="X18" s="11"/>
      <c r="Y18" s="11"/>
      <c r="Z18" s="11"/>
      <c r="AA18" s="11"/>
      <c r="AB18" s="11"/>
    </row>
    <row r="19" ht="16.5" customHeight="1">
      <c r="A19" s="63"/>
      <c r="B19" s="129"/>
      <c r="C19" s="23"/>
      <c r="D19" s="130"/>
      <c r="E19" s="130"/>
      <c r="F19" s="130"/>
      <c r="G19" s="63"/>
      <c r="H19" s="63"/>
      <c r="I19" s="63"/>
      <c r="J19" s="63"/>
      <c r="K19" s="130"/>
      <c r="L19" s="130"/>
      <c r="M19" s="130"/>
      <c r="N19" s="130"/>
      <c r="O19" s="63"/>
      <c r="P19" s="130"/>
      <c r="Q19" s="63"/>
      <c r="R19" s="63"/>
      <c r="S19" s="63"/>
      <c r="T19" s="63"/>
      <c r="U19" s="63"/>
      <c r="V19" s="63"/>
      <c r="W19" s="63"/>
      <c r="X19" s="11"/>
      <c r="Y19" s="11"/>
      <c r="Z19" s="11"/>
      <c r="AA19" s="11"/>
      <c r="AB19" s="11"/>
    </row>
    <row r="20" ht="28.5" customHeight="1">
      <c r="A20" s="131" t="s">
        <v>150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132" t="s">
        <v>24</v>
      </c>
      <c r="Q20" s="132"/>
      <c r="R20" s="132"/>
      <c r="S20" s="132"/>
      <c r="T20" s="132"/>
      <c r="U20" s="132"/>
      <c r="V20" s="132"/>
      <c r="W20" s="132"/>
      <c r="X20" s="132"/>
      <c r="Y20" s="132"/>
      <c r="Z20" s="23"/>
      <c r="AA20" s="23"/>
      <c r="AB20" s="23"/>
    </row>
    <row r="21" ht="31.5" customHeight="1">
      <c r="A21" s="133" t="s">
        <v>68</v>
      </c>
      <c r="B21" s="134" t="s">
        <v>69</v>
      </c>
      <c r="C21" s="135" t="s">
        <v>70</v>
      </c>
      <c r="D21" s="134" t="s">
        <v>154</v>
      </c>
      <c r="E21" s="135" t="s">
        <v>72</v>
      </c>
      <c r="F21" s="134" t="s">
        <v>73</v>
      </c>
      <c r="G21" s="136" t="s">
        <v>6</v>
      </c>
      <c r="H21" s="135" t="s">
        <v>75</v>
      </c>
      <c r="I21" s="136" t="s">
        <v>76</v>
      </c>
      <c r="J21" s="133" t="s">
        <v>77</v>
      </c>
      <c r="K21" s="134" t="s">
        <v>10</v>
      </c>
      <c r="L21" s="135" t="s">
        <v>155</v>
      </c>
      <c r="M21" s="137" t="s">
        <v>88</v>
      </c>
      <c r="N21" s="135" t="s">
        <v>81</v>
      </c>
      <c r="O21" s="135" t="s">
        <v>156</v>
      </c>
      <c r="P21" s="138" t="s">
        <v>157</v>
      </c>
      <c r="Q21" s="139" t="s">
        <v>158</v>
      </c>
      <c r="R21" s="138" t="s">
        <v>89</v>
      </c>
      <c r="S21" s="139" t="s">
        <v>161</v>
      </c>
      <c r="T21" s="138" t="s">
        <v>162</v>
      </c>
      <c r="U21" s="138" t="s">
        <v>166</v>
      </c>
      <c r="V21" s="138" t="s">
        <v>167</v>
      </c>
      <c r="W21" s="138" t="s">
        <v>17</v>
      </c>
      <c r="X21" s="138" t="s">
        <v>18</v>
      </c>
      <c r="Y21" s="138" t="s">
        <v>168</v>
      </c>
      <c r="AA21" s="23"/>
      <c r="AB21" s="23"/>
    </row>
    <row r="22" ht="33.75" customHeight="1">
      <c r="A22" s="141">
        <f>ROW()-ROW(tabelatelecom_3[[#HEADERS],[Item]])</f>
        <v>1</v>
      </c>
      <c r="B22" s="97" t="s">
        <v>173</v>
      </c>
      <c r="C22" s="142" t="str">
        <f>ifna(VLOOKUP(B22,regiao[[#ALL],[MUNICÍPIO]:[REGIAO_INTEGRACAO]],5,0),"")</f>
        <v>METROPOLITANA</v>
      </c>
      <c r="D22" s="143" t="s">
        <v>177</v>
      </c>
      <c r="E22" s="144">
        <f t="array" ref="E22">XLOOKUP(F22&amp;G22,servicos!F:F,servicos!C:C)</f>
        <v>5279</v>
      </c>
      <c r="F22" s="97" t="s">
        <v>78</v>
      </c>
      <c r="G22" s="103" t="s">
        <v>50</v>
      </c>
      <c r="H22" s="97" t="s">
        <v>178</v>
      </c>
      <c r="I22" s="141" t="b">
        <v>1</v>
      </c>
      <c r="J22" s="141">
        <v>1.0</v>
      </c>
      <c r="K22" s="145" t="str">
        <f t="array" ref="K22">XLOOKUP($F22&amp;G22,servicos!$F:$F,servicos!I:I,"Não encontrado",0,1)</f>
        <v>Mbps</v>
      </c>
      <c r="L22" s="146">
        <v>2025.0</v>
      </c>
      <c r="M22" s="147"/>
      <c r="N22" s="148">
        <f>IFS(L22=2021,ROUND(R22,2),L22=2022,ROUND(R22*(1+pconfig!$B$2),2),L22=2023,ROUND(T22*(1+pconfig!$B$3),2),L22=2024,ROUND(U22*(1+pconfig!$B$4),2),L22=2025, ROUND(V22*(1+pconfig!$B$5),2),L22=2026, ROUND(W22*(1+pconfig!$B$6),2),L22="regiaointegracao",Y22*J22)</f>
        <v>275.91</v>
      </c>
      <c r="O22" s="148">
        <f>N22*(1+'historico-reajuste'!$C$2)*(1+'historico-reajuste'!$C$3)</f>
        <v>275.91</v>
      </c>
      <c r="P22" s="150">
        <f t="array" ref="P22">XLOOKUP(B22&amp;G22,linkdados!E:E,linkdados!L:L)*J22</f>
        <v>23.98036254</v>
      </c>
      <c r="Q22" s="151">
        <f t="array" ref="Q22">XLOOKUP(B22&amp;G22,linkdados!E:E,linkdados!N:N,"")</f>
        <v>178.8141994</v>
      </c>
      <c r="R22" s="151">
        <f>IFERROR(__xludf.DUMMYFUNCTION("IF(F22=""Link de Dados"", IFS(J22&lt;=pconfig!$B$12,P22*pconfig!$C$12,J22&lt;=pconfig!$B$13,P22*pconfig!$C$13,J22&lt;=pconfig!$B$14,P22*pconfig!$C$14,J22&lt;=pconfig!$B$15,P22*pconfig!$C$15,J22&lt;=pconfig!$B$16,P22*pconfig!$C$16,J22&lt;=pconfig!$B$17,P22*pconfig!$C$17,J22"&amp;"&lt;=pconfig!$B$18,P22*pconfig!$C$18,J22&lt;=pconfig!$B$19,P22*pconfig!$C$19,J22&lt;=pconfig!$B$20,P22*pconfig!$C$20,J22&lt;=pconfig!$B$21,P22*pconfig!$C$21)+Q22,IF(H22=""Mensal"",FILTER(servicos!O:O,servicos!F:F=F22&amp;G22)*J22,P22))"),202.79456193353474)</f>
        <v>202.7945619</v>
      </c>
      <c r="S22" s="151">
        <f t="shared" ref="S22:S30" si="1">IF(F22="Link de Dados",R22,0)</f>
        <v>202.7945619</v>
      </c>
      <c r="T22" s="151">
        <f>IF(F22="Link de Dados",S22*(1+pconfig!$B$2),S22)</f>
        <v>238.8717145</v>
      </c>
      <c r="U22" s="151">
        <f>IF(F22="Link de Dados",T22*(1+pconfig!$B$3),T22)</f>
        <v>254.9238937</v>
      </c>
      <c r="V22" s="151">
        <f>U22*(1+pconfig!$B$4)</f>
        <v>258.9771836</v>
      </c>
      <c r="W22" s="152">
        <f>V22*(1+pconfig!$B$5)</f>
        <v>275.9142914</v>
      </c>
      <c r="X22" s="152">
        <f>W22*(1+pconfig!$B$6)</f>
        <v>284.9642802</v>
      </c>
      <c r="Y22" s="152">
        <f t="array" ref="Y22">XLOOKUP(B22,regiao!A:A,regiao!H:H,0,1)</f>
        <v>69.86</v>
      </c>
      <c r="AA22" s="23"/>
      <c r="AB22" s="23"/>
    </row>
    <row r="23" ht="33.75" customHeight="1">
      <c r="A23" s="141">
        <f>ROW()-ROW(tabelatelecom_3[[#HEADERS],[Item]])</f>
        <v>2</v>
      </c>
      <c r="B23" s="97" t="s">
        <v>212</v>
      </c>
      <c r="C23" s="142" t="str">
        <f>ifna(VLOOKUP(B23,regiao[[#ALL],[MUNICÍPIO]:[REGIAO_INTEGRACAO]],5,0),"")</f>
        <v>BAIXO AMAZONAS</v>
      </c>
      <c r="D23" s="143" t="s">
        <v>216</v>
      </c>
      <c r="E23" s="144">
        <f t="array" ref="E23">XLOOKUP(F23&amp;G23,servicos!F:F,servicos!C:C)</f>
        <v>5279</v>
      </c>
      <c r="F23" s="97" t="s">
        <v>78</v>
      </c>
      <c r="G23" s="103" t="s">
        <v>50</v>
      </c>
      <c r="H23" s="97" t="s">
        <v>178</v>
      </c>
      <c r="I23" s="141" t="b">
        <v>1</v>
      </c>
      <c r="J23" s="141">
        <v>1.0</v>
      </c>
      <c r="K23" s="145" t="str">
        <f t="array" ref="K23">XLOOKUP($F23&amp;G23,servicos!$F:$F,servicos!I:I,"Não encontrado",0,1)</f>
        <v>Mbps</v>
      </c>
      <c r="L23" s="146">
        <v>2022.0</v>
      </c>
      <c r="M23" s="147"/>
      <c r="N23" s="148">
        <f>IFS(L23=2021,ROUND(R23,2),L23=2022,ROUND(R23*(1+pconfig!$B$2),2),L23=2023,ROUND(T23*(1+pconfig!$B$3),2),L23=2024,ROUND(U23*(1+pconfig!$B$4),2),L23=2025, ROUND(V23*(1+pconfig!$B$5),2),L23=2026, ROUND(W23*(1+pconfig!$B$6),2),L23="regiaointegracao",Y23*J23)</f>
        <v>331.28</v>
      </c>
      <c r="O23" s="148">
        <f>N23*(1+'historico-reajuste'!$C$2)*(1+'historico-reajuste'!$C$3)</f>
        <v>331.28</v>
      </c>
      <c r="P23" s="150">
        <f t="array" ref="P23">XLOOKUP(B23&amp;G23,linkdados!E:E,linkdados!L:L)*J23</f>
        <v>29.55060423</v>
      </c>
      <c r="Q23" s="151">
        <f t="array" ref="Q23">XLOOKUP(B23&amp;G23,linkdados!E:E,linkdados!N:N,"")</f>
        <v>251.6993958</v>
      </c>
      <c r="R23" s="151">
        <f>IFERROR(__xludf.DUMMYFUNCTION("IF(F23=""Link de Dados"", IFS(J23&lt;=pconfig!$B$12,P23*pconfig!$C$12,J23&lt;=pconfig!$B$13,P23*pconfig!$C$13,J23&lt;=pconfig!$B$14,P23*pconfig!$C$14,J23&lt;=pconfig!$B$15,P23*pconfig!$C$15,J23&lt;=pconfig!$B$16,P23*pconfig!$C$16,J23&lt;=pconfig!$B$17,P23*pconfig!$C$17,J23"&amp;"&lt;=pconfig!$B$18,P23*pconfig!$C$18,J23&lt;=pconfig!$B$19,P23*pconfig!$C$19,J23&lt;=pconfig!$B$20,P23*pconfig!$C$20,J23&lt;=pconfig!$B$21,P23*pconfig!$C$21)+Q23,IF(H23=""Mensal"",FILTER(servicos!O:O,servicos!F:F=F23&amp;G23)*J23,P23))"),281.25000000000006)</f>
        <v>281.25</v>
      </c>
      <c r="S23" s="151">
        <f t="shared" si="1"/>
        <v>281.25</v>
      </c>
      <c r="T23" s="151">
        <f>IF(F23="Link de Dados",S23*(1+pconfig!$B$2),S23)</f>
        <v>331.284375</v>
      </c>
      <c r="U23" s="151">
        <f>IF(F23="Link de Dados",T23*(1+pconfig!$B$3),T23)</f>
        <v>353.546685</v>
      </c>
      <c r="V23" s="151">
        <f>U23*(1+pconfig!$B$4)</f>
        <v>359.1680773</v>
      </c>
      <c r="W23" s="152">
        <f>V23*(1+pconfig!$B$5)</f>
        <v>382.6576695</v>
      </c>
      <c r="X23" s="152">
        <f>W23*(1+pconfig!$B$6)</f>
        <v>395.2088411</v>
      </c>
      <c r="Y23" s="152">
        <f t="array" ref="Y23">XLOOKUP(B23,regiao!A:A,regiao!H:H,0,1)</f>
        <v>72.86</v>
      </c>
      <c r="AA23" s="23"/>
      <c r="AB23" s="23"/>
    </row>
    <row r="24" ht="33.75" customHeight="1">
      <c r="A24" s="141">
        <f>ROW()-ROW(tabelatelecom_3[[#HEADERS],[Item]])</f>
        <v>3</v>
      </c>
      <c r="B24" s="97" t="s">
        <v>212</v>
      </c>
      <c r="C24" s="142" t="str">
        <f>ifna(VLOOKUP(B24,regiao[[#ALL],[MUNICÍPIO]:[REGIAO_INTEGRACAO]],5,0),"")</f>
        <v>BAIXO AMAZONAS</v>
      </c>
      <c r="D24" s="143" t="s">
        <v>240</v>
      </c>
      <c r="E24" s="144">
        <f t="array" ref="E24">XLOOKUP(F24&amp;G24,servicos!F:F,servicos!C:C)</f>
        <v>5279</v>
      </c>
      <c r="F24" s="97" t="s">
        <v>78</v>
      </c>
      <c r="G24" s="103" t="s">
        <v>50</v>
      </c>
      <c r="H24" s="97" t="s">
        <v>178</v>
      </c>
      <c r="I24" s="141" t="b">
        <v>1</v>
      </c>
      <c r="J24" s="141">
        <v>1.0</v>
      </c>
      <c r="K24" s="145" t="str">
        <f t="array" ref="K24">XLOOKUP($F24&amp;G24,servicos!$F:$F,servicos!I:I,"Não encontrado",0,1)</f>
        <v>Mbps</v>
      </c>
      <c r="L24" s="146">
        <v>2022.0</v>
      </c>
      <c r="M24" s="147"/>
      <c r="N24" s="148">
        <f>IFS(L24=2021,ROUND(R24,2),L24=2022,ROUND(R24*(1+pconfig!$B$2),2),L24=2023,ROUND(T24*(1+pconfig!$B$3),2),L24=2024,ROUND(U24*(1+pconfig!$B$4),2),L24=2025, ROUND(V24*(1+pconfig!$B$5),2),L24=2026, ROUND(W24*(1+pconfig!$B$6),2),L24="regiaointegracao",Y24*J24)</f>
        <v>331.28</v>
      </c>
      <c r="O24" s="148">
        <f>N24*(1+'historico-reajuste'!$C$2)*(1+'historico-reajuste'!$C$3)</f>
        <v>331.28</v>
      </c>
      <c r="P24" s="150">
        <f t="array" ref="P24">XLOOKUP(B24&amp;G24,linkdados!E:E,linkdados!L:L)*J24</f>
        <v>29.55060423</v>
      </c>
      <c r="Q24" s="151">
        <f t="array" ref="Q24">XLOOKUP(B24&amp;G24,linkdados!E:E,linkdados!N:N,"")</f>
        <v>251.6993958</v>
      </c>
      <c r="R24" s="151">
        <f>IFERROR(__xludf.DUMMYFUNCTION("IF(F24=""Link de Dados"", IFS(J24&lt;=pconfig!$B$12,P24*pconfig!$C$12,J24&lt;=pconfig!$B$13,P24*pconfig!$C$13,J24&lt;=pconfig!$B$14,P24*pconfig!$C$14,J24&lt;=pconfig!$B$15,P24*pconfig!$C$15,J24&lt;=pconfig!$B$16,P24*pconfig!$C$16,J24&lt;=pconfig!$B$17,P24*pconfig!$C$17,J24"&amp;"&lt;=pconfig!$B$18,P24*pconfig!$C$18,J24&lt;=pconfig!$B$19,P24*pconfig!$C$19,J24&lt;=pconfig!$B$20,P24*pconfig!$C$20,J24&lt;=pconfig!$B$21,P24*pconfig!$C$21)+Q24,IF(H24=""Mensal"",FILTER(servicos!O:O,servicos!F:F=F24&amp;G24)*J24,P24))"),281.25000000000006)</f>
        <v>281.25</v>
      </c>
      <c r="S24" s="151">
        <f t="shared" si="1"/>
        <v>281.25</v>
      </c>
      <c r="T24" s="151">
        <f>IF(F24="Link de Dados",S24*(1+pconfig!$B$2),S24)</f>
        <v>331.284375</v>
      </c>
      <c r="U24" s="151">
        <f>IF(F24="Link de Dados",T24*(1+pconfig!$B$3),T24)</f>
        <v>353.546685</v>
      </c>
      <c r="V24" s="151">
        <f>U24*(1+pconfig!$B$4)</f>
        <v>359.1680773</v>
      </c>
      <c r="W24" s="152">
        <f>V24*(1+pconfig!$B$5)</f>
        <v>382.6576695</v>
      </c>
      <c r="X24" s="152">
        <f>W24*(1+pconfig!$B$6)</f>
        <v>395.2088411</v>
      </c>
      <c r="Y24" s="152">
        <f t="array" ref="Y24">XLOOKUP(B24,regiao!A:A,regiao!H:H,0,1)</f>
        <v>72.86</v>
      </c>
      <c r="AA24" s="23"/>
      <c r="AB24" s="23"/>
    </row>
    <row r="25" ht="33.75" customHeight="1">
      <c r="A25" s="141">
        <f>ROW()-ROW(tabelatelecom_3[[#HEADERS],[Item]])</f>
        <v>4</v>
      </c>
      <c r="B25" s="97" t="s">
        <v>173</v>
      </c>
      <c r="C25" s="142" t="str">
        <f>ifna(VLOOKUP(B25,regiao[[#ALL],[MUNICÍPIO]:[REGIAO_INTEGRACAO]],5,0),"")</f>
        <v>METROPOLITANA</v>
      </c>
      <c r="D25" s="143" t="s">
        <v>257</v>
      </c>
      <c r="E25" s="144">
        <f t="array" ref="E25">XLOOKUP(F25&amp;G25,servicos!F:F,servicos!C:C)</f>
        <v>5279</v>
      </c>
      <c r="F25" s="97" t="s">
        <v>78</v>
      </c>
      <c r="G25" s="103" t="s">
        <v>50</v>
      </c>
      <c r="H25" s="97" t="s">
        <v>178</v>
      </c>
      <c r="I25" s="141" t="b">
        <v>1</v>
      </c>
      <c r="J25" s="141">
        <v>1.0</v>
      </c>
      <c r="K25" s="145" t="str">
        <f t="array" ref="K25">XLOOKUP($F25&amp;G25,servicos!$F:$F,servicos!I:I,"Não encontrado",0,1)</f>
        <v>Mbps</v>
      </c>
      <c r="L25" s="146">
        <v>2022.0</v>
      </c>
      <c r="M25" s="147"/>
      <c r="N25" s="148">
        <f>IFS(L25=2021,ROUND(R25,2),L25=2022,ROUND(R25*(1+pconfig!$B$2),2),L25=2023,ROUND(T25*(1+pconfig!$B$3),2),L25=2024,ROUND(U25*(1+pconfig!$B$4),2),L25=2025, ROUND(V25*(1+pconfig!$B$5),2),L25=2026, ROUND(W25*(1+pconfig!$B$6),2),L25="regiaointegracao",Y25*J25)</f>
        <v>238.87</v>
      </c>
      <c r="O25" s="148">
        <f>N25*(1+'historico-reajuste'!$C$2)*(1+'historico-reajuste'!$C$3)</f>
        <v>238.87</v>
      </c>
      <c r="P25" s="150">
        <f t="array" ref="P25">XLOOKUP(B25&amp;G25,linkdados!E:E,linkdados!L:L)*J25</f>
        <v>23.98036254</v>
      </c>
      <c r="Q25" s="151">
        <f t="array" ref="Q25">XLOOKUP(B25&amp;G25,linkdados!E:E,linkdados!N:N,"")</f>
        <v>178.8141994</v>
      </c>
      <c r="R25" s="151">
        <f>IFERROR(__xludf.DUMMYFUNCTION("IF(F25=""Link de Dados"", IFS(J25&lt;=pconfig!$B$12,P25*pconfig!$C$12,J25&lt;=pconfig!$B$13,P25*pconfig!$C$13,J25&lt;=pconfig!$B$14,P25*pconfig!$C$14,J25&lt;=pconfig!$B$15,P25*pconfig!$C$15,J25&lt;=pconfig!$B$16,P25*pconfig!$C$16,J25&lt;=pconfig!$B$17,P25*pconfig!$C$17,J25"&amp;"&lt;=pconfig!$B$18,P25*pconfig!$C$18,J25&lt;=pconfig!$B$19,P25*pconfig!$C$19,J25&lt;=pconfig!$B$20,P25*pconfig!$C$20,J25&lt;=pconfig!$B$21,P25*pconfig!$C$21)+Q25,IF(H25=""Mensal"",FILTER(servicos!O:O,servicos!F:F=F25&amp;G25)*J25,P25))"),202.79456193353474)</f>
        <v>202.7945619</v>
      </c>
      <c r="S25" s="151">
        <f t="shared" si="1"/>
        <v>202.7945619</v>
      </c>
      <c r="T25" s="151">
        <f>IF(F25="Link de Dados",S25*(1+pconfig!$B$2),S25)</f>
        <v>238.8717145</v>
      </c>
      <c r="U25" s="151">
        <f>IF(F25="Link de Dados",T25*(1+pconfig!$B$3),T25)</f>
        <v>254.9238937</v>
      </c>
      <c r="V25" s="151">
        <f>U25*(1+pconfig!$B$4)</f>
        <v>258.9771836</v>
      </c>
      <c r="W25" s="152">
        <f>V25*(1+pconfig!$B$5)</f>
        <v>275.9142914</v>
      </c>
      <c r="X25" s="152">
        <f>W25*(1+pconfig!$B$6)</f>
        <v>284.9642802</v>
      </c>
      <c r="Y25" s="152">
        <f t="array" ref="Y25">XLOOKUP(B25,regiao!A:A,regiao!H:H,0,1)</f>
        <v>69.86</v>
      </c>
      <c r="AA25" s="23"/>
      <c r="AB25" s="23"/>
    </row>
    <row r="26" ht="33.75" customHeight="1">
      <c r="A26" s="141">
        <f>ROW()-ROW(tabelatelecom_3[[#HEADERS],[Item]])</f>
        <v>5</v>
      </c>
      <c r="B26" s="97" t="s">
        <v>173</v>
      </c>
      <c r="C26" s="142" t="str">
        <f>ifna(VLOOKUP(B26,regiao[[#ALL],[MUNICÍPIO]:[REGIAO_INTEGRACAO]],5,0),"")</f>
        <v>METROPOLITANA</v>
      </c>
      <c r="D26" s="143" t="s">
        <v>275</v>
      </c>
      <c r="E26" s="144">
        <f t="array" ref="E26">XLOOKUP(F26&amp;G26,servicos!F:F,servicos!C:C)</f>
        <v>5279</v>
      </c>
      <c r="F26" s="97" t="s">
        <v>78</v>
      </c>
      <c r="G26" s="103" t="s">
        <v>50</v>
      </c>
      <c r="H26" s="97" t="s">
        <v>178</v>
      </c>
      <c r="I26" s="141" t="b">
        <v>1</v>
      </c>
      <c r="J26" s="141">
        <v>1.0</v>
      </c>
      <c r="K26" s="145" t="str">
        <f t="array" ref="K26">XLOOKUP($F26&amp;G26,servicos!$F:$F,servicos!I:I,"Não encontrado",0,1)</f>
        <v>Mbps</v>
      </c>
      <c r="L26" s="146">
        <v>2022.0</v>
      </c>
      <c r="M26" s="147"/>
      <c r="N26" s="148">
        <f>IFS(L26=2021,ROUND(R26,2),L26=2022,ROUND(R26*(1+pconfig!$B$2),2),L26=2023,ROUND(T26*(1+pconfig!$B$3),2),L26=2024,ROUND(U26*(1+pconfig!$B$4),2),L26=2025, ROUND(V26*(1+pconfig!$B$5),2),L26=2026, ROUND(W26*(1+pconfig!$B$6),2),L26="regiaointegracao",Y26*J26)</f>
        <v>238.87</v>
      </c>
      <c r="O26" s="148">
        <f>N26*(1+'historico-reajuste'!$C$2)*(1+'historico-reajuste'!$C$3)</f>
        <v>238.87</v>
      </c>
      <c r="P26" s="150">
        <f t="array" ref="P26">XLOOKUP(B26&amp;G26,linkdados!E:E,linkdados!L:L)*J26</f>
        <v>23.98036254</v>
      </c>
      <c r="Q26" s="151">
        <f t="array" ref="Q26">XLOOKUP(B26&amp;G26,linkdados!E:E,linkdados!N:N,"")</f>
        <v>178.8141994</v>
      </c>
      <c r="R26" s="151">
        <f>IFERROR(__xludf.DUMMYFUNCTION("IF(F26=""Link de Dados"", IFS(J26&lt;=pconfig!$B$12,P26*pconfig!$C$12,J26&lt;=pconfig!$B$13,P26*pconfig!$C$13,J26&lt;=pconfig!$B$14,P26*pconfig!$C$14,J26&lt;=pconfig!$B$15,P26*pconfig!$C$15,J26&lt;=pconfig!$B$16,P26*pconfig!$C$16,J26&lt;=pconfig!$B$17,P26*pconfig!$C$17,J26"&amp;"&lt;=pconfig!$B$18,P26*pconfig!$C$18,J26&lt;=pconfig!$B$19,P26*pconfig!$C$19,J26&lt;=pconfig!$B$20,P26*pconfig!$C$20,J26&lt;=pconfig!$B$21,P26*pconfig!$C$21)+Q26,IF(H26=""Mensal"",FILTER(servicos!O:O,servicos!F:F=F26&amp;G26)*J26,P26))"),202.79456193353474)</f>
        <v>202.7945619</v>
      </c>
      <c r="S26" s="151">
        <f t="shared" si="1"/>
        <v>202.7945619</v>
      </c>
      <c r="T26" s="151">
        <f>IF(F26="Link de Dados",S26*(1+pconfig!$B$2),S26)</f>
        <v>238.8717145</v>
      </c>
      <c r="U26" s="151">
        <f>IF(F26="Link de Dados",T26*(1+pconfig!$B$3),T26)</f>
        <v>254.9238937</v>
      </c>
      <c r="V26" s="151">
        <f>U26*(1+pconfig!$B$4)</f>
        <v>258.9771836</v>
      </c>
      <c r="W26" s="152">
        <f>V26*(1+pconfig!$B$5)</f>
        <v>275.9142914</v>
      </c>
      <c r="X26" s="152">
        <f>W26*(1+pconfig!$B$6)</f>
        <v>284.9642802</v>
      </c>
      <c r="Y26" s="152">
        <f t="array" ref="Y26">XLOOKUP(B26,regiao!A:A,regiao!H:H,0,1)</f>
        <v>69.86</v>
      </c>
      <c r="AA26" s="23"/>
      <c r="AB26" s="23"/>
    </row>
    <row r="27" ht="33.75" customHeight="1">
      <c r="A27" s="141">
        <f>ROW()-ROW(tabelatelecom_3[[#HEADERS],[Item]])</f>
        <v>6</v>
      </c>
      <c r="B27" s="97" t="s">
        <v>134</v>
      </c>
      <c r="C27" s="142" t="str">
        <f>ifna(VLOOKUP(B27,regiao[[#ALL],[MUNICÍPIO]:[REGIAO_INTEGRACAO]],5,0),"")</f>
        <v>METROPOLITANA</v>
      </c>
      <c r="D27" s="143" t="s">
        <v>118</v>
      </c>
      <c r="E27" s="144">
        <f t="array" ref="E27">XLOOKUP(F27&amp;G27,servicos!F:F,servicos!C:C)</f>
        <v>5279</v>
      </c>
      <c r="F27" s="97" t="s">
        <v>78</v>
      </c>
      <c r="G27" s="103" t="s">
        <v>50</v>
      </c>
      <c r="H27" s="97" t="s">
        <v>178</v>
      </c>
      <c r="I27" s="141" t="b">
        <v>1</v>
      </c>
      <c r="J27" s="141">
        <v>1.0</v>
      </c>
      <c r="K27" s="145" t="str">
        <f t="array" ref="K27">XLOOKUP($F27&amp;G27,servicos!$F:$F,servicos!I:I,"Não encontrado",0,1)</f>
        <v>Mbps</v>
      </c>
      <c r="L27" s="146">
        <v>2022.0</v>
      </c>
      <c r="M27" s="147"/>
      <c r="N27" s="148">
        <f>IFS(L27=2021,ROUND(R27,2),L27=2022,ROUND(R27*(1+pconfig!$B$2),2),L27=2023,ROUND(T27*(1+pconfig!$B$3),2),L27=2024,ROUND(U27*(1+pconfig!$B$4),2),L27=2025, ROUND(V27*(1+pconfig!$B$5),2),L27=2026, ROUND(W27*(1+pconfig!$B$6),2),L27="regiaointegracao",Y27*J27)</f>
        <v>241.7</v>
      </c>
      <c r="O27" s="148">
        <f>N27*(1+'historico-reajuste'!$C$2)*(1+'historico-reajuste'!$C$3)</f>
        <v>241.7</v>
      </c>
      <c r="P27" s="150">
        <f t="array" ref="P27">XLOOKUP(B27&amp;G27,linkdados!E:E,linkdados!L:L)*J27</f>
        <v>26.37839879</v>
      </c>
      <c r="Q27" s="151">
        <f t="array" ref="Q27">XLOOKUP(B27&amp;G27,linkdados!E:E,linkdados!N:N,"")</f>
        <v>178.8141994</v>
      </c>
      <c r="R27" s="151">
        <f>IFERROR(__xludf.DUMMYFUNCTION("IF(F27=""Link de Dados"", IFS(J27&lt;=pconfig!$B$12,P27*pconfig!$C$12,J27&lt;=pconfig!$B$13,P27*pconfig!$C$13,J27&lt;=pconfig!$B$14,P27*pconfig!$C$14,J27&lt;=pconfig!$B$15,P27*pconfig!$C$15,J27&lt;=pconfig!$B$16,P27*pconfig!$C$16,J27&lt;=pconfig!$B$17,P27*pconfig!$C$17,J27"&amp;"&lt;=pconfig!$B$18,P27*pconfig!$C$18,J27&lt;=pconfig!$B$19,P27*pconfig!$C$19,J27&lt;=pconfig!$B$20,P27*pconfig!$C$20,J27&lt;=pconfig!$B$21,P27*pconfig!$C$21)+Q27,IF(H27=""Mensal"",FILTER(servicos!O:O,servicos!F:F=F27&amp;G27)*J27,P27))"),205.1925981873112)</f>
        <v>205.1925982</v>
      </c>
      <c r="S27" s="151">
        <f t="shared" si="1"/>
        <v>205.1925982</v>
      </c>
      <c r="T27" s="151">
        <f>IF(F27="Link de Dados",S27*(1+pconfig!$B$2),S27)</f>
        <v>241.6963614</v>
      </c>
      <c r="U27" s="151">
        <f>IF(F27="Link de Dados",T27*(1+pconfig!$B$3),T27)</f>
        <v>257.9383569</v>
      </c>
      <c r="V27" s="151">
        <f>U27*(1+pconfig!$B$4)</f>
        <v>262.0395768</v>
      </c>
      <c r="W27" s="152">
        <f>V27*(1+pconfig!$B$5)</f>
        <v>279.1769651</v>
      </c>
      <c r="X27" s="152">
        <f>W27*(1+pconfig!$B$6)</f>
        <v>288.3339695</v>
      </c>
      <c r="Y27" s="152">
        <f t="array" ref="Y27">XLOOKUP(B27,regiao!A:A,regiao!H:H,0,1)</f>
        <v>69.86</v>
      </c>
      <c r="AA27" s="23"/>
      <c r="AB27" s="23"/>
    </row>
    <row r="28" ht="33.75" customHeight="1">
      <c r="A28" s="141">
        <f>ROW()-ROW(tabelatelecom_3[[#HEADERS],[Item]])</f>
        <v>7</v>
      </c>
      <c r="B28" s="97" t="s">
        <v>358</v>
      </c>
      <c r="C28" s="142" t="str">
        <f>ifna(VLOOKUP(B28,regiao[[#ALL],[MUNICÍPIO]:[REGIAO_INTEGRACAO]],5,0),"")</f>
        <v>METROPOLITANA</v>
      </c>
      <c r="D28" s="143" t="s">
        <v>360</v>
      </c>
      <c r="E28" s="144">
        <f t="array" ref="E28">XLOOKUP(F28&amp;G28,servicos!F:F,servicos!C:C)</f>
        <v>5279</v>
      </c>
      <c r="F28" s="97" t="s">
        <v>78</v>
      </c>
      <c r="G28" s="103" t="s">
        <v>50</v>
      </c>
      <c r="H28" s="97" t="s">
        <v>178</v>
      </c>
      <c r="I28" s="141" t="b">
        <v>1</v>
      </c>
      <c r="J28" s="141">
        <v>1.0</v>
      </c>
      <c r="K28" s="145" t="str">
        <f t="array" ref="K28">XLOOKUP($F28&amp;G28,servicos!$F:$F,servicos!I:I,"Não encontrado",0,1)</f>
        <v>Mbps</v>
      </c>
      <c r="L28" s="146">
        <v>2022.0</v>
      </c>
      <c r="M28" s="147"/>
      <c r="N28" s="148">
        <f>IFS(L28=2021,ROUND(R28,2),L28=2022,ROUND(R28*(1+pconfig!$B$2),2),L28=2023,ROUND(T28*(1+pconfig!$B$3),2),L28=2024,ROUND(U28*(1+pconfig!$B$4),2),L28=2025, ROUND(V28*(1+pconfig!$B$5),2),L28=2026, ROUND(W28*(1+pconfig!$B$6),2),L28="regiaointegracao",Y28*J28)</f>
        <v>188.36</v>
      </c>
      <c r="O28" s="148">
        <f>N28*(1+'historico-reajuste'!$C$2)*(1+'historico-reajuste'!$C$3)</f>
        <v>188.36</v>
      </c>
      <c r="P28" s="150">
        <f t="array" ref="P28">XLOOKUP(B28&amp;G28,linkdados!E:E,linkdados!L:L)*J28</f>
        <v>26.37839879</v>
      </c>
      <c r="Q28" s="151">
        <f t="array" ref="Q28">XLOOKUP(B28&amp;G28,linkdados!E:E,linkdados!N:N,"")</f>
        <v>133.5347432</v>
      </c>
      <c r="R28" s="151">
        <f>IFERROR(__xludf.DUMMYFUNCTION("IF(F28=""Link de Dados"", IFS(J28&lt;=pconfig!$B$12,P28*pconfig!$C$12,J28&lt;=pconfig!$B$13,P28*pconfig!$C$13,J28&lt;=pconfig!$B$14,P28*pconfig!$C$14,J28&lt;=pconfig!$B$15,P28*pconfig!$C$15,J28&lt;=pconfig!$B$16,P28*pconfig!$C$16,J28&lt;=pconfig!$B$17,P28*pconfig!$C$17,J28"&amp;"&lt;=pconfig!$B$18,P28*pconfig!$C$18,J28&lt;=pconfig!$B$19,P28*pconfig!$C$19,J28&lt;=pconfig!$B$20,P28*pconfig!$C$20,J28&lt;=pconfig!$B$21,P28*pconfig!$C$21)+Q28,IF(H28=""Mensal"",FILTER(servicos!O:O,servicos!F:F=F28&amp;G28)*J28,P28))"),159.9131419939577)</f>
        <v>159.913142</v>
      </c>
      <c r="S28" s="151">
        <f t="shared" si="1"/>
        <v>159.913142</v>
      </c>
      <c r="T28" s="151">
        <f>IF(F28="Link de Dados",S28*(1+pconfig!$B$2),S28)</f>
        <v>188.36169</v>
      </c>
      <c r="U28" s="151">
        <f>IF(F28="Link de Dados",T28*(1+pconfig!$B$3),T28)</f>
        <v>201.0195955</v>
      </c>
      <c r="V28" s="151">
        <f>U28*(1+pconfig!$B$4)</f>
        <v>204.2158071</v>
      </c>
      <c r="W28" s="152">
        <f>V28*(1+pconfig!$B$5)</f>
        <v>217.5715209</v>
      </c>
      <c r="X28" s="152">
        <f>W28*(1+pconfig!$B$6)</f>
        <v>224.7078668</v>
      </c>
      <c r="Y28" s="152">
        <f t="array" ref="Y28">XLOOKUP(B28,regiao!A:A,regiao!H:H,0,1)</f>
        <v>77.04</v>
      </c>
      <c r="AA28" s="23"/>
      <c r="AB28" s="23"/>
    </row>
    <row r="29" ht="33.75" customHeight="1">
      <c r="A29" s="141">
        <f>ROW()-ROW(tabelatelecom_3[[#HEADERS],[Item]])</f>
        <v>8</v>
      </c>
      <c r="B29" s="97" t="s">
        <v>112</v>
      </c>
      <c r="C29" s="142" t="str">
        <f>ifna(VLOOKUP(B29,regiao[[#ALL],[MUNICÍPIO]:[REGIAO_INTEGRACAO]],5,0),"")</f>
        <v>SUDESTE</v>
      </c>
      <c r="D29" s="143" t="s">
        <v>118</v>
      </c>
      <c r="E29" s="144">
        <f t="array" ref="E29">XLOOKUP(F29&amp;G29,servicos!F:F,servicos!C:C)</f>
        <v>5279</v>
      </c>
      <c r="F29" s="97" t="s">
        <v>78</v>
      </c>
      <c r="G29" s="103" t="s">
        <v>50</v>
      </c>
      <c r="H29" s="97" t="s">
        <v>178</v>
      </c>
      <c r="I29" s="141" t="b">
        <v>1</v>
      </c>
      <c r="J29" s="141">
        <v>1.0</v>
      </c>
      <c r="K29" s="145" t="str">
        <f t="array" ref="K29">XLOOKUP($F29&amp;G29,servicos!$F:$F,servicos!I:I,"Não encontrado",0,1)</f>
        <v>Mbps</v>
      </c>
      <c r="L29" s="146">
        <v>2022.0</v>
      </c>
      <c r="M29" s="147"/>
      <c r="N29" s="148">
        <f>IFS(L29=2021,ROUND(R29,2),L29=2022,ROUND(R29*(1+pconfig!$B$2),2),L29=2023,ROUND(T29*(1+pconfig!$B$3),2),L29=2024,ROUND(U29*(1+pconfig!$B$4),2),L29=2025, ROUND(V29*(1+pconfig!$B$5),2),L29=2026, ROUND(W29*(1+pconfig!$B$6),2),L29="regiaointegracao",Y29*J29)</f>
        <v>175.8</v>
      </c>
      <c r="O29" s="148">
        <f>N29*(1+'historico-reajuste'!$C$2)*(1+'historico-reajuste'!$C$3)</f>
        <v>175.8</v>
      </c>
      <c r="P29" s="150">
        <f t="array" ref="P29">XLOOKUP(B29&amp;G29,linkdados!E:E,linkdados!L:L)*J29</f>
        <v>29.55060423</v>
      </c>
      <c r="Q29" s="151">
        <f t="array" ref="Q29">XLOOKUP(B29&amp;G29,linkdados!E:E,linkdados!N:N,"")</f>
        <v>119.6941088</v>
      </c>
      <c r="R29" s="151">
        <f>IFERROR(__xludf.DUMMYFUNCTION("IF(F29=""Link de Dados"", IFS(J29&lt;=pconfig!$B$12,P29*pconfig!$C$12,J29&lt;=pconfig!$B$13,P29*pconfig!$C$13,J29&lt;=pconfig!$B$14,P29*pconfig!$C$14,J29&lt;=pconfig!$B$15,P29*pconfig!$C$15,J29&lt;=pconfig!$B$16,P29*pconfig!$C$16,J29&lt;=pconfig!$B$17,P29*pconfig!$C$17,J29"&amp;"&lt;=pconfig!$B$18,P29*pconfig!$C$18,J29&lt;=pconfig!$B$19,P29*pconfig!$C$19,J29&lt;=pconfig!$B$20,P29*pconfig!$C$20,J29&lt;=pconfig!$B$21,P29*pconfig!$C$21)+Q29,IF(H29=""Mensal"",FILTER(servicos!O:O,servicos!F:F=F29&amp;G29)*J29,P29))"),149.24471299093656)</f>
        <v>149.244713</v>
      </c>
      <c r="S29" s="151">
        <f t="shared" si="1"/>
        <v>149.244713</v>
      </c>
      <c r="T29" s="151">
        <f>IF(F29="Link de Dados",S29*(1+pconfig!$B$2),S29)</f>
        <v>175.7953474</v>
      </c>
      <c r="U29" s="151">
        <f>IF(F29="Link de Dados",T29*(1+pconfig!$B$3),T29)</f>
        <v>187.6087948</v>
      </c>
      <c r="V29" s="151">
        <f>U29*(1+pconfig!$B$4)</f>
        <v>190.5917746</v>
      </c>
      <c r="W29" s="152">
        <f>V29*(1+pconfig!$B$5)</f>
        <v>203.0564767</v>
      </c>
      <c r="X29" s="152">
        <f>W29*(1+pconfig!$B$6)</f>
        <v>209.7167291</v>
      </c>
      <c r="Y29" s="152">
        <f t="array" ref="Y29">XLOOKUP(B29,regiao!A:A,regiao!H:H,0,1)</f>
        <v>65.28</v>
      </c>
      <c r="AA29" s="23"/>
      <c r="AB29" s="23"/>
    </row>
    <row r="30" ht="33.75" customHeight="1">
      <c r="A30" s="141">
        <f>ROW()-ROW(tabelatelecom_3[[#HEADERS],[Item]])</f>
        <v>9</v>
      </c>
      <c r="B30" s="97" t="s">
        <v>395</v>
      </c>
      <c r="C30" s="142" t="str">
        <f>ifna(VLOOKUP(B30,regiao[[#ALL],[MUNICÍPIO]:[REGIAO_INTEGRACAO]],5,0),"")</f>
        <v>NORDESTE</v>
      </c>
      <c r="D30" s="143" t="s">
        <v>118</v>
      </c>
      <c r="E30" s="144">
        <f t="array" ref="E30">XLOOKUP(F30&amp;G30,servicos!F:F,servicos!C:C)</f>
        <v>5262</v>
      </c>
      <c r="F30" s="97" t="s">
        <v>78</v>
      </c>
      <c r="G30" s="103" t="s">
        <v>59</v>
      </c>
      <c r="H30" s="97" t="s">
        <v>178</v>
      </c>
      <c r="I30" s="141" t="b">
        <v>1</v>
      </c>
      <c r="J30" s="141">
        <v>1.0</v>
      </c>
      <c r="K30" s="145" t="str">
        <f t="array" ref="K30">XLOOKUP($F30&amp;G30,servicos!$F:$F,servicos!I:I,"Não encontrado",0,1)</f>
        <v>Mbps</v>
      </c>
      <c r="L30" s="146">
        <v>2022.0</v>
      </c>
      <c r="M30" s="147"/>
      <c r="N30" s="148">
        <f>IFS(L30=2021,ROUND(R30,2),L30=2022,ROUND(R30*(1+pconfig!$B$2),2),L30=2023,ROUND(T30*(1+pconfig!$B$3),2),L30=2024,ROUND(U30*(1+pconfig!$B$4),2),L30=2025, ROUND(V30*(1+pconfig!$B$5),2),L30=2026, ROUND(W30*(1+pconfig!$B$6),2),L30="regiaointegracao",Y30*J30)</f>
        <v>776.18</v>
      </c>
      <c r="O30" s="148">
        <f>N30*(1+'historico-reajuste'!$C$2)*(1+'historico-reajuste'!$C$3)</f>
        <v>776.18</v>
      </c>
      <c r="P30" s="150">
        <f t="array" ref="P30">XLOOKUP(B30&amp;G30,linkdados!E:E,linkdados!L:L)*J30</f>
        <v>29.55060423</v>
      </c>
      <c r="Q30" s="151">
        <f t="array" ref="Q30">XLOOKUP(B30&amp;G30,linkdados!E:E,linkdados!N:N,"")</f>
        <v>629.4058409</v>
      </c>
      <c r="R30" s="151">
        <f>IFERROR(__xludf.DUMMYFUNCTION("IF(F30=""Link de Dados"", IFS(J30&lt;=pconfig!$B$12,P30*pconfig!$C$12,J30&lt;=pconfig!$B$13,P30*pconfig!$C$13,J30&lt;=pconfig!$B$14,P30*pconfig!$C$14,J30&lt;=pconfig!$B$15,P30*pconfig!$C$15,J30&lt;=pconfig!$B$16,P30*pconfig!$C$16,J30&lt;=pconfig!$B$17,P30*pconfig!$C$17,J30"&amp;"&lt;=pconfig!$B$18,P30*pconfig!$C$18,J30&lt;=pconfig!$B$19,P30*pconfig!$C$19,J30&lt;=pconfig!$B$20,P30*pconfig!$C$20,J30&lt;=pconfig!$B$21,P30*pconfig!$C$21)+Q30,IF(H30=""Mensal"",FILTER(servicos!O:O,servicos!F:F=F30&amp;G30)*J30,P30))"),658.9564451158101)</f>
        <v>658.9564451</v>
      </c>
      <c r="S30" s="151">
        <f t="shared" si="1"/>
        <v>658.9564451</v>
      </c>
      <c r="T30" s="151">
        <f>IF(F30="Link de Dados",S30*(1+pconfig!$B$2),S30)</f>
        <v>776.1847967</v>
      </c>
      <c r="U30" s="151">
        <f>IF(F30="Link de Dados",T30*(1+pconfig!$B$3),T30)</f>
        <v>828.344415</v>
      </c>
      <c r="V30" s="151">
        <f>U30*(1+pconfig!$B$4)</f>
        <v>841.5150912</v>
      </c>
      <c r="W30" s="152">
        <f>V30*(1+pconfig!$B$5)</f>
        <v>896.5501782</v>
      </c>
      <c r="X30" s="152">
        <f>W30*(1+pconfig!$B$6)</f>
        <v>925.9570241</v>
      </c>
      <c r="Y30" s="152">
        <f t="array" ref="Y30">XLOOKUP(B30,regiao!A:A,regiao!H:H,0,1)</f>
        <v>87.51</v>
      </c>
      <c r="AA30" s="23"/>
      <c r="AB30" s="23"/>
    </row>
    <row r="31" ht="38.25" customHeight="1">
      <c r="A31" s="124" t="s">
        <v>522</v>
      </c>
      <c r="B31" s="65"/>
      <c r="C31" s="65"/>
      <c r="D31" s="65"/>
      <c r="E31" s="65"/>
      <c r="F31" s="65"/>
      <c r="G31" s="65"/>
      <c r="H31" s="66"/>
      <c r="I31" s="201"/>
      <c r="J31" s="125"/>
      <c r="K31" s="126"/>
      <c r="L31" s="125"/>
      <c r="M31" s="126"/>
      <c r="N31" s="202">
        <f>SUMIF(tabelatelecom_3[Incluir],TRUE,tabelatelecom_3[Mensal])</f>
        <v>2798.25</v>
      </c>
      <c r="O31" s="203">
        <f>SUMIF(tabelatelecom_3[Incluir],TRUE,tabelatelecom_3[Total Mensal c/ Reajuste])</f>
        <v>2798.25</v>
      </c>
      <c r="P31" s="128"/>
      <c r="Q31" s="23"/>
      <c r="R31" s="11"/>
      <c r="S31" s="11"/>
      <c r="T31" s="11"/>
      <c r="U31" s="11"/>
      <c r="V31" s="23"/>
      <c r="W31" s="23"/>
      <c r="X31" s="11"/>
      <c r="Y31" s="11"/>
      <c r="Z31" s="11"/>
      <c r="AA31" s="11"/>
      <c r="AB31" s="11"/>
    </row>
    <row r="32" ht="37.5" customHeight="1">
      <c r="A32" s="124" t="s">
        <v>534</v>
      </c>
      <c r="B32" s="65"/>
      <c r="C32" s="65"/>
      <c r="D32" s="65"/>
      <c r="E32" s="65"/>
      <c r="F32" s="65"/>
      <c r="G32" s="65"/>
      <c r="H32" s="66"/>
      <c r="I32" s="6"/>
      <c r="J32" s="125"/>
      <c r="K32" s="126"/>
      <c r="L32" s="125"/>
      <c r="M32" s="126"/>
      <c r="N32" s="202">
        <f t="shared" ref="N32:O32" si="2">N31*12</f>
        <v>33579</v>
      </c>
      <c r="O32" s="203">
        <f t="shared" si="2"/>
        <v>33579</v>
      </c>
      <c r="P32" s="128"/>
      <c r="Q32" s="23"/>
      <c r="R32" s="11"/>
      <c r="S32" s="11"/>
      <c r="T32" s="11"/>
      <c r="U32" s="11"/>
      <c r="V32" s="23"/>
      <c r="W32" s="23"/>
      <c r="X32" s="11"/>
      <c r="Y32" s="11"/>
      <c r="Z32" s="11"/>
      <c r="AA32" s="11"/>
      <c r="AB32" s="11"/>
    </row>
    <row r="33" ht="32.25" customHeight="1">
      <c r="A33" s="63"/>
      <c r="B33" s="204"/>
      <c r="C33" s="63"/>
      <c r="D33" s="130"/>
      <c r="E33" s="130"/>
      <c r="F33" s="130"/>
      <c r="G33" s="63"/>
      <c r="H33" s="63"/>
      <c r="I33" s="204"/>
      <c r="J33" s="63"/>
      <c r="K33" s="130"/>
      <c r="L33" s="130"/>
      <c r="M33" s="130"/>
      <c r="N33" s="130"/>
      <c r="O33" s="63"/>
      <c r="P33" s="130"/>
      <c r="Q33" s="63"/>
      <c r="R33" s="63"/>
      <c r="S33" s="63"/>
      <c r="T33" s="63"/>
      <c r="U33" s="63"/>
      <c r="V33" s="63"/>
      <c r="W33" s="63"/>
      <c r="X33" s="11"/>
      <c r="Y33" s="11"/>
      <c r="Z33" s="11"/>
      <c r="AA33" s="11"/>
      <c r="AB33" s="11"/>
    </row>
    <row r="34">
      <c r="A34" s="23"/>
      <c r="B34" s="205"/>
      <c r="C34" s="23"/>
      <c r="D34" s="128"/>
      <c r="E34" s="23"/>
      <c r="F34" s="23"/>
      <c r="G34" s="23"/>
      <c r="H34" s="23"/>
      <c r="I34" s="23"/>
      <c r="J34" s="23"/>
      <c r="K34" s="128"/>
      <c r="L34" s="128"/>
      <c r="M34" s="128"/>
      <c r="N34" s="128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ht="13.5" customHeight="1">
      <c r="A35" s="206" t="s">
        <v>545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6"/>
      <c r="P35" s="207"/>
      <c r="Q35" s="208"/>
      <c r="R35" s="208"/>
      <c r="S35" s="209"/>
      <c r="T35" s="209"/>
      <c r="U35" s="209"/>
      <c r="V35" s="209"/>
      <c r="W35" s="210"/>
      <c r="X35" s="209"/>
      <c r="Y35" s="69"/>
      <c r="Z35" s="69"/>
      <c r="AA35" s="69"/>
      <c r="AB35" s="69"/>
    </row>
    <row r="36" ht="39.0" customHeight="1">
      <c r="A36" s="211" t="s">
        <v>68</v>
      </c>
      <c r="B36" s="212" t="s">
        <v>69</v>
      </c>
      <c r="C36" s="213" t="s">
        <v>546</v>
      </c>
      <c r="D36" s="212" t="s">
        <v>154</v>
      </c>
      <c r="E36" s="213" t="s">
        <v>72</v>
      </c>
      <c r="F36" s="212" t="s">
        <v>73</v>
      </c>
      <c r="G36" s="214" t="s">
        <v>6</v>
      </c>
      <c r="H36" s="213" t="s">
        <v>75</v>
      </c>
      <c r="I36" s="214" t="s">
        <v>76</v>
      </c>
      <c r="J36" s="211" t="s">
        <v>77</v>
      </c>
      <c r="K36" s="212" t="s">
        <v>10</v>
      </c>
      <c r="L36" s="213" t="s">
        <v>157</v>
      </c>
      <c r="M36" s="137" t="s">
        <v>550</v>
      </c>
      <c r="N36" s="213" t="s">
        <v>81</v>
      </c>
      <c r="O36" s="212" t="s">
        <v>156</v>
      </c>
      <c r="P36" s="6"/>
      <c r="Q36" s="6"/>
      <c r="R36" s="6"/>
      <c r="S36" s="6"/>
      <c r="T36" s="6"/>
      <c r="U36" s="6"/>
      <c r="V36" s="6"/>
      <c r="W36" s="6"/>
      <c r="X36" s="6"/>
      <c r="Y36" s="215"/>
      <c r="Z36" s="215"/>
      <c r="AA36" s="215"/>
      <c r="AB36" s="215"/>
    </row>
    <row r="37" ht="39.0" customHeight="1">
      <c r="A37" s="141">
        <f>ROW()-ROW(tabelaInternet_4[[#HEADERS],[Item]])</f>
        <v>1</v>
      </c>
      <c r="B37" s="97" t="s">
        <v>173</v>
      </c>
      <c r="C37" s="142" t="str">
        <f>ifna(VLOOKUP(B37,regiao[[#ALL],[MUNICÍPIO]:[REGIAO_INTEGRACAO]],5,0),"")</f>
        <v>METROPOLITANA</v>
      </c>
      <c r="D37" s="143" t="s">
        <v>275</v>
      </c>
      <c r="E37" s="144">
        <f t="array" ref="E37">XLOOKUP(F37&amp;G37,servicos!F:F,servicos!C:C)</f>
        <v>3174</v>
      </c>
      <c r="F37" s="97" t="s">
        <v>87</v>
      </c>
      <c r="G37" s="103" t="s">
        <v>50</v>
      </c>
      <c r="H37" s="97" t="s">
        <v>178</v>
      </c>
      <c r="I37" s="216" t="b">
        <v>1</v>
      </c>
      <c r="J37" s="216">
        <v>300.0</v>
      </c>
      <c r="K37" s="217" t="str">
        <f t="array" ref="K37">XLOOKUP($F37&amp;G37,servicos!$F:$F,servicos!I:I,"Não encontrado",0,1)</f>
        <v>Mbps</v>
      </c>
      <c r="L37" s="218" t="s">
        <v>559</v>
      </c>
      <c r="M37" s="219" t="b">
        <v>0</v>
      </c>
      <c r="N37" s="148">
        <f t="array" ref="N37">IFS(tabelaInternet_4[Unitário]="Tabela 2026",XLOOKUP(F37&amp;G37,servicos!F:F,servicos!P:P)*tabelaInternet_4[Qtd],tabelaInternet_4[Unitário]="Contrato Cliente",XLOOKUP(F37&amp;G37,servicos!F:F,servicos!N:N)*tabelaInternet_4[Qtd])</f>
        <v>6900</v>
      </c>
      <c r="O37" s="148">
        <f>IF(tabelaInternet_4[Incluir reajuste]=TRUE,tabelaInternet_4[Mensal]*(1+'historico-reajuste'!C3),tabelaInternet_4[Mensal])</f>
        <v>6900</v>
      </c>
      <c r="P37" s="207"/>
      <c r="Q37" s="208"/>
      <c r="R37" s="208"/>
      <c r="S37" s="209"/>
      <c r="T37" s="209"/>
      <c r="U37" s="209"/>
      <c r="V37" s="209"/>
      <c r="W37" s="210"/>
      <c r="X37" s="209"/>
      <c r="Y37" s="209"/>
      <c r="Z37" s="209"/>
      <c r="AA37" s="209"/>
      <c r="AB37" s="209"/>
    </row>
    <row r="38" ht="39.75" customHeight="1">
      <c r="A38" s="124" t="s">
        <v>522</v>
      </c>
      <c r="B38" s="65"/>
      <c r="C38" s="65"/>
      <c r="D38" s="65"/>
      <c r="E38" s="65"/>
      <c r="F38" s="65"/>
      <c r="G38" s="65"/>
      <c r="H38" s="66"/>
      <c r="I38" s="220"/>
      <c r="K38" s="221"/>
      <c r="L38" s="221"/>
      <c r="M38" s="221"/>
      <c r="N38" s="202">
        <f>SUMIF(tabelaInternet_4[[#DATA],[#TOTALS],[Incluir]],TRUE,tabelaInternet_4[Mensal])</f>
        <v>6900</v>
      </c>
      <c r="O38" s="203">
        <f>SUM(tabelaInternet_4[Total Mensal c/ Reajuste])</f>
        <v>6900</v>
      </c>
      <c r="P38" s="23"/>
      <c r="Q38" s="23"/>
      <c r="R38" s="23"/>
      <c r="S38" s="11"/>
      <c r="T38" s="11"/>
      <c r="U38" s="11"/>
      <c r="V38" s="11"/>
      <c r="W38" s="210"/>
      <c r="X38" s="11"/>
      <c r="Y38" s="11"/>
      <c r="Z38" s="11"/>
      <c r="AA38" s="11"/>
      <c r="AB38" s="11"/>
    </row>
    <row r="39" ht="33.0" customHeight="1">
      <c r="A39" s="124" t="s">
        <v>534</v>
      </c>
      <c r="B39" s="65"/>
      <c r="C39" s="65"/>
      <c r="D39" s="65"/>
      <c r="E39" s="65"/>
      <c r="F39" s="65"/>
      <c r="G39" s="65"/>
      <c r="H39" s="66"/>
      <c r="I39" s="222"/>
      <c r="K39" s="221"/>
      <c r="L39" s="221"/>
      <c r="M39" s="221"/>
      <c r="N39" s="202">
        <f t="shared" ref="N39:O39" si="3">N38*12</f>
        <v>82800</v>
      </c>
      <c r="O39" s="203">
        <f t="shared" si="3"/>
        <v>82800</v>
      </c>
      <c r="P39" s="23"/>
      <c r="Q39" s="23"/>
      <c r="R39" s="23"/>
      <c r="S39" s="11"/>
      <c r="T39" s="11"/>
      <c r="U39" s="11"/>
      <c r="V39" s="11"/>
      <c r="W39" s="210"/>
      <c r="X39" s="11"/>
      <c r="Y39" s="11"/>
      <c r="Z39" s="11"/>
      <c r="AA39" s="11"/>
      <c r="AB39" s="11"/>
    </row>
    <row r="40" ht="29.25" customHeight="1">
      <c r="A40" s="223"/>
      <c r="X40" s="11"/>
      <c r="Y40" s="11"/>
      <c r="Z40" s="11"/>
      <c r="AA40" s="11"/>
      <c r="AB40" s="11"/>
    </row>
    <row r="41" ht="45.0" customHeight="1">
      <c r="A41" s="206" t="s">
        <v>566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6"/>
      <c r="P41" s="69"/>
      <c r="Q41" s="69"/>
      <c r="R41" s="69"/>
      <c r="S41" s="69"/>
      <c r="T41" s="69"/>
      <c r="U41" s="69"/>
      <c r="V41" s="69"/>
      <c r="W41" s="224"/>
      <c r="X41" s="224"/>
      <c r="Y41" s="224"/>
      <c r="Z41" s="224"/>
      <c r="AA41" s="224"/>
      <c r="AB41" s="224"/>
    </row>
    <row r="42" ht="64.5" customHeight="1">
      <c r="A42" s="211" t="s">
        <v>68</v>
      </c>
      <c r="B42" s="212" t="s">
        <v>69</v>
      </c>
      <c r="C42" s="213" t="s">
        <v>70</v>
      </c>
      <c r="D42" s="213" t="s">
        <v>154</v>
      </c>
      <c r="E42" s="213" t="s">
        <v>72</v>
      </c>
      <c r="F42" s="212" t="s">
        <v>73</v>
      </c>
      <c r="G42" s="214" t="s">
        <v>10</v>
      </c>
      <c r="H42" s="214" t="s">
        <v>75</v>
      </c>
      <c r="I42" s="214" t="s">
        <v>76</v>
      </c>
      <c r="J42" s="211" t="s">
        <v>77</v>
      </c>
      <c r="K42" s="213" t="s">
        <v>571</v>
      </c>
      <c r="L42" s="213" t="s">
        <v>157</v>
      </c>
      <c r="M42" s="137" t="s">
        <v>88</v>
      </c>
      <c r="N42" s="212" t="s">
        <v>81</v>
      </c>
      <c r="O42" s="213" t="s">
        <v>156</v>
      </c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</row>
    <row r="43" ht="64.5" customHeight="1">
      <c r="A43" s="141">
        <f>ROW()-ROW(tabelati_3[[#HEADERS],[Item]])</f>
        <v>1</v>
      </c>
      <c r="B43" s="97" t="s">
        <v>173</v>
      </c>
      <c r="C43" s="226" t="str">
        <f>ifna(VLOOKUP(B43,regiao[[#ALL],[MUNICÍPIO]:[REGIAO_INTEGRACAO]],5,0),"")</f>
        <v>METROPOLITANA</v>
      </c>
      <c r="D43" s="227" t="s">
        <v>575</v>
      </c>
      <c r="E43" s="227">
        <f t="array" ref="E43">XLOOKUP(F43,servicos!D:D,servicos!C:C)</f>
        <v>5581</v>
      </c>
      <c r="F43" s="97" t="s">
        <v>576</v>
      </c>
      <c r="G43" s="229" t="str">
        <f t="array" ref="G43">XLOOKUP(F43,servicos!D:D,servicos!I:I)</f>
        <v>Licença de software</v>
      </c>
      <c r="H43" s="141" t="s">
        <v>178</v>
      </c>
      <c r="I43" s="230" t="b">
        <v>1</v>
      </c>
      <c r="J43" s="141">
        <v>1.0</v>
      </c>
      <c r="K43" s="97" t="s">
        <v>580</v>
      </c>
      <c r="L43" s="235">
        <f t="array" ref="L43">ifs(K43=2025,XLOOKUP(F43,servicos!D:D,servicos!O:O),K43=2026,XLOOKUP(F43,servicos!D:D,servicos!P:P),K43="Contrato Cliente",XLOOKUP(F43,servicos!D:D,servicos!N:N))</f>
        <v>790.9</v>
      </c>
      <c r="M43" s="147"/>
      <c r="N43" s="238">
        <f t="shared" ref="N43:N50" si="4">L43*J43</f>
        <v>790.9</v>
      </c>
      <c r="O43" s="242">
        <f>N43*(1+'historico-reajuste'!$C$3)</f>
        <v>790.9</v>
      </c>
      <c r="P43" s="207"/>
      <c r="Q43" s="208"/>
      <c r="R43" s="207"/>
      <c r="S43" s="209"/>
      <c r="T43" s="209"/>
      <c r="U43" s="209"/>
      <c r="V43" s="209"/>
      <c r="W43" s="209"/>
      <c r="X43" s="209"/>
      <c r="Y43" s="209"/>
      <c r="Z43" s="243"/>
      <c r="AA43" s="243"/>
      <c r="AB43" s="243"/>
    </row>
    <row r="44" ht="55.5" customHeight="1">
      <c r="A44" s="141">
        <f>ROW()-ROW(tabelati_3[[#HEADERS],[Item]])</f>
        <v>2</v>
      </c>
      <c r="B44" s="97" t="s">
        <v>173</v>
      </c>
      <c r="C44" s="226" t="str">
        <f>ifna(VLOOKUP(B44,regiao[[#ALL],[MUNICÍPIO]:[REGIAO_INTEGRACAO]],5,0),"")</f>
        <v>METROPOLITANA</v>
      </c>
      <c r="D44" s="227" t="s">
        <v>575</v>
      </c>
      <c r="E44" s="227">
        <f t="array" ref="E44">XLOOKUP(F44,servicos!D:D,servicos!C:C)</f>
        <v>3429</v>
      </c>
      <c r="F44" s="97" t="s">
        <v>602</v>
      </c>
      <c r="G44" s="229" t="str">
        <f t="array" ref="G44">XLOOKUP(F44,servicos!D:D,servicos!I:I)</f>
        <v>Licença de software</v>
      </c>
      <c r="H44" s="141" t="s">
        <v>178</v>
      </c>
      <c r="I44" s="257" t="b">
        <v>1</v>
      </c>
      <c r="J44" s="141">
        <v>20.0</v>
      </c>
      <c r="K44" s="103" t="s">
        <v>580</v>
      </c>
      <c r="L44" s="235">
        <f t="array" ref="L44">ifs(K44=2025,XLOOKUP(F44,servicos!D:D,servicos!O:O),K44=2026,XLOOKUP(F44,servicos!D:D,servicos!P:P),K44="Contrato Cliente",XLOOKUP(F44,servicos!D:D,servicos!N:N))</f>
        <v>735.81</v>
      </c>
      <c r="M44" s="147"/>
      <c r="N44" s="238">
        <f t="shared" si="4"/>
        <v>14716.2</v>
      </c>
      <c r="O44" s="242">
        <f>N44*(1+'historico-reajuste'!$C$3)</f>
        <v>14716.2</v>
      </c>
      <c r="P44" s="207"/>
      <c r="Q44" s="208"/>
      <c r="R44" s="207"/>
      <c r="S44" s="209"/>
      <c r="T44" s="209"/>
      <c r="U44" s="209"/>
      <c r="V44" s="209"/>
      <c r="W44" s="209"/>
      <c r="X44" s="209"/>
      <c r="Y44" s="209"/>
      <c r="Z44" s="243"/>
      <c r="AA44" s="243"/>
      <c r="AB44" s="243"/>
    </row>
    <row r="45" ht="55.5" customHeight="1">
      <c r="A45" s="141">
        <f>ROW()-ROW(tabelati_3[[#HEADERS],[Item]])</f>
        <v>3</v>
      </c>
      <c r="B45" s="97" t="s">
        <v>173</v>
      </c>
      <c r="C45" s="226" t="str">
        <f>ifna(VLOOKUP(B45,regiao[[#ALL],[MUNICÍPIO]:[REGIAO_INTEGRACAO]],5,0),"")</f>
        <v>METROPOLITANA</v>
      </c>
      <c r="D45" s="227" t="s">
        <v>575</v>
      </c>
      <c r="E45" s="227">
        <f t="array" ref="E45">XLOOKUP(F45,servicos!D:D,servicos!C:C)</f>
        <v>3435</v>
      </c>
      <c r="F45" s="97" t="s">
        <v>673</v>
      </c>
      <c r="G45" s="229" t="str">
        <f t="array" ref="G45">XLOOKUP(F45,servicos!D:D,servicos!I:I)</f>
        <v>Licença de software</v>
      </c>
      <c r="H45" s="141" t="s">
        <v>178</v>
      </c>
      <c r="I45" s="257" t="b">
        <v>1</v>
      </c>
      <c r="J45" s="141">
        <v>1.0</v>
      </c>
      <c r="K45" s="103" t="s">
        <v>580</v>
      </c>
      <c r="L45" s="235">
        <f t="array" ref="L45">ifs(K45=2025,XLOOKUP(F45,servicos!D:D,servicos!O:O),K45=2026,XLOOKUP(F45,servicos!D:D,servicos!P:P),K45="Contrato Cliente",XLOOKUP(F45,servicos!D:D,servicos!N:N))</f>
        <v>463.72</v>
      </c>
      <c r="M45" s="147"/>
      <c r="N45" s="238">
        <f t="shared" si="4"/>
        <v>463.72</v>
      </c>
      <c r="O45" s="242">
        <f>N45*(1+'historico-reajuste'!$C$3)</f>
        <v>463.72</v>
      </c>
      <c r="P45" s="207"/>
      <c r="Q45" s="208"/>
      <c r="R45" s="207"/>
      <c r="S45" s="209"/>
      <c r="T45" s="209"/>
      <c r="U45" s="209"/>
      <c r="V45" s="209"/>
      <c r="W45" s="209"/>
      <c r="X45" s="209"/>
      <c r="Y45" s="209"/>
      <c r="Z45" s="243"/>
      <c r="AA45" s="243"/>
      <c r="AB45" s="243"/>
    </row>
    <row r="46" ht="55.5" customHeight="1">
      <c r="A46" s="141">
        <f>ROW()-ROW(tabelati_3[[#HEADERS],[Item]])</f>
        <v>4</v>
      </c>
      <c r="B46" s="97" t="s">
        <v>173</v>
      </c>
      <c r="C46" s="226" t="str">
        <f>ifna(VLOOKUP(B46,regiao[[#ALL],[MUNICÍPIO]:[REGIAO_INTEGRACAO]],5,0),"")</f>
        <v>METROPOLITANA</v>
      </c>
      <c r="D46" s="227" t="s">
        <v>575</v>
      </c>
      <c r="E46" s="227" t="str">
        <f t="array" ref="E46">XLOOKUP(F46,servicos!D:D,servicos!C:C)</f>
        <v/>
      </c>
      <c r="F46" s="97" t="s">
        <v>682</v>
      </c>
      <c r="G46" s="229" t="str">
        <f t="array" ref="G46">XLOOKUP(F46,servicos!D:D,servicos!I:I)</f>
        <v>Licença de software</v>
      </c>
      <c r="H46" s="141" t="s">
        <v>178</v>
      </c>
      <c r="I46" s="257" t="b">
        <v>1</v>
      </c>
      <c r="J46" s="141">
        <v>1.0</v>
      </c>
      <c r="K46" s="103" t="s">
        <v>580</v>
      </c>
      <c r="L46" s="235">
        <f t="array" ref="L46">ifs(K46=2025,XLOOKUP(F46,servicos!D:D,servicos!O:O),K46=2026,XLOOKUP(F46,servicos!D:D,servicos!P:P),K46="Contrato Cliente",XLOOKUP(F46,servicos!D:D,servicos!N:N))</f>
        <v>2296.58</v>
      </c>
      <c r="M46" s="147"/>
      <c r="N46" s="238">
        <f t="shared" si="4"/>
        <v>2296.58</v>
      </c>
      <c r="O46" s="242">
        <f>N46*(1+'historico-reajuste'!$C$3)</f>
        <v>2296.58</v>
      </c>
      <c r="P46" s="207"/>
      <c r="Q46" s="208"/>
      <c r="R46" s="207"/>
      <c r="S46" s="209"/>
      <c r="T46" s="209"/>
      <c r="U46" s="209"/>
      <c r="V46" s="209"/>
      <c r="W46" s="209"/>
      <c r="X46" s="209"/>
      <c r="Y46" s="209"/>
      <c r="Z46" s="243"/>
      <c r="AA46" s="243"/>
      <c r="AB46" s="243"/>
    </row>
    <row r="47" ht="55.5" customHeight="1">
      <c r="A47" s="141">
        <f>ROW()-ROW(tabelati_3[[#HEADERS],[Item]])</f>
        <v>5</v>
      </c>
      <c r="B47" s="97" t="s">
        <v>173</v>
      </c>
      <c r="C47" s="226" t="str">
        <f>ifna(VLOOKUP(B47,regiao[[#ALL],[MUNICÍPIO]:[REGIAO_INTEGRACAO]],5,0),"")</f>
        <v>METROPOLITANA</v>
      </c>
      <c r="D47" s="227" t="s">
        <v>575</v>
      </c>
      <c r="E47" s="227" t="str">
        <f t="array" ref="E47">XLOOKUP(F47,servicos!D:D,servicos!C:C)</f>
        <v/>
      </c>
      <c r="F47" s="97" t="s">
        <v>686</v>
      </c>
      <c r="G47" s="229" t="str">
        <f t="array" ref="G47">XLOOKUP(F47,servicos!D:D,servicos!I:I)</f>
        <v>Licença de software</v>
      </c>
      <c r="H47" s="141" t="s">
        <v>178</v>
      </c>
      <c r="I47" s="257" t="b">
        <v>1</v>
      </c>
      <c r="J47" s="141">
        <v>1.0</v>
      </c>
      <c r="K47" s="103" t="s">
        <v>580</v>
      </c>
      <c r="L47" s="235">
        <f t="array" ref="L47">ifs(K47=2025,XLOOKUP(F47,servicos!D:D,servicos!O:O),K47=2026,XLOOKUP(F47,servicos!D:D,servicos!P:P),K47="Contrato Cliente",XLOOKUP(F47,servicos!D:D,servicos!N:N))</f>
        <v>2108.68</v>
      </c>
      <c r="M47" s="147"/>
      <c r="N47" s="238">
        <f t="shared" si="4"/>
        <v>2108.68</v>
      </c>
      <c r="O47" s="242">
        <f>N47*(1+'historico-reajuste'!$C$3)</f>
        <v>2108.68</v>
      </c>
      <c r="P47" s="207"/>
      <c r="Q47" s="208"/>
      <c r="R47" s="207"/>
      <c r="S47" s="209"/>
      <c r="T47" s="209"/>
      <c r="U47" s="209"/>
      <c r="V47" s="209"/>
      <c r="W47" s="209"/>
      <c r="X47" s="209"/>
      <c r="Y47" s="209"/>
      <c r="Z47" s="243"/>
      <c r="AA47" s="243"/>
      <c r="AB47" s="243"/>
    </row>
    <row r="48" ht="55.5" customHeight="1">
      <c r="A48" s="141">
        <f>ROW()-ROW(tabelati_3[[#HEADERS],[Item]])</f>
        <v>6</v>
      </c>
      <c r="B48" s="97" t="s">
        <v>173</v>
      </c>
      <c r="C48" s="226" t="str">
        <f>ifna(VLOOKUP(B48,regiao[[#ALL],[MUNICÍPIO]:[REGIAO_INTEGRACAO]],5,0),"")</f>
        <v>METROPOLITANA</v>
      </c>
      <c r="D48" s="227" t="s">
        <v>575</v>
      </c>
      <c r="E48" s="227">
        <f t="array" ref="E48">XLOOKUP(F48,servicos!D:D,servicos!C:C)</f>
        <v>5010</v>
      </c>
      <c r="F48" s="97" t="s">
        <v>708</v>
      </c>
      <c r="G48" s="229" t="str">
        <f t="array" ref="G48">XLOOKUP(F48,servicos!D:D,servicos!I:I)</f>
        <v>GB</v>
      </c>
      <c r="H48" s="141" t="s">
        <v>178</v>
      </c>
      <c r="I48" s="257" t="b">
        <v>1</v>
      </c>
      <c r="J48" s="141">
        <v>1.0</v>
      </c>
      <c r="K48" s="103" t="s">
        <v>580</v>
      </c>
      <c r="L48" s="235">
        <f t="array" ref="L48">ifs(K48=2025,XLOOKUP(F48,servicos!D:D,servicos!O:O),K48=2026,XLOOKUP(F48,servicos!D:D,servicos!P:P),K48="Contrato Cliente",XLOOKUP(F48,servicos!D:D,servicos!N:N))</f>
        <v>76.13</v>
      </c>
      <c r="M48" s="147"/>
      <c r="N48" s="238">
        <f t="shared" si="4"/>
        <v>76.13</v>
      </c>
      <c r="O48" s="242">
        <f>N48*(1+'historico-reajuste'!$C$3)</f>
        <v>76.13</v>
      </c>
      <c r="P48" s="207"/>
      <c r="Q48" s="208"/>
      <c r="R48" s="207"/>
      <c r="S48" s="209"/>
      <c r="T48" s="209"/>
      <c r="U48" s="209"/>
      <c r="V48" s="209"/>
      <c r="W48" s="209"/>
      <c r="X48" s="209"/>
      <c r="Y48" s="209"/>
      <c r="Z48" s="243"/>
      <c r="AA48" s="243"/>
      <c r="AB48" s="243"/>
    </row>
    <row r="49" ht="55.5" customHeight="1">
      <c r="A49" s="141">
        <f>ROW()-ROW(tabelati_3[[#HEADERS],[Item]])</f>
        <v>7</v>
      </c>
      <c r="B49" s="97" t="s">
        <v>173</v>
      </c>
      <c r="C49" s="226" t="str">
        <f>ifna(VLOOKUP(B49,regiao[[#ALL],[MUNICÍPIO]:[REGIAO_INTEGRACAO]],5,0),"")</f>
        <v>METROPOLITANA</v>
      </c>
      <c r="D49" s="227" t="s">
        <v>575</v>
      </c>
      <c r="E49" s="227">
        <f t="array" ref="E49">XLOOKUP(F49,servicos!D:D,servicos!C:C)</f>
        <v>3011</v>
      </c>
      <c r="F49" s="97" t="s">
        <v>667</v>
      </c>
      <c r="G49" s="229" t="str">
        <f t="array" ref="G49">XLOOKUP(F49,servicos!D:D,servicos!I:I)</f>
        <v>Hora</v>
      </c>
      <c r="H49" s="141" t="s">
        <v>178</v>
      </c>
      <c r="I49" s="257" t="b">
        <v>1</v>
      </c>
      <c r="J49" s="141">
        <v>1.0</v>
      </c>
      <c r="K49" s="103" t="s">
        <v>580</v>
      </c>
      <c r="L49" s="235">
        <f t="array" ref="L49">ifs(K49=2025,XLOOKUP(F49,servicos!D:D,servicos!O:O),K49=2026,XLOOKUP(F49,servicos!D:D,servicos!P:P),K49="Contrato Cliente",XLOOKUP(F49,servicos!D:D,servicos!N:N))</f>
        <v>521.95</v>
      </c>
      <c r="M49" s="147"/>
      <c r="N49" s="238">
        <f t="shared" si="4"/>
        <v>521.95</v>
      </c>
      <c r="O49" s="242">
        <f>N49*(1+'historico-reajuste'!$C$3)</f>
        <v>521.95</v>
      </c>
      <c r="P49" s="207"/>
      <c r="Q49" s="208"/>
      <c r="R49" s="207"/>
      <c r="S49" s="209"/>
      <c r="T49" s="209"/>
      <c r="U49" s="209"/>
      <c r="V49" s="209"/>
      <c r="W49" s="209"/>
      <c r="X49" s="209"/>
      <c r="Y49" s="209"/>
      <c r="Z49" s="243"/>
      <c r="AA49" s="243"/>
      <c r="AB49" s="243"/>
    </row>
    <row r="50" ht="55.5" customHeight="1">
      <c r="A50" s="141">
        <f>ROW()-ROW(tabelati_3[[#HEADERS],[Item]])</f>
        <v>8</v>
      </c>
      <c r="B50" s="97" t="s">
        <v>173</v>
      </c>
      <c r="C50" s="226" t="str">
        <f>ifna(VLOOKUP(B50,regiao[[#ALL],[MUNICÍPIO]:[REGIAO_INTEGRACAO]],5,0),"")</f>
        <v>METROPOLITANA</v>
      </c>
      <c r="D50" s="227" t="s">
        <v>575</v>
      </c>
      <c r="E50" s="227">
        <f t="array" ref="E50">XLOOKUP(F50,servicos!D:D,servicos!C:C)</f>
        <v>5530</v>
      </c>
      <c r="F50" s="97" t="s">
        <v>729</v>
      </c>
      <c r="G50" s="229" t="str">
        <f t="array" ref="G50">XLOOKUP(F50,servicos!D:D,servicos!I:I)</f>
        <v>GB</v>
      </c>
      <c r="H50" s="141" t="s">
        <v>178</v>
      </c>
      <c r="I50" s="257" t="b">
        <v>1</v>
      </c>
      <c r="J50" s="216">
        <v>3.0</v>
      </c>
      <c r="K50" s="293" t="s">
        <v>580</v>
      </c>
      <c r="L50" s="294">
        <f t="array" ref="L50">ifs(K50=2025,XLOOKUP(F50,servicos!D:D,servicos!O:O),K50=2026,XLOOKUP(F50,servicos!D:D,servicos!P:P),K50="Contrato Cliente",XLOOKUP(F50,servicos!D:D,servicos!N:N))</f>
        <v>8.61</v>
      </c>
      <c r="M50" s="147"/>
      <c r="N50" s="238">
        <f t="shared" si="4"/>
        <v>25.83</v>
      </c>
      <c r="O50" s="242">
        <f>N50*(1+'historico-reajuste'!$C$3)</f>
        <v>25.83</v>
      </c>
      <c r="P50" s="207"/>
      <c r="Q50" s="208"/>
      <c r="R50" s="207"/>
      <c r="S50" s="209"/>
      <c r="T50" s="209"/>
      <c r="U50" s="209"/>
      <c r="V50" s="209"/>
      <c r="W50" s="209"/>
      <c r="X50" s="209"/>
      <c r="Y50" s="209"/>
      <c r="Z50" s="243"/>
      <c r="AA50" s="243"/>
      <c r="AB50" s="243"/>
    </row>
    <row r="51" ht="31.5" customHeight="1">
      <c r="A51" s="124" t="s">
        <v>522</v>
      </c>
      <c r="B51" s="65"/>
      <c r="C51" s="65"/>
      <c r="D51" s="65"/>
      <c r="E51" s="65"/>
      <c r="F51" s="65"/>
      <c r="G51" s="65"/>
      <c r="H51" s="66"/>
      <c r="I51" s="6"/>
      <c r="J51" s="126"/>
      <c r="K51" s="126"/>
      <c r="L51" s="126"/>
      <c r="M51" s="126"/>
      <c r="N51" s="202">
        <f>SUM(tabelati_3[[#DATA],[#TOTALS],[Mensal]])</f>
        <v>20999.99</v>
      </c>
      <c r="O51" s="295">
        <f>SUM(tabelati_3[Total Mensal c/ Reajuste])</f>
        <v>20999.99</v>
      </c>
      <c r="P51" s="128"/>
      <c r="Q51" s="215"/>
      <c r="R51" s="23"/>
      <c r="S51" s="11"/>
      <c r="T51" s="11"/>
      <c r="U51" s="11"/>
      <c r="V51" s="11"/>
      <c r="W51" s="221"/>
      <c r="X51" s="11"/>
      <c r="Y51" s="11"/>
      <c r="Z51" s="11"/>
      <c r="AA51" s="11"/>
      <c r="AB51" s="11"/>
    </row>
    <row r="52" ht="31.5" customHeight="1">
      <c r="A52" s="124" t="s">
        <v>534</v>
      </c>
      <c r="B52" s="65"/>
      <c r="C52" s="65"/>
      <c r="D52" s="65"/>
      <c r="E52" s="65"/>
      <c r="F52" s="65"/>
      <c r="G52" s="65"/>
      <c r="H52" s="66"/>
      <c r="I52" s="296"/>
      <c r="J52" s="126"/>
      <c r="K52" s="126"/>
      <c r="L52" s="126"/>
      <c r="M52" s="126"/>
      <c r="N52" s="202">
        <f t="shared" ref="N52:O52" si="5">N51*12</f>
        <v>251999.88</v>
      </c>
      <c r="O52" s="295">
        <f t="shared" si="5"/>
        <v>251999.88</v>
      </c>
      <c r="P52" s="128"/>
      <c r="Q52" s="297"/>
      <c r="R52" s="297"/>
      <c r="S52" s="297"/>
      <c r="T52" s="297"/>
      <c r="U52" s="297"/>
      <c r="V52" s="297"/>
      <c r="W52" s="11"/>
      <c r="X52" s="11"/>
      <c r="Y52" s="11"/>
      <c r="Z52" s="11"/>
      <c r="AA52" s="11"/>
      <c r="AB52" s="11"/>
    </row>
    <row r="53" ht="31.5" customHeight="1">
      <c r="A53" s="298"/>
      <c r="B53" s="296"/>
      <c r="C53" s="298"/>
      <c r="D53" s="300"/>
      <c r="E53" s="300"/>
      <c r="F53" s="300"/>
      <c r="G53" s="298"/>
      <c r="H53" s="298"/>
      <c r="I53" s="298"/>
      <c r="J53" s="298"/>
      <c r="K53" s="300"/>
      <c r="L53" s="300"/>
      <c r="M53" s="300"/>
      <c r="N53" s="300"/>
      <c r="O53" s="298"/>
      <c r="P53" s="300"/>
      <c r="Q53" s="297"/>
      <c r="R53" s="297"/>
      <c r="S53" s="297"/>
      <c r="T53" s="297"/>
      <c r="U53" s="297"/>
      <c r="V53" s="297"/>
      <c r="W53" s="11"/>
      <c r="X53" s="11"/>
      <c r="Y53" s="11"/>
      <c r="Z53" s="11"/>
      <c r="AA53" s="11"/>
      <c r="AB53" s="11"/>
    </row>
    <row r="54" ht="31.5" customHeight="1">
      <c r="A54" s="301" t="s">
        <v>749</v>
      </c>
      <c r="B54" s="302"/>
      <c r="C54" s="301"/>
      <c r="D54" s="303"/>
      <c r="E54" s="303"/>
      <c r="F54" s="301"/>
      <c r="G54" s="301"/>
      <c r="H54" s="301"/>
      <c r="I54" s="301"/>
      <c r="J54" s="301"/>
      <c r="K54" s="303"/>
      <c r="L54" s="303"/>
      <c r="M54" s="303"/>
      <c r="N54" s="301"/>
      <c r="O54" s="23"/>
      <c r="P54" s="304"/>
      <c r="Q54" s="297"/>
      <c r="R54" s="297"/>
      <c r="S54" s="297"/>
      <c r="T54" s="297"/>
      <c r="U54" s="297"/>
      <c r="V54" s="297"/>
      <c r="W54" s="11"/>
      <c r="X54" s="11"/>
      <c r="Y54" s="11"/>
      <c r="Z54" s="11"/>
      <c r="AA54" s="11"/>
      <c r="AB54" s="11"/>
    </row>
    <row r="55" ht="62.25" customHeight="1">
      <c r="A55" s="305" t="s">
        <v>68</v>
      </c>
      <c r="B55" s="306" t="s">
        <v>69</v>
      </c>
      <c r="C55" s="307" t="s">
        <v>70</v>
      </c>
      <c r="D55" s="307" t="s">
        <v>154</v>
      </c>
      <c r="E55" s="306" t="s">
        <v>73</v>
      </c>
      <c r="F55" s="308" t="s">
        <v>753</v>
      </c>
      <c r="G55" s="309" t="s">
        <v>754</v>
      </c>
      <c r="H55" s="308" t="s">
        <v>75</v>
      </c>
      <c r="I55" s="308" t="s">
        <v>76</v>
      </c>
      <c r="J55" s="305" t="s">
        <v>77</v>
      </c>
      <c r="K55" s="307" t="s">
        <v>88</v>
      </c>
      <c r="L55" s="307" t="s">
        <v>757</v>
      </c>
      <c r="M55" s="310" t="s">
        <v>759</v>
      </c>
      <c r="N55" s="306" t="s">
        <v>760</v>
      </c>
      <c r="O55" s="23"/>
      <c r="P55" s="128"/>
      <c r="Q55" s="297"/>
      <c r="R55" s="297"/>
      <c r="S55" s="297"/>
      <c r="T55" s="297"/>
      <c r="U55" s="297"/>
      <c r="V55" s="297"/>
      <c r="W55" s="11"/>
      <c r="X55" s="11"/>
      <c r="Y55" s="11"/>
      <c r="Z55" s="11"/>
      <c r="AA55" s="11"/>
      <c r="AB55" s="11"/>
    </row>
    <row r="56" ht="37.5" customHeight="1">
      <c r="A56" s="141">
        <f>ROW()-ROW(tabelademanda_4[[#HEADERS],[Item]])</f>
        <v>1</v>
      </c>
      <c r="B56" s="97" t="s">
        <v>173</v>
      </c>
      <c r="C56" s="226" t="str">
        <f>ifna(VLOOKUP(B56,regiao[[#ALL],[MUNICÍPIO]:[REGIAO_INTEGRACAO]],5,0),"")</f>
        <v>METROPOLITANA</v>
      </c>
      <c r="D56" s="312" t="s">
        <v>575</v>
      </c>
      <c r="E56" s="97" t="s">
        <v>766</v>
      </c>
      <c r="F56" s="103" t="s">
        <v>333</v>
      </c>
      <c r="G56" s="313" t="s">
        <v>767</v>
      </c>
      <c r="H56" s="145" t="s">
        <v>123</v>
      </c>
      <c r="I56" s="314" t="b">
        <v>0</v>
      </c>
      <c r="J56" s="141">
        <v>1.0</v>
      </c>
      <c r="K56" s="315"/>
      <c r="L56" s="316" t="s">
        <v>770</v>
      </c>
      <c r="M56" s="317"/>
      <c r="N56" s="318">
        <v>0.0</v>
      </c>
      <c r="O56" s="23"/>
      <c r="P56" s="128"/>
      <c r="Q56" s="297"/>
      <c r="R56" s="297"/>
      <c r="S56" s="297"/>
      <c r="T56" s="297"/>
      <c r="U56" s="297"/>
      <c r="V56" s="297"/>
      <c r="W56" s="11"/>
      <c r="X56" s="11"/>
      <c r="Y56" s="11"/>
      <c r="Z56" s="11"/>
      <c r="AA56" s="11"/>
      <c r="AB56" s="11"/>
    </row>
    <row r="57" ht="39.0" customHeight="1">
      <c r="A57" s="124" t="s">
        <v>534</v>
      </c>
      <c r="B57" s="65"/>
      <c r="C57" s="65"/>
      <c r="D57" s="65"/>
      <c r="E57" s="65"/>
      <c r="F57" s="65"/>
      <c r="G57" s="65"/>
      <c r="H57" s="66"/>
      <c r="I57" s="6"/>
      <c r="J57" s="203">
        <f>SUMIF(tabelademanda_4[Incluir],TRUE,tabelademanda_4[Anual])</f>
        <v>0</v>
      </c>
      <c r="K57" s="65"/>
      <c r="L57" s="65"/>
      <c r="M57" s="65"/>
      <c r="N57" s="66"/>
      <c r="O57" s="23"/>
      <c r="P57" s="128"/>
      <c r="Q57" s="297"/>
      <c r="R57" s="297"/>
      <c r="S57" s="297"/>
      <c r="T57" s="297"/>
      <c r="U57" s="297"/>
      <c r="V57" s="297"/>
      <c r="W57" s="11"/>
      <c r="X57" s="11"/>
      <c r="Y57" s="11"/>
      <c r="Z57" s="11"/>
      <c r="AA57" s="11"/>
      <c r="AB57" s="11"/>
    </row>
    <row r="58" ht="31.5" customHeight="1">
      <c r="A58" s="297"/>
      <c r="B58" s="296"/>
      <c r="C58" s="297"/>
      <c r="D58" s="304"/>
      <c r="E58" s="304"/>
      <c r="F58" s="304"/>
      <c r="G58" s="297"/>
      <c r="H58" s="297"/>
      <c r="I58" s="296"/>
      <c r="J58" s="297"/>
      <c r="K58" s="304"/>
      <c r="L58" s="304"/>
      <c r="M58" s="304"/>
      <c r="N58" s="304"/>
      <c r="O58" s="297"/>
      <c r="P58" s="304"/>
      <c r="Q58" s="297"/>
      <c r="R58" s="297"/>
      <c r="S58" s="297"/>
      <c r="T58" s="297"/>
      <c r="U58" s="297"/>
      <c r="V58" s="297"/>
      <c r="W58" s="11"/>
      <c r="X58" s="11"/>
      <c r="Y58" s="11"/>
      <c r="Z58" s="11"/>
      <c r="AA58" s="11"/>
      <c r="AB58" s="11"/>
    </row>
    <row r="59" ht="48.75" customHeight="1">
      <c r="A59" s="23"/>
      <c r="B59" s="205"/>
      <c r="C59" s="297"/>
      <c r="D59" s="304"/>
      <c r="E59" s="304"/>
      <c r="F59" s="304"/>
      <c r="G59" s="64" t="s">
        <v>776</v>
      </c>
      <c r="H59" s="65"/>
      <c r="I59" s="65"/>
      <c r="J59" s="65"/>
      <c r="K59" s="65"/>
      <c r="L59" s="65"/>
      <c r="M59" s="65"/>
      <c r="N59" s="66"/>
      <c r="O59" s="23"/>
      <c r="P59" s="304"/>
      <c r="Q59" s="297"/>
      <c r="R59" s="297"/>
      <c r="S59" s="297"/>
      <c r="T59" s="297"/>
      <c r="U59" s="297"/>
      <c r="V59" s="297"/>
      <c r="W59" s="11"/>
      <c r="X59" s="11"/>
      <c r="Y59" s="11"/>
      <c r="Z59" s="11"/>
      <c r="AA59" s="11"/>
      <c r="AB59" s="11"/>
    </row>
    <row r="60" ht="48.75" customHeight="1">
      <c r="A60" s="23"/>
      <c r="B60" s="327"/>
      <c r="C60" s="297"/>
      <c r="D60" s="304"/>
      <c r="E60" s="304"/>
      <c r="F60" s="304"/>
      <c r="G60" s="328" t="s">
        <v>784</v>
      </c>
      <c r="H60" s="65"/>
      <c r="I60" s="66"/>
      <c r="J60" s="329">
        <f>N18</f>
        <v>0</v>
      </c>
      <c r="K60" s="65"/>
      <c r="L60" s="65"/>
      <c r="M60" s="65"/>
      <c r="N60" s="66"/>
      <c r="O60" s="23"/>
      <c r="P60" s="304"/>
      <c r="Q60" s="297"/>
      <c r="R60" s="297"/>
      <c r="S60" s="297"/>
      <c r="T60" s="297"/>
      <c r="U60" s="297"/>
      <c r="V60" s="297"/>
      <c r="W60" s="11"/>
      <c r="X60" s="11"/>
      <c r="Y60" s="11"/>
      <c r="Z60" s="11"/>
      <c r="AA60" s="11"/>
      <c r="AB60" s="11"/>
    </row>
    <row r="61" ht="48.75" customHeight="1">
      <c r="A61" s="23"/>
      <c r="B61" s="205"/>
      <c r="C61" s="297"/>
      <c r="D61" s="304"/>
      <c r="E61" s="304"/>
      <c r="F61" s="304"/>
      <c r="G61" s="328" t="s">
        <v>797</v>
      </c>
      <c r="H61" s="65"/>
      <c r="I61" s="66"/>
      <c r="J61" s="329">
        <f>O32</f>
        <v>33579</v>
      </c>
      <c r="K61" s="65"/>
      <c r="L61" s="65"/>
      <c r="M61" s="65"/>
      <c r="N61" s="66"/>
      <c r="O61" s="23"/>
      <c r="P61" s="304"/>
      <c r="Q61" s="297"/>
      <c r="R61" s="297"/>
      <c r="S61" s="297"/>
      <c r="T61" s="297"/>
      <c r="U61" s="297"/>
      <c r="V61" s="297"/>
      <c r="W61" s="11"/>
      <c r="X61" s="11"/>
      <c r="Y61" s="11"/>
      <c r="Z61" s="11"/>
      <c r="AA61" s="11"/>
      <c r="AB61" s="11"/>
    </row>
    <row r="62" ht="48.75" customHeight="1">
      <c r="A62" s="332"/>
      <c r="B62" s="333"/>
      <c r="C62" s="297"/>
      <c r="D62" s="304"/>
      <c r="E62" s="304"/>
      <c r="F62" s="304"/>
      <c r="G62" s="328" t="s">
        <v>800</v>
      </c>
      <c r="H62" s="65"/>
      <c r="I62" s="66"/>
      <c r="J62" s="329">
        <f>O39</f>
        <v>82800</v>
      </c>
      <c r="K62" s="65"/>
      <c r="L62" s="65"/>
      <c r="M62" s="65"/>
      <c r="N62" s="66"/>
      <c r="O62" s="23"/>
      <c r="P62" s="304"/>
      <c r="Q62" s="297"/>
      <c r="R62" s="297"/>
      <c r="S62" s="297"/>
      <c r="T62" s="297"/>
      <c r="U62" s="297"/>
      <c r="V62" s="297"/>
      <c r="W62" s="11"/>
      <c r="X62" s="11"/>
      <c r="Y62" s="11"/>
      <c r="Z62" s="11"/>
      <c r="AA62" s="11"/>
      <c r="AB62" s="11"/>
    </row>
    <row r="63" ht="48.75" customHeight="1">
      <c r="A63" s="332"/>
      <c r="B63" s="333"/>
      <c r="C63" s="297"/>
      <c r="D63" s="304"/>
      <c r="E63" s="304"/>
      <c r="F63" s="304"/>
      <c r="G63" s="328" t="s">
        <v>801</v>
      </c>
      <c r="H63" s="65"/>
      <c r="I63" s="66"/>
      <c r="J63" s="329">
        <f>O52</f>
        <v>251999.88</v>
      </c>
      <c r="K63" s="65"/>
      <c r="L63" s="65"/>
      <c r="M63" s="65"/>
      <c r="N63" s="66"/>
      <c r="O63" s="23"/>
      <c r="P63" s="304"/>
      <c r="Q63" s="297"/>
      <c r="R63" s="297"/>
      <c r="S63" s="297"/>
      <c r="T63" s="297"/>
      <c r="U63" s="297"/>
      <c r="V63" s="297"/>
      <c r="W63" s="11"/>
      <c r="X63" s="11"/>
      <c r="Y63" s="11"/>
      <c r="Z63" s="11"/>
      <c r="AA63" s="11"/>
      <c r="AB63" s="11"/>
    </row>
    <row r="64" ht="48.75" hidden="1" customHeight="1">
      <c r="A64" s="332"/>
      <c r="B64" s="333"/>
      <c r="C64" s="297"/>
      <c r="D64" s="304"/>
      <c r="E64" s="304"/>
      <c r="F64" s="304"/>
      <c r="G64" s="328" t="s">
        <v>803</v>
      </c>
      <c r="H64" s="65"/>
      <c r="I64" s="66"/>
      <c r="J64" s="329">
        <f>J57</f>
        <v>0</v>
      </c>
      <c r="K64" s="65"/>
      <c r="L64" s="65"/>
      <c r="M64" s="65"/>
      <c r="N64" s="66"/>
      <c r="O64" s="23"/>
      <c r="P64" s="304"/>
      <c r="Q64" s="297"/>
      <c r="R64" s="297"/>
      <c r="S64" s="297"/>
      <c r="T64" s="297"/>
      <c r="U64" s="297"/>
      <c r="V64" s="297"/>
      <c r="W64" s="11"/>
      <c r="X64" s="11"/>
      <c r="Y64" s="11"/>
      <c r="Z64" s="11"/>
      <c r="AA64" s="11"/>
      <c r="AB64" s="11"/>
    </row>
    <row r="65" ht="39.0" customHeight="1">
      <c r="A65" s="297"/>
      <c r="B65" s="296"/>
      <c r="C65" s="297"/>
      <c r="D65" s="304"/>
      <c r="E65" s="304"/>
      <c r="F65" s="304"/>
      <c r="G65" s="338" t="s">
        <v>804</v>
      </c>
      <c r="H65" s="65"/>
      <c r="I65" s="66"/>
      <c r="J65" s="339">
        <f>SUM(J60:J64)</f>
        <v>368378.88</v>
      </c>
      <c r="K65" s="65"/>
      <c r="L65" s="65"/>
      <c r="M65" s="65"/>
      <c r="N65" s="66"/>
      <c r="O65" s="23"/>
      <c r="P65" s="128"/>
      <c r="Q65" s="23"/>
      <c r="R65" s="23"/>
      <c r="S65" s="11"/>
      <c r="T65" s="11"/>
      <c r="U65" s="11"/>
      <c r="V65" s="11"/>
      <c r="W65" s="221"/>
      <c r="X65" s="11"/>
      <c r="Y65" s="11"/>
      <c r="Z65" s="11"/>
      <c r="AA65" s="11"/>
      <c r="AB65" s="11"/>
    </row>
    <row r="66" ht="36.0" customHeight="1">
      <c r="A66" s="340"/>
      <c r="B66" s="341"/>
      <c r="C66" s="342"/>
      <c r="D66" s="343"/>
      <c r="E66" s="343"/>
      <c r="F66" s="344"/>
      <c r="G66" s="345"/>
      <c r="H66" s="222"/>
      <c r="I66" s="222"/>
      <c r="J66" s="23"/>
      <c r="K66" s="128"/>
      <c r="L66" s="128"/>
      <c r="M66" s="222"/>
      <c r="N66" s="128"/>
      <c r="O66" s="23"/>
      <c r="P66" s="128"/>
      <c r="Q66" s="23"/>
      <c r="R66" s="23"/>
      <c r="S66" s="11"/>
      <c r="T66" s="11"/>
      <c r="U66" s="11"/>
      <c r="V66" s="11"/>
      <c r="W66" s="222"/>
      <c r="X66" s="11"/>
      <c r="Y66" s="11"/>
      <c r="Z66" s="11"/>
      <c r="AA66" s="11"/>
      <c r="AB66" s="11"/>
    </row>
    <row r="67" ht="33.0" customHeight="1">
      <c r="A67" s="340"/>
      <c r="B67" s="346" t="s">
        <v>806</v>
      </c>
      <c r="C67" s="347"/>
      <c r="D67" s="347"/>
      <c r="E67" s="348">
        <f>B3</f>
        <v>46232</v>
      </c>
      <c r="F67" s="347"/>
      <c r="G67" s="347"/>
      <c r="H67" s="222"/>
      <c r="I67" s="222"/>
      <c r="J67" s="222" t="s">
        <v>807</v>
      </c>
      <c r="M67" s="128"/>
      <c r="N67" s="222" t="s">
        <v>808</v>
      </c>
      <c r="O67" s="23"/>
      <c r="P67" s="128"/>
      <c r="Q67" s="23"/>
      <c r="R67" s="23"/>
      <c r="S67" s="11"/>
      <c r="T67" s="11"/>
      <c r="U67" s="11"/>
      <c r="V67" s="11"/>
      <c r="W67" s="222"/>
      <c r="X67" s="11"/>
      <c r="Y67" s="11"/>
      <c r="Z67" s="11"/>
      <c r="AA67" s="11"/>
      <c r="AB67" s="11"/>
    </row>
    <row r="68" ht="44.25" customHeight="1">
      <c r="A68" s="340"/>
      <c r="B68" s="349" t="s">
        <v>809</v>
      </c>
      <c r="H68" s="349"/>
      <c r="I68" s="349"/>
      <c r="J68" s="349" t="s">
        <v>810</v>
      </c>
      <c r="M68" s="128"/>
      <c r="N68" s="6" t="s">
        <v>811</v>
      </c>
      <c r="O68" s="23"/>
      <c r="P68" s="128"/>
      <c r="Q68" s="23"/>
      <c r="R68" s="23"/>
      <c r="S68" s="11"/>
      <c r="T68" s="11"/>
      <c r="U68" s="11"/>
      <c r="V68" s="11"/>
      <c r="W68" s="222"/>
      <c r="X68" s="11"/>
      <c r="Y68" s="11"/>
      <c r="Z68" s="11"/>
      <c r="AA68" s="11"/>
      <c r="AB68" s="11"/>
    </row>
    <row r="69" ht="44.25" customHeight="1">
      <c r="A69" s="340"/>
      <c r="B69" s="352"/>
      <c r="C69" s="347"/>
      <c r="D69" s="347"/>
      <c r="E69" s="347"/>
      <c r="F69" s="347"/>
      <c r="G69" s="347"/>
      <c r="H69" s="349"/>
      <c r="I69" s="349"/>
      <c r="M69" s="128"/>
      <c r="O69" s="23"/>
      <c r="P69" s="128"/>
      <c r="Q69" s="23"/>
      <c r="R69" s="23"/>
      <c r="S69" s="11"/>
      <c r="T69" s="11"/>
      <c r="U69" s="11"/>
      <c r="V69" s="11"/>
      <c r="W69" s="222"/>
      <c r="X69" s="11"/>
      <c r="Y69" s="11"/>
      <c r="Z69" s="11"/>
      <c r="AA69" s="11"/>
      <c r="AB69" s="11"/>
    </row>
    <row r="70" ht="36.75" customHeight="1">
      <c r="A70" s="340"/>
      <c r="B70" s="349" t="s">
        <v>813</v>
      </c>
      <c r="H70" s="349"/>
      <c r="I70" s="349"/>
      <c r="M70" s="128"/>
      <c r="O70" s="23"/>
      <c r="P70" s="128"/>
      <c r="Q70" s="23"/>
      <c r="R70" s="23"/>
      <c r="S70" s="11"/>
      <c r="T70" s="11"/>
      <c r="U70" s="11"/>
      <c r="V70" s="11"/>
      <c r="W70" s="222"/>
      <c r="X70" s="11"/>
      <c r="Y70" s="11"/>
      <c r="Z70" s="11"/>
      <c r="AA70" s="11"/>
      <c r="AB70" s="11"/>
    </row>
    <row r="71" ht="68.25" customHeight="1">
      <c r="A71" s="340"/>
      <c r="B71" s="352"/>
      <c r="C71" s="347"/>
      <c r="D71" s="347"/>
      <c r="E71" s="347"/>
      <c r="F71" s="347"/>
      <c r="G71" s="347"/>
      <c r="H71" s="354"/>
      <c r="I71" s="354"/>
      <c r="J71" s="354" t="s">
        <v>814</v>
      </c>
      <c r="M71" s="128"/>
      <c r="N71" s="6" t="s">
        <v>815</v>
      </c>
      <c r="O71" s="23"/>
      <c r="P71" s="128"/>
      <c r="Q71" s="23"/>
      <c r="R71" s="23"/>
      <c r="S71" s="11"/>
      <c r="T71" s="11"/>
      <c r="U71" s="11"/>
      <c r="V71" s="11"/>
      <c r="W71" s="222"/>
      <c r="X71" s="11"/>
      <c r="Y71" s="11"/>
      <c r="Z71" s="11"/>
      <c r="AA71" s="11"/>
      <c r="AB71" s="11"/>
    </row>
    <row r="72" ht="42.75" customHeight="1">
      <c r="A72" s="340"/>
      <c r="B72" s="355" t="s">
        <v>816</v>
      </c>
      <c r="H72" s="354"/>
      <c r="I72" s="354"/>
      <c r="M72" s="128"/>
      <c r="O72" s="23"/>
      <c r="P72" s="128"/>
      <c r="Q72" s="23"/>
      <c r="R72" s="23"/>
      <c r="S72" s="11"/>
      <c r="T72" s="11"/>
      <c r="U72" s="11"/>
      <c r="V72" s="11"/>
      <c r="W72" s="222"/>
      <c r="X72" s="11"/>
      <c r="Y72" s="11"/>
      <c r="Z72" s="11"/>
      <c r="AA72" s="11"/>
      <c r="AB72" s="11"/>
    </row>
    <row r="73" ht="27.0" customHeight="1">
      <c r="A73" s="358"/>
      <c r="B73" s="359"/>
      <c r="C73" s="360"/>
      <c r="D73" s="361"/>
      <c r="E73" s="361"/>
      <c r="F73" s="360"/>
      <c r="G73" s="360"/>
      <c r="H73" s="360"/>
      <c r="I73" s="360"/>
      <c r="J73" s="360"/>
      <c r="K73" s="361"/>
      <c r="L73" s="361"/>
      <c r="M73" s="361"/>
      <c r="N73" s="361"/>
      <c r="O73" s="128"/>
      <c r="P73" s="128"/>
      <c r="Q73" s="23"/>
      <c r="R73" s="23"/>
      <c r="S73" s="11"/>
      <c r="T73" s="11"/>
      <c r="U73" s="11"/>
      <c r="V73" s="11"/>
      <c r="W73" s="222"/>
      <c r="X73" s="11"/>
      <c r="Y73" s="11"/>
      <c r="Z73" s="11"/>
      <c r="AA73" s="11"/>
      <c r="AB73" s="11"/>
    </row>
    <row r="74" ht="51.75" customHeight="1">
      <c r="A74" s="362" t="s">
        <v>818</v>
      </c>
      <c r="O74" s="128"/>
      <c r="P74" s="128"/>
      <c r="Q74" s="23"/>
      <c r="R74" s="23"/>
      <c r="S74" s="11"/>
      <c r="T74" s="11"/>
      <c r="U74" s="11"/>
      <c r="V74" s="11"/>
      <c r="W74" s="222"/>
      <c r="X74" s="11"/>
      <c r="Y74" s="11"/>
      <c r="Z74" s="11"/>
      <c r="AA74" s="11"/>
      <c r="AB74" s="11"/>
    </row>
    <row r="75" ht="44.25" customHeight="1">
      <c r="A75" s="25">
        <v>1.0</v>
      </c>
      <c r="B75" s="363" t="s">
        <v>819</v>
      </c>
      <c r="O75" s="128"/>
      <c r="P75" s="128"/>
      <c r="Q75" s="23"/>
      <c r="R75" s="23"/>
      <c r="S75" s="11"/>
      <c r="T75" s="11"/>
      <c r="U75" s="11"/>
      <c r="V75" s="11"/>
      <c r="W75" s="222"/>
      <c r="X75" s="11"/>
      <c r="Y75" s="11"/>
      <c r="Z75" s="11"/>
      <c r="AA75" s="11"/>
      <c r="AB75" s="11"/>
    </row>
    <row r="76" ht="34.5" customHeight="1">
      <c r="A76" s="25">
        <v>2.0</v>
      </c>
      <c r="B76" s="363" t="s">
        <v>820</v>
      </c>
      <c r="O76" s="128"/>
      <c r="P76" s="128"/>
      <c r="Q76" s="23"/>
      <c r="R76" s="23"/>
      <c r="S76" s="11"/>
      <c r="T76" s="11"/>
      <c r="U76" s="11"/>
      <c r="V76" s="11"/>
      <c r="W76" s="222"/>
      <c r="X76" s="11"/>
      <c r="Y76" s="11"/>
      <c r="Z76" s="11"/>
      <c r="AA76" s="11"/>
      <c r="AB76" s="11"/>
    </row>
    <row r="77" ht="43.5" customHeight="1">
      <c r="A77" s="25">
        <v>3.0</v>
      </c>
      <c r="B77" s="363" t="s">
        <v>821</v>
      </c>
      <c r="O77" s="128"/>
      <c r="P77" s="128"/>
      <c r="Q77" s="23"/>
      <c r="R77" s="23"/>
      <c r="S77" s="11"/>
      <c r="T77" s="11"/>
      <c r="U77" s="11"/>
      <c r="V77" s="11"/>
      <c r="W77" s="222"/>
      <c r="X77" s="11"/>
      <c r="Y77" s="11"/>
      <c r="Z77" s="11"/>
      <c r="AA77" s="11"/>
      <c r="AB77" s="11"/>
    </row>
    <row r="78" ht="50.25" customHeight="1">
      <c r="A78" s="25" t="s">
        <v>823</v>
      </c>
      <c r="O78" s="128"/>
      <c r="P78" s="128"/>
      <c r="Q78" s="23"/>
      <c r="R78" s="23"/>
      <c r="S78" s="11"/>
      <c r="T78" s="11"/>
      <c r="U78" s="11"/>
      <c r="V78" s="11"/>
      <c r="W78" s="222"/>
      <c r="X78" s="11"/>
      <c r="Y78" s="11"/>
      <c r="Z78" s="11"/>
      <c r="AA78" s="11"/>
      <c r="AB78" s="11"/>
    </row>
    <row r="79" ht="13.5" customHeight="1">
      <c r="A79" s="340"/>
      <c r="B79" s="364"/>
      <c r="C79" s="11"/>
      <c r="D79" s="340"/>
      <c r="E79" s="340"/>
      <c r="F79" s="340"/>
      <c r="G79" s="11"/>
      <c r="H79" s="340"/>
      <c r="I79" s="365"/>
      <c r="J79" s="340"/>
      <c r="K79" s="340"/>
      <c r="L79" s="340"/>
      <c r="M79" s="340"/>
      <c r="N79" s="340"/>
      <c r="O79" s="340"/>
      <c r="P79" s="340"/>
      <c r="Q79" s="340"/>
      <c r="R79" s="340"/>
      <c r="S79" s="11"/>
      <c r="T79" s="11"/>
      <c r="U79" s="11"/>
      <c r="V79" s="11"/>
      <c r="W79" s="11"/>
      <c r="X79" s="11"/>
      <c r="Y79" s="11"/>
      <c r="Z79" s="11"/>
      <c r="AA79" s="11"/>
      <c r="AB79" s="11"/>
    </row>
  </sheetData>
  <mergeCells count="58">
    <mergeCell ref="B68:G68"/>
    <mergeCell ref="B69:G69"/>
    <mergeCell ref="B71:G71"/>
    <mergeCell ref="G64:I64"/>
    <mergeCell ref="G65:I65"/>
    <mergeCell ref="B67:D67"/>
    <mergeCell ref="E67:G67"/>
    <mergeCell ref="J67:L67"/>
    <mergeCell ref="N68:N70"/>
    <mergeCell ref="B70:G70"/>
    <mergeCell ref="B1:N1"/>
    <mergeCell ref="A2:W2"/>
    <mergeCell ref="H3:J3"/>
    <mergeCell ref="A4:N4"/>
    <mergeCell ref="B5:M5"/>
    <mergeCell ref="B6:M6"/>
    <mergeCell ref="B7:M7"/>
    <mergeCell ref="B8:N8"/>
    <mergeCell ref="B9:N9"/>
    <mergeCell ref="B10:N10"/>
    <mergeCell ref="B11:N11"/>
    <mergeCell ref="B12:N12"/>
    <mergeCell ref="A13:W13"/>
    <mergeCell ref="O14:T14"/>
    <mergeCell ref="A39:H39"/>
    <mergeCell ref="A40:W40"/>
    <mergeCell ref="A41:O41"/>
    <mergeCell ref="A14:N14"/>
    <mergeCell ref="A18:H18"/>
    <mergeCell ref="A20:O20"/>
    <mergeCell ref="A31:H31"/>
    <mergeCell ref="A32:H32"/>
    <mergeCell ref="A35:O35"/>
    <mergeCell ref="A38:H38"/>
    <mergeCell ref="A51:H51"/>
    <mergeCell ref="A52:H52"/>
    <mergeCell ref="A57:H57"/>
    <mergeCell ref="J57:N57"/>
    <mergeCell ref="G59:N59"/>
    <mergeCell ref="G60:I60"/>
    <mergeCell ref="J60:N60"/>
    <mergeCell ref="G61:I61"/>
    <mergeCell ref="J61:N61"/>
    <mergeCell ref="G62:I62"/>
    <mergeCell ref="J62:N62"/>
    <mergeCell ref="G63:I63"/>
    <mergeCell ref="J63:N63"/>
    <mergeCell ref="J64:N64"/>
    <mergeCell ref="J65:N65"/>
    <mergeCell ref="B77:N77"/>
    <mergeCell ref="A78:N78"/>
    <mergeCell ref="J68:L70"/>
    <mergeCell ref="J71:L72"/>
    <mergeCell ref="N71:N72"/>
    <mergeCell ref="B72:G72"/>
    <mergeCell ref="A74:N74"/>
    <mergeCell ref="B75:N75"/>
    <mergeCell ref="B76:N76"/>
  </mergeCells>
  <dataValidations>
    <dataValidation type="list" allowBlank="1" sqref="K43:K50">
      <formula1>"2025,2026,Contrato Cliente"</formula1>
    </dataValidation>
    <dataValidation type="list" allowBlank="1" sqref="F37">
      <formula1>"Internet"</formula1>
    </dataValidation>
    <dataValidation type="list" allowBlank="1" sqref="G43:G50">
      <formula1>"licença de uso"</formula1>
    </dataValidation>
    <dataValidation type="list" allowBlank="1" showErrorMessage="1" sqref="G65">
      <formula1>"TOTAL IMPLANTAÇÃO,TOTAL MENSAL,TOTAL GLOBAL"</formula1>
    </dataValidation>
    <dataValidation type="list" allowBlank="1" showErrorMessage="1" sqref="N71">
      <formula1>"por empenho,via contrato,por boleto,DAE,Nota fiscal"</formula1>
    </dataValidation>
    <dataValidation type="list" allowBlank="1" showErrorMessage="1" sqref="B75:B77">
      <formula1>"Ao assinar este documento, o CONTRATANTE declara que leu, compreendeu e aceitou todos os termos, valores, especificações técnicas e prazos descritos no orçamento, autorizando o início imediato dos serviços.,Em caso de anuência com este orçameno pelo gesto"&amp;"r do órgão, serão originadas as Propostas Técnica e Comercial, que serão parte integrante e indivisível do contrato.  ,Os valores mensais de link de dados estão conforme tabela vigente e deverão ser incluídos no contrato do cliente através de termo aditiv"&amp;"o.,Valores de implantação compreendem serviço de lançamento de fibra, ativação e configuração de equipamentos e aquisição de ativos de rede (rack, switch gerenciável e DIO)"</formula1>
    </dataValidation>
    <dataValidation type="list" allowBlank="1" showErrorMessage="1" sqref="A32 A39 A52 A57">
      <formula1>"TOTAL ANUAL"</formula1>
    </dataValidation>
    <dataValidation type="list" allowBlank="1" showErrorMessage="1" sqref="A18 A31 A38 A51">
      <formula1>"TOTAL IMPLANTAÇÃO,TOTAL MENSAL"</formula1>
    </dataValidation>
    <dataValidation type="list" allowBlank="1" sqref="E56">
      <formula1>"Serviço de TIC,Lançamento de fibra óptica"</formula1>
    </dataValidation>
    <dataValidation type="list" allowBlank="1" sqref="H22:H30 H37">
      <formula1>"Ativo,Previsto"</formula1>
    </dataValidation>
    <dataValidation type="custom" allowBlank="1" showDropDown="1" sqref="L16:M17 P22:Q30 S22:S30 X22:X30 E43:E50 N43:N50 N56">
      <formula1>AND(ISNUMBER(E16),(NOT(OR(NOT(ISERROR(DATEVALUE(E16))), AND(ISNUMBER(E16), LEFT(CELL("format", E16))="D")))))</formula1>
    </dataValidation>
    <dataValidation type="list" allowBlank="1" showErrorMessage="1" sqref="N68">
      <formula1>"Constante na proposta comercial,até 5 dias,até 15 dias,até 30 dias,até 60 dias"</formula1>
    </dataValidation>
    <dataValidation type="list" allowBlank="1" showErrorMessage="1" sqref="N5">
      <formula1>clientes!A:A</formula1>
    </dataValidation>
    <dataValidation type="list" allowBlank="1" sqref="G56">
      <formula1>"Custeio,Novas implantações,Remanejamento"</formula1>
    </dataValidation>
    <dataValidation type="list" allowBlank="1" showErrorMessage="1" sqref="N67">
      <formula1>"15 dias,30 dias,60 dias"</formula1>
    </dataValidation>
    <dataValidation type="list" allowBlank="1" sqref="F43:F50">
      <formula1>servicossistemas</formula1>
    </dataValidation>
    <dataValidation type="list" allowBlank="1" sqref="F56">
      <formula1>"Mensal,Único,Sob demanda"</formula1>
    </dataValidation>
    <dataValidation type="list" allowBlank="1" sqref="L37">
      <formula1>"Tabela 2026,Contrato Cliente"</formula1>
    </dataValidation>
    <dataValidation type="list" allowBlank="1" sqref="M56">
      <formula1>"US"</formula1>
    </dataValidation>
    <dataValidation allowBlank="1" showDropDown="1" sqref="D16:D17 C22:D30 D37 C43:C50 C56"/>
    <dataValidation type="list" allowBlank="1" sqref="H16:H17">
      <formula1>"Previsto"</formula1>
    </dataValidation>
    <dataValidation type="list" allowBlank="1" sqref="F22:F30">
      <formula1>"Internet,Link de Dados"</formula1>
    </dataValidation>
    <dataValidation type="list" allowBlank="1" showErrorMessage="1" sqref="B8">
      <formula1>'orcamento-2026'!$X$4:$X$15</formula1>
    </dataValidation>
    <dataValidation type="list" allowBlank="1" sqref="L22:L30">
      <formula1>"2021,2022,2023,2024,2025,2026,regiaointegracao"</formula1>
    </dataValidation>
    <dataValidation type="list" allowBlank="1" sqref="B16:B17 F16:G17 B22:B30 G22:G30 B37 G37 B43:B50 B56">
      <formula1>#REF!</formula1>
    </dataValidation>
  </dataValidations>
  <printOptions horizontalCentered="1"/>
  <pageMargins bottom="0.22507395287022883" footer="0.0" header="0.0" left="0.25" right="0.25" top="0.19506409248753165"/>
  <pageSetup paperSize="9" orientation="portrait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9.88"/>
    <col customWidth="1" min="2" max="2" width="28.0"/>
    <col customWidth="1" min="3" max="4" width="46.38"/>
    <col customWidth="1" min="5" max="5" width="21.5"/>
    <col customWidth="1" min="6" max="6" width="16.38"/>
    <col customWidth="1" min="7" max="7" width="17.38"/>
    <col customWidth="1" min="8" max="8" width="10.75"/>
    <col customWidth="1" min="9" max="9" width="23.88"/>
    <col customWidth="1" min="10" max="10" width="15.38"/>
    <col customWidth="1" min="11" max="11" width="24.38"/>
    <col customWidth="1" min="12" max="12" width="18.75"/>
    <col customWidth="1" min="13" max="13" width="15.38"/>
    <col customWidth="1" min="14" max="14" width="15.0"/>
    <col customWidth="1" min="15" max="16" width="25.13"/>
  </cols>
  <sheetData>
    <row r="1" ht="22.5" customHeight="1">
      <c r="A1" s="2" t="s">
        <v>0</v>
      </c>
      <c r="B1" s="2" t="s">
        <v>1</v>
      </c>
      <c r="C1" s="5" t="s">
        <v>3</v>
      </c>
      <c r="D1" s="2" t="s">
        <v>5</v>
      </c>
      <c r="E1" s="8" t="s">
        <v>6</v>
      </c>
      <c r="F1" s="8" t="s">
        <v>7</v>
      </c>
      <c r="G1" s="2" t="s">
        <v>8</v>
      </c>
      <c r="H1" s="10" t="s">
        <v>9</v>
      </c>
      <c r="I1" s="2" t="s">
        <v>10</v>
      </c>
      <c r="J1" s="12" t="s">
        <v>11</v>
      </c>
      <c r="K1" s="12" t="s">
        <v>12</v>
      </c>
      <c r="L1" s="14" t="s">
        <v>13</v>
      </c>
      <c r="M1" s="14" t="s">
        <v>14</v>
      </c>
      <c r="N1" s="14" t="s">
        <v>16</v>
      </c>
      <c r="O1" s="17" t="s">
        <v>17</v>
      </c>
      <c r="P1" s="17" t="s">
        <v>18</v>
      </c>
    </row>
    <row r="2" ht="22.5" customHeight="1">
      <c r="A2" s="21" t="s">
        <v>19</v>
      </c>
      <c r="B2" s="22" t="s">
        <v>21</v>
      </c>
      <c r="C2" s="24">
        <v>5300.0</v>
      </c>
      <c r="D2" s="22" t="s">
        <v>25</v>
      </c>
      <c r="E2" s="43" t="s">
        <v>50</v>
      </c>
      <c r="F2" s="21" t="str">
        <f t="shared" ref="F2:F165" si="1">D2&amp;E2</f>
        <v>Implantação de infraestrutura deFIBRA</v>
      </c>
      <c r="G2" s="46"/>
      <c r="H2" s="46"/>
      <c r="I2" s="48" t="s">
        <v>53</v>
      </c>
      <c r="J2" s="49"/>
      <c r="K2" s="50" t="s">
        <v>55</v>
      </c>
      <c r="L2" s="51" t="s">
        <v>56</v>
      </c>
      <c r="M2" s="54" t="str">
        <f>(if(L2="sob consulta","sob consulta", ROUND(L2*(1+pconfig!$B$6),2)))</f>
        <v>sob consulta</v>
      </c>
      <c r="N2" s="54"/>
      <c r="O2" s="55">
        <v>0.0</v>
      </c>
      <c r="P2" s="54">
        <f>(if(O2="sob consulta","sob consulta", ROUND(O2*(1+pconfig!$B$6),2)))</f>
        <v>0</v>
      </c>
    </row>
    <row r="3" ht="30.75" customHeight="1">
      <c r="A3" s="21" t="s">
        <v>62</v>
      </c>
      <c r="B3" s="22" t="s">
        <v>21</v>
      </c>
      <c r="C3" s="58">
        <v>5291.0</v>
      </c>
      <c r="D3" s="22" t="s">
        <v>25</v>
      </c>
      <c r="E3" s="43" t="s">
        <v>59</v>
      </c>
      <c r="F3" s="21" t="str">
        <f t="shared" si="1"/>
        <v>Implantação de infraestrutura deRADIO</v>
      </c>
      <c r="G3" s="46"/>
      <c r="H3" s="46"/>
      <c r="I3" s="48" t="s">
        <v>65</v>
      </c>
      <c r="J3" s="49"/>
      <c r="K3" s="50" t="s">
        <v>55</v>
      </c>
      <c r="L3" s="51" t="s">
        <v>56</v>
      </c>
      <c r="M3" s="54" t="str">
        <f>(if(L3="sob consulta","sob consulta", ROUND(L3*(1+pconfig!$B$6),2)))</f>
        <v>sob consulta</v>
      </c>
      <c r="N3" s="54"/>
      <c r="O3" s="68">
        <v>0.0</v>
      </c>
      <c r="P3" s="54">
        <f>(if(O3="sob consulta","sob consulta", ROUND(O3*(1+pconfig!$B$6),2)))</f>
        <v>0</v>
      </c>
    </row>
    <row r="4" ht="22.5" customHeight="1">
      <c r="A4" s="21" t="s">
        <v>74</v>
      </c>
      <c r="B4" s="22" t="s">
        <v>21</v>
      </c>
      <c r="C4" s="24">
        <v>5279.0</v>
      </c>
      <c r="D4" s="22" t="s">
        <v>78</v>
      </c>
      <c r="E4" s="43" t="s">
        <v>50</v>
      </c>
      <c r="F4" s="21" t="str">
        <f t="shared" si="1"/>
        <v>Link de DadosFIBRA</v>
      </c>
      <c r="G4" s="73"/>
      <c r="H4" s="46"/>
      <c r="I4" s="48" t="s">
        <v>33</v>
      </c>
      <c r="J4" s="75" t="s">
        <v>80</v>
      </c>
      <c r="K4" s="50" t="s">
        <v>81</v>
      </c>
      <c r="L4" s="51" t="s">
        <v>56</v>
      </c>
      <c r="M4" s="54" t="str">
        <f>(if(L4="sob consulta","sob consulta", ROUND(L4*(1+pconfig!$B$6),2)))</f>
        <v>sob consulta</v>
      </c>
      <c r="N4" s="77"/>
      <c r="O4" s="68">
        <v>0.0</v>
      </c>
      <c r="P4" s="54">
        <f>(if(O4="sob consulta","sob consulta", ROUND(O4*(1+pconfig!$B$6),2)))</f>
        <v>0</v>
      </c>
    </row>
    <row r="5" ht="22.5" customHeight="1">
      <c r="A5" s="21" t="s">
        <v>83</v>
      </c>
      <c r="B5" s="22" t="s">
        <v>21</v>
      </c>
      <c r="C5" s="58">
        <v>5262.0</v>
      </c>
      <c r="D5" s="22" t="s">
        <v>78</v>
      </c>
      <c r="E5" s="43" t="s">
        <v>59</v>
      </c>
      <c r="F5" s="21" t="str">
        <f t="shared" si="1"/>
        <v>Link de DadosRADIO</v>
      </c>
      <c r="G5" s="73"/>
      <c r="H5" s="46"/>
      <c r="I5" s="48" t="s">
        <v>33</v>
      </c>
      <c r="J5" s="75" t="s">
        <v>84</v>
      </c>
      <c r="K5" s="50" t="s">
        <v>81</v>
      </c>
      <c r="L5" s="51" t="s">
        <v>56</v>
      </c>
      <c r="M5" s="54" t="str">
        <f>(if(L5="sob consulta","sob consulta", ROUND(L5*(1+pconfig!$B$6),2)))</f>
        <v>sob consulta</v>
      </c>
      <c r="N5" s="54"/>
      <c r="O5" s="68">
        <v>0.0</v>
      </c>
      <c r="P5" s="54">
        <f>(if(O5="sob consulta","sob consulta", ROUND(O5*(1+pconfig!$B$6),2)))</f>
        <v>0</v>
      </c>
    </row>
    <row r="6" ht="22.5" customHeight="1">
      <c r="A6" s="21" t="s">
        <v>85</v>
      </c>
      <c r="B6" s="21" t="s">
        <v>86</v>
      </c>
      <c r="C6" s="24">
        <v>3174.0</v>
      </c>
      <c r="D6" s="22" t="s">
        <v>87</v>
      </c>
      <c r="E6" s="43" t="s">
        <v>50</v>
      </c>
      <c r="F6" s="21" t="str">
        <f t="shared" si="1"/>
        <v>InternetFIBRA</v>
      </c>
      <c r="G6" s="46"/>
      <c r="H6" s="46"/>
      <c r="I6" s="48" t="s">
        <v>33</v>
      </c>
      <c r="J6" s="90"/>
      <c r="K6" s="50" t="s">
        <v>81</v>
      </c>
      <c r="L6" s="51"/>
      <c r="M6" s="54">
        <f>(if(L6="sob consulta","sob consulta", ROUND(L6*(1+pconfig!$B$6),2)))</f>
        <v>0</v>
      </c>
      <c r="N6" s="93">
        <v>65.97</v>
      </c>
      <c r="O6" s="68">
        <v>23.0</v>
      </c>
      <c r="P6" s="51">
        <v>23.0</v>
      </c>
    </row>
    <row r="7" ht="22.5" customHeight="1">
      <c r="A7" s="22" t="s">
        <v>99</v>
      </c>
      <c r="B7" s="21" t="s">
        <v>100</v>
      </c>
      <c r="C7" s="58">
        <v>3174.0</v>
      </c>
      <c r="D7" s="22" t="s">
        <v>87</v>
      </c>
      <c r="E7" s="43" t="s">
        <v>59</v>
      </c>
      <c r="F7" s="21" t="str">
        <f t="shared" si="1"/>
        <v>InternetRADIO</v>
      </c>
      <c r="G7" s="46"/>
      <c r="H7" s="46"/>
      <c r="I7" s="48" t="s">
        <v>33</v>
      </c>
      <c r="J7" s="90"/>
      <c r="K7" s="50" t="s">
        <v>81</v>
      </c>
      <c r="L7" s="51"/>
      <c r="M7" s="54">
        <f>(if(L7="sob consulta","sob consulta", ROUND(L7*(1+pconfig!$B$6),2)))</f>
        <v>0</v>
      </c>
      <c r="N7" s="93">
        <v>65.97</v>
      </c>
      <c r="O7" s="68">
        <v>23.0</v>
      </c>
      <c r="P7" s="51">
        <v>23.0</v>
      </c>
    </row>
    <row r="8" ht="22.5" customHeight="1">
      <c r="A8" s="21" t="s">
        <v>103</v>
      </c>
      <c r="B8" s="21" t="s">
        <v>104</v>
      </c>
      <c r="C8" s="94"/>
      <c r="D8" s="22" t="s">
        <v>105</v>
      </c>
      <c r="E8" s="21"/>
      <c r="F8" s="21" t="str">
        <f t="shared" si="1"/>
        <v>REGISTRO DE DOMÍNIO</v>
      </c>
      <c r="G8" s="46"/>
      <c r="H8" s="46"/>
      <c r="I8" s="48" t="s">
        <v>91</v>
      </c>
      <c r="J8" s="90"/>
      <c r="K8" s="50" t="s">
        <v>55</v>
      </c>
      <c r="L8" s="51">
        <v>66.09</v>
      </c>
      <c r="M8" s="54">
        <f>(if(L8="sob consulta","sob consulta", ROUND(L8*(1+pconfig!$B$6),2)))</f>
        <v>68.26</v>
      </c>
      <c r="N8" s="51"/>
      <c r="O8" s="68">
        <v>0.0</v>
      </c>
      <c r="P8" s="54">
        <f>(if(O8="sob consulta","sob consulta", ROUND(O8*(1+pconfig!$B$6),2)))</f>
        <v>0</v>
      </c>
    </row>
    <row r="9" ht="22.5" customHeight="1">
      <c r="A9" s="21" t="s">
        <v>107</v>
      </c>
      <c r="B9" s="21" t="s">
        <v>108</v>
      </c>
      <c r="C9" s="95"/>
      <c r="D9" s="21" t="s">
        <v>109</v>
      </c>
      <c r="E9" s="21"/>
      <c r="F9" s="21" t="str">
        <f t="shared" si="1"/>
        <v>Locação de Espaço em Disco</v>
      </c>
      <c r="G9" s="46"/>
      <c r="H9" s="46"/>
      <c r="I9" s="48" t="s">
        <v>110</v>
      </c>
      <c r="J9" s="68"/>
      <c r="K9" s="50" t="s">
        <v>81</v>
      </c>
      <c r="L9" s="51"/>
      <c r="M9" s="54">
        <f>(if(L9="sob consulta","sob consulta", ROUND(L9*(1+pconfig!$B$6),2)))</f>
        <v>0</v>
      </c>
      <c r="N9" s="51"/>
      <c r="O9" s="68">
        <v>1.03</v>
      </c>
      <c r="P9" s="54">
        <f>(if(O9="sob consulta","sob consulta", ROUND(O9*(1+pconfig!$B$6),2)))</f>
        <v>1.06</v>
      </c>
    </row>
    <row r="10" ht="22.5" customHeight="1">
      <c r="A10" s="21" t="s">
        <v>113</v>
      </c>
      <c r="B10" s="21" t="s">
        <v>114</v>
      </c>
      <c r="C10" s="94"/>
      <c r="D10" s="22" t="s">
        <v>115</v>
      </c>
      <c r="E10" s="22" t="s">
        <v>116</v>
      </c>
      <c r="F10" s="21" t="str">
        <f t="shared" si="1"/>
        <v>Hospedagem de Servidor (colocation) - 1U1U</v>
      </c>
      <c r="G10" s="46"/>
      <c r="H10" s="46"/>
      <c r="I10" s="48" t="s">
        <v>117</v>
      </c>
      <c r="J10" s="98"/>
      <c r="K10" s="50" t="s">
        <v>81</v>
      </c>
      <c r="L10" s="51"/>
      <c r="M10" s="54">
        <f>(if(L10="sob consulta","sob consulta", ROUND(L10*(1+pconfig!$B$6),2)))</f>
        <v>0</v>
      </c>
      <c r="N10" s="51"/>
      <c r="O10" s="68">
        <v>712.35</v>
      </c>
      <c r="P10" s="54">
        <f>(if(O10="sob consulta","sob consulta", ROUND(O10*(1+pconfig!$B$6),2)))</f>
        <v>735.72</v>
      </c>
    </row>
    <row r="11" ht="22.5" customHeight="1">
      <c r="A11" s="21" t="s">
        <v>119</v>
      </c>
      <c r="B11" s="21" t="s">
        <v>120</v>
      </c>
      <c r="C11" s="101"/>
      <c r="D11" s="22" t="s">
        <v>121</v>
      </c>
      <c r="E11" s="22" t="s">
        <v>122</v>
      </c>
      <c r="F11" s="21" t="str">
        <f t="shared" si="1"/>
        <v>Hospedagem de Rack de Servidores - 22 U22 U</v>
      </c>
      <c r="G11" s="46"/>
      <c r="H11" s="46"/>
      <c r="I11" s="48" t="s">
        <v>117</v>
      </c>
      <c r="J11" s="68"/>
      <c r="K11" s="50" t="s">
        <v>81</v>
      </c>
      <c r="L11" s="51"/>
      <c r="M11" s="54">
        <f>(if(L11="sob consulta","sob consulta", ROUND(L11*(1+pconfig!$B$6),2)))</f>
        <v>0</v>
      </c>
      <c r="N11" s="51"/>
      <c r="O11" s="68">
        <v>11371.59</v>
      </c>
      <c r="P11" s="54">
        <f>ROUND(O11*(1+pconfig!$B$6),2)</f>
        <v>11744.58</v>
      </c>
    </row>
    <row r="12" ht="22.5" customHeight="1">
      <c r="A12" s="21" t="s">
        <v>124</v>
      </c>
      <c r="B12" s="21" t="s">
        <v>125</v>
      </c>
      <c r="C12" s="94"/>
      <c r="D12" s="22" t="s">
        <v>126</v>
      </c>
      <c r="E12" s="22" t="s">
        <v>127</v>
      </c>
      <c r="F12" s="21" t="str">
        <f t="shared" si="1"/>
        <v>Hospedagem de Rack de Servidores (compartilhado) - 44U44 U</v>
      </c>
      <c r="G12" s="46"/>
      <c r="H12" s="46"/>
      <c r="I12" s="48" t="s">
        <v>117</v>
      </c>
      <c r="J12" s="68"/>
      <c r="K12" s="50" t="s">
        <v>81</v>
      </c>
      <c r="L12" s="51"/>
      <c r="M12" s="54">
        <f>(if(L12="sob consulta","sob consulta", ROUND(L12*(1+pconfig!$B$6),2)))</f>
        <v>0</v>
      </c>
      <c r="N12" s="51"/>
      <c r="O12" s="68">
        <v>22743.2</v>
      </c>
      <c r="P12" s="54">
        <f>ROUND(O12*(1+pconfig!$B$6),2)</f>
        <v>23489.18</v>
      </c>
    </row>
    <row r="13" ht="22.5" customHeight="1">
      <c r="A13" s="21" t="s">
        <v>129</v>
      </c>
      <c r="B13" s="21" t="s">
        <v>130</v>
      </c>
      <c r="C13" s="101"/>
      <c r="D13" s="114" t="s">
        <v>131</v>
      </c>
      <c r="E13" s="22" t="s">
        <v>127</v>
      </c>
      <c r="F13" s="21" t="str">
        <f t="shared" si="1"/>
        <v>Hosped. de Rack de Servidores (exclusivo) - 44 U44 U</v>
      </c>
      <c r="G13" s="46"/>
      <c r="H13" s="46"/>
      <c r="I13" s="48" t="s">
        <v>117</v>
      </c>
      <c r="J13" s="68"/>
      <c r="K13" s="50" t="s">
        <v>81</v>
      </c>
      <c r="L13" s="51"/>
      <c r="M13" s="54">
        <f>(if(L13="sob consulta","sob consulta", ROUND(L13*(1+pconfig!$B$6),2)))</f>
        <v>0</v>
      </c>
      <c r="N13" s="51"/>
      <c r="O13" s="68">
        <v>29566.16</v>
      </c>
      <c r="P13" s="54">
        <f>ROUND(O13*(1+pconfig!$B$6),2)</f>
        <v>30535.93</v>
      </c>
    </row>
    <row r="14" ht="22.5" customHeight="1">
      <c r="A14" s="22" t="s">
        <v>135</v>
      </c>
      <c r="B14" s="22" t="s">
        <v>136</v>
      </c>
      <c r="C14" s="115"/>
      <c r="D14" s="21" t="s">
        <v>137</v>
      </c>
      <c r="E14" s="21"/>
      <c r="F14" s="21" t="str">
        <f t="shared" si="1"/>
        <v>Hospedagem de Servidor Storage (colocation)</v>
      </c>
      <c r="G14" s="46"/>
      <c r="H14" s="46"/>
      <c r="I14" s="116" t="s">
        <v>138</v>
      </c>
      <c r="J14" s="117" t="s">
        <v>56</v>
      </c>
      <c r="K14" s="50" t="s">
        <v>81</v>
      </c>
      <c r="L14" s="51" t="s">
        <v>56</v>
      </c>
      <c r="M14" s="54" t="str">
        <f>(if(L14="sob consulta","sob consulta", ROUND(L14*(1+pconfig!$B$6),2)))</f>
        <v>sob consulta</v>
      </c>
      <c r="N14" s="54"/>
      <c r="O14" s="68">
        <v>0.0</v>
      </c>
      <c r="P14" s="54">
        <f>ROUND(O14*(1+pconfig!$B$6),2)</f>
        <v>0</v>
      </c>
    </row>
    <row r="15" ht="22.5" customHeight="1">
      <c r="A15" s="22" t="s">
        <v>139</v>
      </c>
      <c r="B15" s="22" t="s">
        <v>136</v>
      </c>
      <c r="C15" s="95"/>
      <c r="D15" s="21" t="s">
        <v>140</v>
      </c>
      <c r="E15" s="21"/>
      <c r="F15" s="21" t="str">
        <f t="shared" si="1"/>
        <v>Hospedagem de Servidor Virtualizado</v>
      </c>
      <c r="G15" s="46"/>
      <c r="H15" s="46"/>
      <c r="I15" s="48" t="s">
        <v>138</v>
      </c>
      <c r="J15" s="75" t="s">
        <v>141</v>
      </c>
      <c r="K15" s="50" t="s">
        <v>81</v>
      </c>
      <c r="L15" s="51" t="s">
        <v>56</v>
      </c>
      <c r="M15" s="54" t="str">
        <f>(if(L15="sob consulta","sob consulta", ROUND(L15*(1+pconfig!$B$6),2)))</f>
        <v>sob consulta</v>
      </c>
      <c r="N15" s="54"/>
      <c r="O15" s="68">
        <v>0.0</v>
      </c>
      <c r="P15" s="54">
        <f>ROUND(O15*(1+pconfig!$B$6),2)</f>
        <v>0</v>
      </c>
    </row>
    <row r="16" ht="22.5" customHeight="1">
      <c r="A16" s="22" t="s">
        <v>142</v>
      </c>
      <c r="B16" s="22" t="s">
        <v>136</v>
      </c>
      <c r="C16" s="122">
        <v>5003.0</v>
      </c>
      <c r="D16" s="21" t="s">
        <v>143</v>
      </c>
      <c r="E16" s="22" t="str">
        <f>IFERROR(__xludf.DUMMYFUNCTION("CONCATENATE(REGEXEXTRACT(D16,""[\d]+""),""GB"")"),"5GB")</f>
        <v>5GB</v>
      </c>
      <c r="F16" s="21" t="str">
        <f t="shared" si="1"/>
        <v>Hospedagem de Website (5Gb)5GB</v>
      </c>
      <c r="G16" s="73">
        <v>1.0</v>
      </c>
      <c r="H16" s="73">
        <v>5.0</v>
      </c>
      <c r="I16" s="48" t="s">
        <v>110</v>
      </c>
      <c r="J16" s="90"/>
      <c r="K16" s="50" t="s">
        <v>81</v>
      </c>
      <c r="L16" s="51"/>
      <c r="M16" s="54">
        <f>(if(L16="sob consulta","sob consulta", ROUND(L16*(1+pconfig!$B$6),2)))</f>
        <v>0</v>
      </c>
      <c r="N16" s="51"/>
      <c r="O16" s="68">
        <v>33.73</v>
      </c>
      <c r="P16" s="54">
        <f>ROUND(O16*(1+pconfig!$B$6),2)</f>
        <v>34.84</v>
      </c>
    </row>
    <row r="17" ht="22.5" customHeight="1">
      <c r="A17" s="21" t="s">
        <v>144</v>
      </c>
      <c r="B17" s="21" t="s">
        <v>145</v>
      </c>
      <c r="C17" s="95"/>
      <c r="D17" s="21" t="s">
        <v>146</v>
      </c>
      <c r="E17" s="22" t="str">
        <f>IFERROR(__xludf.DUMMYFUNCTION("CONCATENATE(REGEXEXTRACT(D17,""[\d]+""),""GB"")"),"10GB")</f>
        <v>10GB</v>
      </c>
      <c r="F17" s="21" t="str">
        <f t="shared" si="1"/>
        <v>Hospedagem de Website (10Gb)10GB</v>
      </c>
      <c r="G17" s="73">
        <v>1.0</v>
      </c>
      <c r="H17" s="73">
        <v>10.0</v>
      </c>
      <c r="I17" s="48" t="s">
        <v>110</v>
      </c>
      <c r="J17" s="90"/>
      <c r="K17" s="50" t="s">
        <v>81</v>
      </c>
      <c r="L17" s="51"/>
      <c r="M17" s="54">
        <f>(if(L17="sob consulta","sob consulta", ROUND(L17*(1+pconfig!$B$6),2)))</f>
        <v>0</v>
      </c>
      <c r="N17" s="51"/>
      <c r="O17" s="68">
        <v>62.37</v>
      </c>
      <c r="P17" s="54">
        <f>ROUND(O17*(1+pconfig!$B$6),2)</f>
        <v>64.42</v>
      </c>
    </row>
    <row r="18" ht="22.5" customHeight="1">
      <c r="A18" s="22" t="s">
        <v>135</v>
      </c>
      <c r="B18" s="21" t="s">
        <v>148</v>
      </c>
      <c r="C18" s="122">
        <v>5010.0</v>
      </c>
      <c r="D18" s="21" t="s">
        <v>149</v>
      </c>
      <c r="E18" s="22" t="str">
        <f>IFERROR(__xludf.DUMMYFUNCTION("CONCATENATE(REGEXEXTRACT(D18,""[\d]+""),""GB"")"),"30GB")</f>
        <v>30GB</v>
      </c>
      <c r="F18" s="21" t="str">
        <f t="shared" si="1"/>
        <v>Hospedagem de Website (30Gb)30GB</v>
      </c>
      <c r="G18" s="73">
        <v>1.0</v>
      </c>
      <c r="H18" s="73">
        <v>30.0</v>
      </c>
      <c r="I18" s="48" t="s">
        <v>110</v>
      </c>
      <c r="J18" s="90"/>
      <c r="K18" s="50" t="s">
        <v>81</v>
      </c>
      <c r="L18" s="51"/>
      <c r="M18" s="54">
        <f>(if(L18="sob consulta","sob consulta", ROUND(L18*(1+pconfig!$B$6),2)))</f>
        <v>0</v>
      </c>
      <c r="N18" s="93">
        <v>76.13</v>
      </c>
      <c r="O18" s="68">
        <v>82.9</v>
      </c>
      <c r="P18" s="54">
        <f>ROUND(O18*(1+pconfig!$B$6),2)</f>
        <v>85.62</v>
      </c>
    </row>
    <row r="19" ht="22.5" customHeight="1">
      <c r="A19" s="21" t="s">
        <v>151</v>
      </c>
      <c r="B19" s="21" t="s">
        <v>152</v>
      </c>
      <c r="C19" s="95"/>
      <c r="D19" s="21" t="s">
        <v>153</v>
      </c>
      <c r="E19" s="22" t="str">
        <f>IFERROR(__xludf.DUMMYFUNCTION("CONCATENATE(REGEXEXTRACT(D19,""[\d]+""),""GB"")"),"50GB")</f>
        <v>50GB</v>
      </c>
      <c r="F19" s="21" t="str">
        <f t="shared" si="1"/>
        <v>Hospedagem de Website (50Gb)50GB</v>
      </c>
      <c r="G19" s="73">
        <v>1.0</v>
      </c>
      <c r="H19" s="73">
        <v>50.0</v>
      </c>
      <c r="I19" s="48" t="s">
        <v>110</v>
      </c>
      <c r="J19" s="90"/>
      <c r="K19" s="50" t="s">
        <v>81</v>
      </c>
      <c r="L19" s="51"/>
      <c r="M19" s="54">
        <f>(if(L19="sob consulta","sob consulta", ROUND(L19*(1+pconfig!$B$6),2)))</f>
        <v>0</v>
      </c>
      <c r="N19" s="51"/>
      <c r="O19" s="68">
        <v>103.46</v>
      </c>
      <c r="P19" s="54">
        <f>ROUND(O19*(1+pconfig!$B$6),2)</f>
        <v>106.85</v>
      </c>
    </row>
    <row r="20" ht="22.5" customHeight="1">
      <c r="A20" s="21" t="s">
        <v>159</v>
      </c>
      <c r="B20" s="21" t="s">
        <v>160</v>
      </c>
      <c r="C20" s="122">
        <v>5026.0</v>
      </c>
      <c r="D20" s="21" t="s">
        <v>163</v>
      </c>
      <c r="E20" s="22" t="str">
        <f>IFERROR(__xludf.DUMMYFUNCTION("CONCATENATE(REGEXEXTRACT(D20,""[\d]+""),""GB"")"),"100GB")</f>
        <v>100GB</v>
      </c>
      <c r="F20" s="21" t="str">
        <f t="shared" si="1"/>
        <v>Hospedagem de Website (100Gb)100GB</v>
      </c>
      <c r="G20" s="73">
        <v>1.0</v>
      </c>
      <c r="H20" s="73">
        <v>100.0</v>
      </c>
      <c r="I20" s="48" t="s">
        <v>110</v>
      </c>
      <c r="J20" s="90"/>
      <c r="K20" s="50" t="s">
        <v>81</v>
      </c>
      <c r="L20" s="51"/>
      <c r="M20" s="54">
        <f>(if(L20="sob consulta","sob consulta", ROUND(L20*(1+pconfig!$B$6),2)))</f>
        <v>0</v>
      </c>
      <c r="N20" s="51"/>
      <c r="O20" s="68">
        <v>154.8</v>
      </c>
      <c r="P20" s="54">
        <f>ROUND(O20*(1+pconfig!$B$6),2)</f>
        <v>159.88</v>
      </c>
    </row>
    <row r="21" ht="22.5" customHeight="1">
      <c r="A21" s="21" t="s">
        <v>164</v>
      </c>
      <c r="B21" s="21" t="s">
        <v>165</v>
      </c>
      <c r="C21" s="140">
        <v>5530.0</v>
      </c>
      <c r="D21" s="21" t="s">
        <v>169</v>
      </c>
      <c r="E21" s="22" t="str">
        <f>IFERROR(__xludf.DUMMYFUNCTION("CONCATENATE(REGEXEXTRACT(D21,""[\d]+""),""GB"")"),"1GB")</f>
        <v>1GB</v>
      </c>
      <c r="F21" s="21" t="str">
        <f t="shared" si="1"/>
        <v>Conta de Email (1Gb) 1 Cx1GB</v>
      </c>
      <c r="G21" s="73">
        <v>1.0</v>
      </c>
      <c r="H21" s="73">
        <v>1.0</v>
      </c>
      <c r="I21" s="48" t="s">
        <v>110</v>
      </c>
      <c r="J21" s="68">
        <v>6.24</v>
      </c>
      <c r="K21" s="50" t="s">
        <v>81</v>
      </c>
      <c r="L21" s="51"/>
      <c r="M21" s="54">
        <f>(if(L21="sob consulta","sob consulta", ROUND(L21*(1+pconfig!$B$6),2)))</f>
        <v>0</v>
      </c>
      <c r="N21" s="51"/>
      <c r="O21" s="68">
        <f t="shared" ref="O21:O68" si="2">J21/H21</f>
        <v>6.24</v>
      </c>
      <c r="P21" s="54">
        <f>ROUND(O21*(1+pconfig!$B$6),2)</f>
        <v>6.44</v>
      </c>
    </row>
    <row r="22" ht="22.5" customHeight="1">
      <c r="A22" s="21" t="s">
        <v>170</v>
      </c>
      <c r="B22" s="21" t="s">
        <v>171</v>
      </c>
      <c r="C22" s="122">
        <v>5530.0</v>
      </c>
      <c r="D22" s="21" t="s">
        <v>172</v>
      </c>
      <c r="E22" s="22" t="str">
        <f>IFERROR(__xludf.DUMMYFUNCTION("CONCATENATE(REGEXEXTRACT(D22,""[\d]+""),""GB"")"),"1GB")</f>
        <v>1GB</v>
      </c>
      <c r="F22" s="21" t="str">
        <f t="shared" si="1"/>
        <v>Conta de Email (1Gb) 25 Cx1GB</v>
      </c>
      <c r="G22" s="73">
        <v>1.0</v>
      </c>
      <c r="H22" s="73">
        <v>25.0</v>
      </c>
      <c r="I22" s="48" t="s">
        <v>110</v>
      </c>
      <c r="J22" s="68">
        <v>149.76</v>
      </c>
      <c r="K22" s="50" t="s">
        <v>81</v>
      </c>
      <c r="L22" s="51"/>
      <c r="M22" s="54">
        <f>(if(L22="sob consulta","sob consulta", ROUND(L22*(1+pconfig!$B$6),2)))</f>
        <v>0</v>
      </c>
      <c r="N22" s="51"/>
      <c r="O22" s="68">
        <f t="shared" si="2"/>
        <v>5.9904</v>
      </c>
      <c r="P22" s="54">
        <f>ROUND(O22*(1+pconfig!$B$6),2)</f>
        <v>6.19</v>
      </c>
    </row>
    <row r="23" ht="22.5" customHeight="1">
      <c r="A23" s="21" t="s">
        <v>174</v>
      </c>
      <c r="B23" s="21" t="s">
        <v>175</v>
      </c>
      <c r="C23" s="140">
        <v>5530.0</v>
      </c>
      <c r="D23" s="21" t="s">
        <v>176</v>
      </c>
      <c r="E23" s="22" t="str">
        <f>IFERROR(__xludf.DUMMYFUNCTION("CONCATENATE(REGEXEXTRACT(D23,""[\d]+""),""GB"")"),"1GB")</f>
        <v>1GB</v>
      </c>
      <c r="F23" s="21" t="str">
        <f t="shared" si="1"/>
        <v>Conta de Email (1Gb) 50 Cx1GB</v>
      </c>
      <c r="G23" s="73">
        <v>1.0</v>
      </c>
      <c r="H23" s="73">
        <v>50.0</v>
      </c>
      <c r="I23" s="48" t="s">
        <v>110</v>
      </c>
      <c r="J23" s="68">
        <v>293.28</v>
      </c>
      <c r="K23" s="50" t="s">
        <v>81</v>
      </c>
      <c r="L23" s="51"/>
      <c r="M23" s="54">
        <f>(if(L23="sob consulta","sob consulta", ROUND(L23*(1+pconfig!$B$6),2)))</f>
        <v>0</v>
      </c>
      <c r="N23" s="51"/>
      <c r="O23" s="68">
        <f t="shared" si="2"/>
        <v>5.8656</v>
      </c>
      <c r="P23" s="54">
        <f>ROUND(O23*(1+pconfig!$B$6),2)</f>
        <v>6.06</v>
      </c>
    </row>
    <row r="24" ht="22.5" customHeight="1">
      <c r="A24" s="21" t="s">
        <v>179</v>
      </c>
      <c r="B24" s="21" t="s">
        <v>180</v>
      </c>
      <c r="C24" s="122">
        <v>5530.0</v>
      </c>
      <c r="D24" s="21" t="s">
        <v>181</v>
      </c>
      <c r="E24" s="22" t="str">
        <f>IFERROR(__xludf.DUMMYFUNCTION("CONCATENATE(REGEXEXTRACT(D24,""[\d]+""),""GB"")"),"1GB")</f>
        <v>1GB</v>
      </c>
      <c r="F24" s="21" t="str">
        <f t="shared" si="1"/>
        <v>Conta de Email (1Gb) 100 Cx1GB</v>
      </c>
      <c r="G24" s="73">
        <v>1.0</v>
      </c>
      <c r="H24" s="73">
        <v>100.0</v>
      </c>
      <c r="I24" s="48" t="s">
        <v>110</v>
      </c>
      <c r="J24" s="68">
        <v>574.08</v>
      </c>
      <c r="K24" s="50" t="s">
        <v>81</v>
      </c>
      <c r="L24" s="51"/>
      <c r="M24" s="54">
        <f>(if(L24="sob consulta","sob consulta", ROUND(L24*(1+pconfig!$B$6),2)))</f>
        <v>0</v>
      </c>
      <c r="N24" s="51"/>
      <c r="O24" s="68">
        <f t="shared" si="2"/>
        <v>5.7408</v>
      </c>
      <c r="P24" s="54">
        <f>ROUND(O24*(1+pconfig!$B$6),2)</f>
        <v>5.93</v>
      </c>
    </row>
    <row r="25" ht="22.5" customHeight="1">
      <c r="A25" s="21" t="s">
        <v>182</v>
      </c>
      <c r="B25" s="21" t="s">
        <v>183</v>
      </c>
      <c r="C25" s="140">
        <v>5530.0</v>
      </c>
      <c r="D25" s="149" t="s">
        <v>184</v>
      </c>
      <c r="E25" s="22" t="str">
        <f>IFERROR(__xludf.DUMMYFUNCTION("CONCATENATE(REGEXEXTRACT(D25,""[\d]+""),""GB"")"),"1GB")</f>
        <v>1GB</v>
      </c>
      <c r="F25" s="21" t="str">
        <f t="shared" si="1"/>
        <v>Conta de Email (1Gb) 500 Cx NOVO1GB</v>
      </c>
      <c r="G25" s="73">
        <v>1.0</v>
      </c>
      <c r="H25" s="73">
        <v>500.0</v>
      </c>
      <c r="I25" s="48" t="s">
        <v>110</v>
      </c>
      <c r="J25" s="68">
        <v>2842.06</v>
      </c>
      <c r="K25" s="50" t="s">
        <v>81</v>
      </c>
      <c r="L25" s="51"/>
      <c r="M25" s="54">
        <f>(if(L25="sob consulta","sob consulta", ROUND(L25*(1+pconfig!$B$6),2)))</f>
        <v>0</v>
      </c>
      <c r="N25" s="51"/>
      <c r="O25" s="68">
        <f t="shared" si="2"/>
        <v>5.68412</v>
      </c>
      <c r="P25" s="54">
        <f>ROUND(O25*(1+pconfig!$B$6),2)</f>
        <v>5.87</v>
      </c>
    </row>
    <row r="26" ht="22.5" customHeight="1">
      <c r="A26" s="21" t="s">
        <v>185</v>
      </c>
      <c r="B26" s="21" t="s">
        <v>186</v>
      </c>
      <c r="C26" s="122">
        <v>5530.0</v>
      </c>
      <c r="D26" s="149" t="s">
        <v>187</v>
      </c>
      <c r="E26" s="22" t="str">
        <f>IFERROR(__xludf.DUMMYFUNCTION("CONCATENATE(REGEXEXTRACT(D26,""[\d]+""),""GB"")"),"1GB")</f>
        <v>1GB</v>
      </c>
      <c r="F26" s="21" t="str">
        <f t="shared" si="1"/>
        <v>Conta de Email (1Gb) 1000 Cx NOVO1GB</v>
      </c>
      <c r="G26" s="73">
        <v>1.0</v>
      </c>
      <c r="H26" s="73">
        <v>1000.0</v>
      </c>
      <c r="I26" s="48" t="s">
        <v>110</v>
      </c>
      <c r="J26" s="68">
        <v>5615.92</v>
      </c>
      <c r="K26" s="50" t="s">
        <v>81</v>
      </c>
      <c r="L26" s="51"/>
      <c r="M26" s="54">
        <f>(if(L26="sob consulta","sob consulta", ROUND(L26*(1+pconfig!$B$6),2)))</f>
        <v>0</v>
      </c>
      <c r="N26" s="51"/>
      <c r="O26" s="68">
        <f t="shared" si="2"/>
        <v>5.61592</v>
      </c>
      <c r="P26" s="54">
        <f>ROUND(O26*(1+pconfig!$B$6),2)</f>
        <v>5.8</v>
      </c>
    </row>
    <row r="27" ht="22.5" customHeight="1">
      <c r="A27" s="21" t="s">
        <v>188</v>
      </c>
      <c r="B27" s="21" t="s">
        <v>189</v>
      </c>
      <c r="C27" s="140">
        <v>5530.0</v>
      </c>
      <c r="D27" s="21" t="s">
        <v>190</v>
      </c>
      <c r="E27" s="21" t="str">
        <f>IFERROR(__xludf.DUMMYFUNCTION("CONCATENATE(REGEXEXTRACT(D27,""[\d]+""),""GB"")"),"2GB")</f>
        <v>2GB</v>
      </c>
      <c r="F27" s="21" t="str">
        <f t="shared" si="1"/>
        <v>Conta de Email (2Gb) 1 Cx2GB</v>
      </c>
      <c r="G27" s="73">
        <v>1.0</v>
      </c>
      <c r="H27" s="73">
        <v>1.0</v>
      </c>
      <c r="I27" s="48" t="s">
        <v>110</v>
      </c>
      <c r="J27" s="68">
        <v>7.18</v>
      </c>
      <c r="K27" s="50" t="s">
        <v>81</v>
      </c>
      <c r="L27" s="51"/>
      <c r="M27" s="54">
        <f>(if(L27="sob consulta","sob consulta", ROUND(L27*(1+pconfig!$B$6),2)))</f>
        <v>0</v>
      </c>
      <c r="N27" s="51"/>
      <c r="O27" s="68">
        <f t="shared" si="2"/>
        <v>7.18</v>
      </c>
      <c r="P27" s="54">
        <f>ROUND(O27*(1+pconfig!$B$6),2)</f>
        <v>7.42</v>
      </c>
    </row>
    <row r="28" ht="22.5" customHeight="1">
      <c r="A28" s="21" t="s">
        <v>191</v>
      </c>
      <c r="B28" s="21" t="s">
        <v>192</v>
      </c>
      <c r="C28" s="122">
        <v>5530.0</v>
      </c>
      <c r="D28" s="21" t="s">
        <v>193</v>
      </c>
      <c r="E28" s="21" t="str">
        <f>IFERROR(__xludf.DUMMYFUNCTION("CONCATENATE(REGEXEXTRACT(D28,""[\d]+""),""GB"")"),"2GB")</f>
        <v>2GB</v>
      </c>
      <c r="F28" s="21" t="str">
        <f t="shared" si="1"/>
        <v>Conta de Email (2Gb) 25 Cx2GB</v>
      </c>
      <c r="G28" s="73">
        <v>1.0</v>
      </c>
      <c r="H28" s="73">
        <v>25.0</v>
      </c>
      <c r="I28" s="48" t="s">
        <v>110</v>
      </c>
      <c r="J28" s="68">
        <v>172.26</v>
      </c>
      <c r="K28" s="50" t="s">
        <v>81</v>
      </c>
      <c r="L28" s="51"/>
      <c r="M28" s="54">
        <f>(if(L28="sob consulta","sob consulta", ROUND(L28*(1+pconfig!$B$6),2)))</f>
        <v>0</v>
      </c>
      <c r="N28" s="51"/>
      <c r="O28" s="68">
        <f t="shared" si="2"/>
        <v>6.8904</v>
      </c>
      <c r="P28" s="54">
        <f>ROUND(O28*(1+pconfig!$B$6),2)</f>
        <v>7.12</v>
      </c>
    </row>
    <row r="29" ht="22.5" customHeight="1">
      <c r="A29" s="21" t="s">
        <v>194</v>
      </c>
      <c r="B29" s="21" t="s">
        <v>195</v>
      </c>
      <c r="C29" s="140">
        <v>5530.0</v>
      </c>
      <c r="D29" s="21" t="s">
        <v>196</v>
      </c>
      <c r="E29" s="21" t="str">
        <f>IFERROR(__xludf.DUMMYFUNCTION("CONCATENATE(REGEXEXTRACT(D29,""[\d]+""),""GB"")"),"2GB")</f>
        <v>2GB</v>
      </c>
      <c r="F29" s="21" t="str">
        <f t="shared" si="1"/>
        <v>Conta de Email (2Gb) 50 Cx2GB</v>
      </c>
      <c r="G29" s="73">
        <v>1.0</v>
      </c>
      <c r="H29" s="73">
        <v>50.0</v>
      </c>
      <c r="I29" s="48" t="s">
        <v>110</v>
      </c>
      <c r="J29" s="68">
        <v>337.34</v>
      </c>
      <c r="K29" s="50" t="s">
        <v>81</v>
      </c>
      <c r="L29" s="51"/>
      <c r="M29" s="54">
        <f>(if(L29="sob consulta","sob consulta", ROUND(L29*(1+pconfig!$B$6),2)))</f>
        <v>0</v>
      </c>
      <c r="N29" s="51"/>
      <c r="O29" s="68">
        <f t="shared" si="2"/>
        <v>6.7468</v>
      </c>
      <c r="P29" s="54">
        <f>ROUND(O29*(1+pconfig!$B$6),2)</f>
        <v>6.97</v>
      </c>
    </row>
    <row r="30" ht="22.5" customHeight="1">
      <c r="A30" s="21" t="s">
        <v>197</v>
      </c>
      <c r="B30" s="21" t="s">
        <v>198</v>
      </c>
      <c r="C30" s="122">
        <v>5530.0</v>
      </c>
      <c r="D30" s="21" t="s">
        <v>199</v>
      </c>
      <c r="E30" s="21" t="str">
        <f>IFERROR(__xludf.DUMMYFUNCTION("CONCATENATE(REGEXEXTRACT(D30,""[\d]+""),""GB"")"),"2GB")</f>
        <v>2GB</v>
      </c>
      <c r="F30" s="21" t="str">
        <f t="shared" si="1"/>
        <v>Conta de Email (2Gb) 100 Cx2GB</v>
      </c>
      <c r="G30" s="73">
        <v>1.0</v>
      </c>
      <c r="H30" s="73">
        <v>100.0</v>
      </c>
      <c r="I30" s="48" t="s">
        <v>110</v>
      </c>
      <c r="J30" s="68">
        <v>660.32</v>
      </c>
      <c r="K30" s="50" t="s">
        <v>81</v>
      </c>
      <c r="L30" s="51"/>
      <c r="M30" s="54">
        <f>(if(L30="sob consulta","sob consulta", ROUND(L30*(1+pconfig!$B$6),2)))</f>
        <v>0</v>
      </c>
      <c r="N30" s="51"/>
      <c r="O30" s="68">
        <f t="shared" si="2"/>
        <v>6.6032</v>
      </c>
      <c r="P30" s="54">
        <f>ROUND(O30*(1+pconfig!$B$6),2)</f>
        <v>6.82</v>
      </c>
    </row>
    <row r="31" ht="22.5" customHeight="1">
      <c r="A31" s="21" t="s">
        <v>200</v>
      </c>
      <c r="B31" s="21" t="s">
        <v>201</v>
      </c>
      <c r="C31" s="140">
        <v>5530.0</v>
      </c>
      <c r="D31" s="149" t="s">
        <v>202</v>
      </c>
      <c r="E31" s="21" t="str">
        <f>IFERROR(__xludf.DUMMYFUNCTION("CONCATENATE(REGEXEXTRACT(D31,""[\d]+""),""GB"")"),"2GB")</f>
        <v>2GB</v>
      </c>
      <c r="F31" s="21" t="str">
        <f t="shared" si="1"/>
        <v>Conta de Email (2Gb) 500 Cx NOVO2GB</v>
      </c>
      <c r="G31" s="73">
        <v>1.0</v>
      </c>
      <c r="H31" s="73">
        <v>500.0</v>
      </c>
      <c r="I31" s="48" t="s">
        <v>110</v>
      </c>
      <c r="J31" s="68">
        <v>3006.9</v>
      </c>
      <c r="K31" s="50" t="s">
        <v>81</v>
      </c>
      <c r="L31" s="51"/>
      <c r="M31" s="54">
        <f>(if(L31="sob consulta","sob consulta", ROUND(L31*(1+pconfig!$B$6),2)))</f>
        <v>0</v>
      </c>
      <c r="N31" s="51"/>
      <c r="O31" s="68">
        <f t="shared" si="2"/>
        <v>6.0138</v>
      </c>
      <c r="P31" s="54">
        <f>ROUND(O31*(1+pconfig!$B$6),2)</f>
        <v>6.21</v>
      </c>
    </row>
    <row r="32" ht="22.5" customHeight="1">
      <c r="A32" s="21" t="s">
        <v>203</v>
      </c>
      <c r="B32" s="21" t="s">
        <v>204</v>
      </c>
      <c r="C32" s="122">
        <v>5530.0</v>
      </c>
      <c r="D32" s="149" t="s">
        <v>205</v>
      </c>
      <c r="E32" s="21" t="str">
        <f>IFERROR(__xludf.DUMMYFUNCTION("CONCATENATE(REGEXEXTRACT(D32,""[\d]+""),""GB"")"),"2GB")</f>
        <v>2GB</v>
      </c>
      <c r="F32" s="21" t="str">
        <f t="shared" si="1"/>
        <v>Conta de Email (2Gb) 1000 Cx NOVO2GB</v>
      </c>
      <c r="G32" s="73">
        <v>1.0</v>
      </c>
      <c r="H32" s="73">
        <v>1000.0</v>
      </c>
      <c r="I32" s="48" t="s">
        <v>110</v>
      </c>
      <c r="J32" s="68">
        <v>5888.76</v>
      </c>
      <c r="K32" s="50" t="s">
        <v>81</v>
      </c>
      <c r="L32" s="51"/>
      <c r="M32" s="54">
        <f>(if(L32="sob consulta","sob consulta", ROUND(L32*(1+pconfig!$B$6),2)))</f>
        <v>0</v>
      </c>
      <c r="N32" s="51"/>
      <c r="O32" s="68">
        <f t="shared" si="2"/>
        <v>5.88876</v>
      </c>
      <c r="P32" s="54">
        <f>ROUND(O32*(1+pconfig!$B$6),2)</f>
        <v>6.08</v>
      </c>
    </row>
    <row r="33" ht="22.5" customHeight="1">
      <c r="A33" s="21" t="s">
        <v>206</v>
      </c>
      <c r="B33" s="21" t="s">
        <v>207</v>
      </c>
      <c r="C33" s="140">
        <v>5530.0</v>
      </c>
      <c r="D33" s="21" t="s">
        <v>208</v>
      </c>
      <c r="E33" s="22" t="str">
        <f>IFERROR(__xludf.DUMMYFUNCTION("CONCATENATE(REGEXEXTRACT(D33,""[\d]+""),""GB"")"),"5GB")</f>
        <v>5GB</v>
      </c>
      <c r="F33" s="21" t="str">
        <f t="shared" si="1"/>
        <v>Conta de Email (5Gb) 1 Cx5GB</v>
      </c>
      <c r="G33" s="73">
        <v>1.0</v>
      </c>
      <c r="H33" s="73">
        <v>1.0</v>
      </c>
      <c r="I33" s="48" t="s">
        <v>110</v>
      </c>
      <c r="J33" s="68">
        <v>8.61</v>
      </c>
      <c r="K33" s="50" t="s">
        <v>81</v>
      </c>
      <c r="L33" s="51"/>
      <c r="M33" s="54">
        <f>(if(L33="sob consulta","sob consulta", ROUND(L33*(1+pconfig!$B$6),2)))</f>
        <v>0</v>
      </c>
      <c r="N33" s="93">
        <v>8.61</v>
      </c>
      <c r="O33" s="68">
        <f t="shared" si="2"/>
        <v>8.61</v>
      </c>
      <c r="P33" s="54">
        <f>ROUND(O33*(1+pconfig!$B$6),2)</f>
        <v>8.89</v>
      </c>
    </row>
    <row r="34" ht="22.5" customHeight="1">
      <c r="A34" s="21" t="s">
        <v>209</v>
      </c>
      <c r="B34" s="21" t="s">
        <v>210</v>
      </c>
      <c r="C34" s="122">
        <v>5530.0</v>
      </c>
      <c r="D34" s="21" t="s">
        <v>211</v>
      </c>
      <c r="E34" s="22" t="str">
        <f>IFERROR(__xludf.DUMMYFUNCTION("CONCATENATE(REGEXEXTRACT(D34,""[\d]+""),""GB"")"),"5GB")</f>
        <v>5GB</v>
      </c>
      <c r="F34" s="21" t="str">
        <f t="shared" si="1"/>
        <v>Conta de Email (5Gb) 25 Cx5GB</v>
      </c>
      <c r="G34" s="73">
        <v>1.0</v>
      </c>
      <c r="H34" s="73">
        <v>25.0</v>
      </c>
      <c r="I34" s="48" t="s">
        <v>110</v>
      </c>
      <c r="J34" s="68">
        <v>206.64</v>
      </c>
      <c r="K34" s="50" t="s">
        <v>81</v>
      </c>
      <c r="L34" s="51"/>
      <c r="M34" s="54">
        <f>(if(L34="sob consulta","sob consulta", ROUND(L34*(1+pconfig!$B$6),2)))</f>
        <v>0</v>
      </c>
      <c r="N34" s="51"/>
      <c r="O34" s="68">
        <f t="shared" si="2"/>
        <v>8.2656</v>
      </c>
      <c r="P34" s="54">
        <f>ROUND(O34*(1+pconfig!$B$6),2)</f>
        <v>8.54</v>
      </c>
    </row>
    <row r="35" ht="22.5" customHeight="1">
      <c r="A35" s="21" t="s">
        <v>213</v>
      </c>
      <c r="B35" s="21" t="s">
        <v>214</v>
      </c>
      <c r="C35" s="140">
        <v>5530.0</v>
      </c>
      <c r="D35" s="21" t="s">
        <v>215</v>
      </c>
      <c r="E35" s="22" t="str">
        <f>IFERROR(__xludf.DUMMYFUNCTION("CONCATENATE(REGEXEXTRACT(D35,""[\d]+""),""GB"")"),"5GB")</f>
        <v>5GB</v>
      </c>
      <c r="F35" s="21" t="str">
        <f t="shared" si="1"/>
        <v>Conta de Email (5Gb) 50 Cx5GB</v>
      </c>
      <c r="G35" s="73">
        <v>1.0</v>
      </c>
      <c r="H35" s="73">
        <v>50.0</v>
      </c>
      <c r="I35" s="48" t="s">
        <v>110</v>
      </c>
      <c r="J35" s="68">
        <v>404.68</v>
      </c>
      <c r="K35" s="50" t="s">
        <v>81</v>
      </c>
      <c r="L35" s="51"/>
      <c r="M35" s="54">
        <f>(if(L35="sob consulta","sob consulta", ROUND(L35*(1+pconfig!$B$6),2)))</f>
        <v>0</v>
      </c>
      <c r="N35" s="51"/>
      <c r="O35" s="68">
        <f t="shared" si="2"/>
        <v>8.0936</v>
      </c>
      <c r="P35" s="54">
        <f>ROUND(O35*(1+pconfig!$B$6),2)</f>
        <v>8.36</v>
      </c>
    </row>
    <row r="36" ht="22.5" customHeight="1">
      <c r="A36" s="21" t="s">
        <v>217</v>
      </c>
      <c r="B36" s="21" t="s">
        <v>218</v>
      </c>
      <c r="C36" s="122">
        <v>5530.0</v>
      </c>
      <c r="D36" s="21" t="s">
        <v>219</v>
      </c>
      <c r="E36" s="22" t="str">
        <f>IFERROR(__xludf.DUMMYFUNCTION("CONCATENATE(REGEXEXTRACT(D36,""[\d]+""),""GB"")"),"5GB")</f>
        <v>5GB</v>
      </c>
      <c r="F36" s="21" t="str">
        <f t="shared" si="1"/>
        <v>Conta de Email (5Gb) 100 Cx5GB</v>
      </c>
      <c r="G36" s="73">
        <v>1.0</v>
      </c>
      <c r="H36" s="73">
        <v>100.0</v>
      </c>
      <c r="I36" s="48" t="s">
        <v>110</v>
      </c>
      <c r="J36" s="68">
        <v>792.14</v>
      </c>
      <c r="K36" s="50" t="s">
        <v>81</v>
      </c>
      <c r="L36" s="51"/>
      <c r="M36" s="54">
        <f>(if(L36="sob consulta","sob consulta", ROUND(L36*(1+pconfig!$B$6),2)))</f>
        <v>0</v>
      </c>
      <c r="N36" s="51"/>
      <c r="O36" s="68">
        <f t="shared" si="2"/>
        <v>7.9214</v>
      </c>
      <c r="P36" s="54">
        <f>ROUND(O36*(1+pconfig!$B$6),2)</f>
        <v>8.18</v>
      </c>
    </row>
    <row r="37" ht="22.5" customHeight="1">
      <c r="A37" s="21" t="s">
        <v>220</v>
      </c>
      <c r="B37" s="21" t="s">
        <v>221</v>
      </c>
      <c r="C37" s="140">
        <v>5530.0</v>
      </c>
      <c r="D37" s="149" t="s">
        <v>222</v>
      </c>
      <c r="E37" s="22" t="str">
        <f>IFERROR(__xludf.DUMMYFUNCTION("CONCATENATE(REGEXEXTRACT(D37,""[\d]+""),""GB"")"),"5GB")</f>
        <v>5GB</v>
      </c>
      <c r="F37" s="21" t="str">
        <f t="shared" si="1"/>
        <v>Conta de Email (5Gb) 500 Cx NOVO5GB</v>
      </c>
      <c r="G37" s="73">
        <v>1.0</v>
      </c>
      <c r="H37" s="73">
        <v>500.0</v>
      </c>
      <c r="I37" s="48" t="s">
        <v>110</v>
      </c>
      <c r="J37" s="68">
        <v>3387.74</v>
      </c>
      <c r="K37" s="50" t="s">
        <v>81</v>
      </c>
      <c r="L37" s="51"/>
      <c r="M37" s="54">
        <f>(if(L37="sob consulta","sob consulta", ROUND(L37*(1+pconfig!$B$6),2)))</f>
        <v>0</v>
      </c>
      <c r="N37" s="51"/>
      <c r="O37" s="68">
        <f t="shared" si="2"/>
        <v>6.77548</v>
      </c>
      <c r="P37" s="54">
        <f>ROUND(O37*(1+pconfig!$B$6),2)</f>
        <v>7</v>
      </c>
    </row>
    <row r="38" ht="22.5" customHeight="1">
      <c r="A38" s="21" t="s">
        <v>223</v>
      </c>
      <c r="B38" s="21" t="s">
        <v>224</v>
      </c>
      <c r="C38" s="122">
        <v>5530.0</v>
      </c>
      <c r="D38" s="149" t="s">
        <v>225</v>
      </c>
      <c r="E38" s="22" t="str">
        <f>IFERROR(__xludf.DUMMYFUNCTION("CONCATENATE(REGEXEXTRACT(D38,""[\d]+""),""GB"")"),"5GB")</f>
        <v>5GB</v>
      </c>
      <c r="F38" s="21" t="str">
        <f t="shared" si="1"/>
        <v>Conta de Email (5Gb) 1000 Cx NOVO5GB</v>
      </c>
      <c r="G38" s="73">
        <v>1.0</v>
      </c>
      <c r="H38" s="73">
        <v>1000.0</v>
      </c>
      <c r="I38" s="48" t="s">
        <v>110</v>
      </c>
      <c r="J38" s="68">
        <v>6502.64</v>
      </c>
      <c r="K38" s="50" t="s">
        <v>81</v>
      </c>
      <c r="L38" s="51"/>
      <c r="M38" s="54">
        <f>(if(L38="sob consulta","sob consulta", ROUND(L38*(1+pconfig!$B$6),2)))</f>
        <v>0</v>
      </c>
      <c r="N38" s="51"/>
      <c r="O38" s="68">
        <f t="shared" si="2"/>
        <v>6.50264</v>
      </c>
      <c r="P38" s="54">
        <f>ROUND(O38*(1+pconfig!$B$6),2)</f>
        <v>6.72</v>
      </c>
    </row>
    <row r="39" ht="22.5" customHeight="1">
      <c r="A39" s="21" t="s">
        <v>226</v>
      </c>
      <c r="B39" s="21" t="s">
        <v>227</v>
      </c>
      <c r="C39" s="140">
        <v>5530.0</v>
      </c>
      <c r="D39" s="21" t="s">
        <v>228</v>
      </c>
      <c r="E39" s="21" t="str">
        <f>IFERROR(__xludf.DUMMYFUNCTION("CONCATENATE(REGEXEXTRACT(D39,""[\d]+""),""GB"")"),"10GB")</f>
        <v>10GB</v>
      </c>
      <c r="F39" s="21" t="str">
        <f t="shared" si="1"/>
        <v>Conta de Email (10Gb) 1 Cx10GB</v>
      </c>
      <c r="G39" s="73">
        <v>1.0</v>
      </c>
      <c r="H39" s="73">
        <v>1.0</v>
      </c>
      <c r="I39" s="48" t="s">
        <v>110</v>
      </c>
      <c r="J39" s="68">
        <v>11.19</v>
      </c>
      <c r="K39" s="50" t="s">
        <v>81</v>
      </c>
      <c r="L39" s="51"/>
      <c r="M39" s="54">
        <f>(if(L39="sob consulta","sob consulta", ROUND(L39*(1+pconfig!$B$6),2)))</f>
        <v>0</v>
      </c>
      <c r="N39" s="51"/>
      <c r="O39" s="68">
        <f t="shared" si="2"/>
        <v>11.19</v>
      </c>
      <c r="P39" s="54">
        <f>ROUND(O39*(1+pconfig!$B$6),2)</f>
        <v>11.56</v>
      </c>
    </row>
    <row r="40" ht="22.5" customHeight="1">
      <c r="A40" s="21" t="s">
        <v>229</v>
      </c>
      <c r="B40" s="21" t="s">
        <v>230</v>
      </c>
      <c r="C40" s="122">
        <v>5530.0</v>
      </c>
      <c r="D40" s="21" t="s">
        <v>231</v>
      </c>
      <c r="E40" s="21" t="str">
        <f>IFERROR(__xludf.DUMMYFUNCTION("CONCATENATE(REGEXEXTRACT(D40,""[\d]+""),""GB"")"),"10GB")</f>
        <v>10GB</v>
      </c>
      <c r="F40" s="21" t="str">
        <f t="shared" si="1"/>
        <v>Conta de Email (10Gb) 25 Cx10GB</v>
      </c>
      <c r="G40" s="73">
        <v>1.0</v>
      </c>
      <c r="H40" s="73">
        <v>25.0</v>
      </c>
      <c r="I40" s="48" t="s">
        <v>110</v>
      </c>
      <c r="J40" s="68">
        <v>268.67</v>
      </c>
      <c r="K40" s="50" t="s">
        <v>81</v>
      </c>
      <c r="L40" s="51"/>
      <c r="M40" s="54">
        <f>(if(L40="sob consulta","sob consulta", ROUND(L40*(1+pconfig!$B$6),2)))</f>
        <v>0</v>
      </c>
      <c r="N40" s="51"/>
      <c r="O40" s="68">
        <f t="shared" si="2"/>
        <v>10.7468</v>
      </c>
      <c r="P40" s="54">
        <f>ROUND(O40*(1+pconfig!$B$6),2)</f>
        <v>11.1</v>
      </c>
    </row>
    <row r="41" ht="22.5" customHeight="1">
      <c r="A41" s="21" t="s">
        <v>233</v>
      </c>
      <c r="B41" s="21" t="s">
        <v>234</v>
      </c>
      <c r="C41" s="140">
        <v>5530.0</v>
      </c>
      <c r="D41" s="21" t="s">
        <v>236</v>
      </c>
      <c r="E41" s="21" t="str">
        <f>IFERROR(__xludf.DUMMYFUNCTION("CONCATENATE(REGEXEXTRACT(D41,""[\d]+""),""GB"")"),"10GB")</f>
        <v>10GB</v>
      </c>
      <c r="F41" s="21" t="str">
        <f t="shared" si="1"/>
        <v>Conta de Email (10Gb) 50 Cx10GB</v>
      </c>
      <c r="G41" s="73">
        <v>1.0</v>
      </c>
      <c r="H41" s="73">
        <v>50.0</v>
      </c>
      <c r="I41" s="48" t="s">
        <v>110</v>
      </c>
      <c r="J41" s="68">
        <v>526.15</v>
      </c>
      <c r="K41" s="50" t="s">
        <v>81</v>
      </c>
      <c r="L41" s="51"/>
      <c r="M41" s="54">
        <f>(if(L41="sob consulta","sob consulta", ROUND(L41*(1+pconfig!$B$6),2)))</f>
        <v>0</v>
      </c>
      <c r="N41" s="51"/>
      <c r="O41" s="68">
        <f t="shared" si="2"/>
        <v>10.523</v>
      </c>
      <c r="P41" s="54">
        <f>ROUND(O41*(1+pconfig!$B$6),2)</f>
        <v>10.87</v>
      </c>
    </row>
    <row r="42" ht="22.5" customHeight="1">
      <c r="A42" s="21" t="s">
        <v>237</v>
      </c>
      <c r="B42" s="21" t="s">
        <v>238</v>
      </c>
      <c r="C42" s="122">
        <v>5530.0</v>
      </c>
      <c r="D42" s="21" t="s">
        <v>239</v>
      </c>
      <c r="E42" s="21" t="str">
        <f>IFERROR(__xludf.DUMMYFUNCTION("CONCATENATE(REGEXEXTRACT(D42,""[\d]+""),""GB"")"),"10GB")</f>
        <v>10GB</v>
      </c>
      <c r="F42" s="21" t="str">
        <f t="shared" si="1"/>
        <v>Conta de Email (10Gb) 100 Cx10GB</v>
      </c>
      <c r="G42" s="73">
        <v>1.0</v>
      </c>
      <c r="H42" s="73">
        <v>100.0</v>
      </c>
      <c r="I42" s="48" t="s">
        <v>110</v>
      </c>
      <c r="J42" s="68">
        <v>1029.9</v>
      </c>
      <c r="K42" s="50" t="s">
        <v>81</v>
      </c>
      <c r="L42" s="51"/>
      <c r="M42" s="54">
        <f>(if(L42="sob consulta","sob consulta", ROUND(L42*(1+pconfig!$B$6),2)))</f>
        <v>0</v>
      </c>
      <c r="N42" s="51"/>
      <c r="O42" s="68">
        <f t="shared" si="2"/>
        <v>10.299</v>
      </c>
      <c r="P42" s="54">
        <f>ROUND(O42*(1+pconfig!$B$6),2)</f>
        <v>10.64</v>
      </c>
    </row>
    <row r="43" ht="22.5" customHeight="1">
      <c r="A43" s="21" t="s">
        <v>241</v>
      </c>
      <c r="B43" s="21" t="s">
        <v>242</v>
      </c>
      <c r="C43" s="140">
        <v>5530.0</v>
      </c>
      <c r="D43" s="149" t="s">
        <v>243</v>
      </c>
      <c r="E43" s="21" t="str">
        <f>IFERROR(__xludf.DUMMYFUNCTION("CONCATENATE(REGEXEXTRACT(D43,""[\d]+""),""GB"")"),"10GB")</f>
        <v>10GB</v>
      </c>
      <c r="F43" s="21" t="str">
        <f t="shared" si="1"/>
        <v>Conta de Email (10Gb) 500 Cx NOVO10GB</v>
      </c>
      <c r="G43" s="73">
        <v>1.0</v>
      </c>
      <c r="H43" s="73">
        <v>500.0</v>
      </c>
      <c r="I43" s="48" t="s">
        <v>110</v>
      </c>
      <c r="J43" s="68">
        <v>5087.29</v>
      </c>
      <c r="K43" s="50" t="s">
        <v>81</v>
      </c>
      <c r="L43" s="51"/>
      <c r="M43" s="54">
        <f>(if(L43="sob consulta","sob consulta", ROUND(L43*(1+pconfig!$B$6),2)))</f>
        <v>0</v>
      </c>
      <c r="N43" s="51"/>
      <c r="O43" s="68">
        <f t="shared" si="2"/>
        <v>10.17458</v>
      </c>
      <c r="P43" s="54">
        <f>ROUND(O43*(1+pconfig!$B$6),2)</f>
        <v>10.51</v>
      </c>
    </row>
    <row r="44" ht="22.5" customHeight="1">
      <c r="A44" s="21" t="s">
        <v>244</v>
      </c>
      <c r="B44" s="21" t="s">
        <v>245</v>
      </c>
      <c r="C44" s="122">
        <v>5530.0</v>
      </c>
      <c r="D44" s="149" t="s">
        <v>246</v>
      </c>
      <c r="E44" s="21" t="str">
        <f>IFERROR(__xludf.DUMMYFUNCTION("CONCATENATE(REGEXEXTRACT(D44,""[\d]+""),""GB"")"),"10GB")</f>
        <v>10GB</v>
      </c>
      <c r="F44" s="21" t="str">
        <f t="shared" si="1"/>
        <v>Conta de Email (10Gb) 1000 Cx NOVO10GB</v>
      </c>
      <c r="G44" s="73">
        <v>1.0</v>
      </c>
      <c r="H44" s="73">
        <v>1000.0</v>
      </c>
      <c r="I44" s="48" t="s">
        <v>110</v>
      </c>
      <c r="J44" s="68">
        <v>10072.27</v>
      </c>
      <c r="K44" s="50" t="s">
        <v>81</v>
      </c>
      <c r="L44" s="51"/>
      <c r="M44" s="54">
        <f>(if(L44="sob consulta","sob consulta", ROUND(L44*(1+pconfig!$B$6),2)))</f>
        <v>0</v>
      </c>
      <c r="N44" s="51"/>
      <c r="O44" s="68">
        <f t="shared" si="2"/>
        <v>10.07227</v>
      </c>
      <c r="P44" s="54">
        <f>ROUND(O44*(1+pconfig!$B$6),2)</f>
        <v>10.4</v>
      </c>
    </row>
    <row r="45" ht="22.5" customHeight="1">
      <c r="A45" s="21" t="s">
        <v>247</v>
      </c>
      <c r="B45" s="21" t="s">
        <v>248</v>
      </c>
      <c r="C45" s="140">
        <v>5530.0</v>
      </c>
      <c r="D45" s="149" t="s">
        <v>249</v>
      </c>
      <c r="E45" s="21" t="str">
        <f>IFERROR(__xludf.DUMMYFUNCTION("CONCATENATE(REGEXEXTRACT(D45,""[\d]+""),""GB"")"),"15GB")</f>
        <v>15GB</v>
      </c>
      <c r="F45" s="21" t="str">
        <f t="shared" si="1"/>
        <v>Conta de Email (15Gb) 1 Cx NOVO15GB</v>
      </c>
      <c r="G45" s="73">
        <v>1.0</v>
      </c>
      <c r="H45" s="73">
        <v>1.0</v>
      </c>
      <c r="I45" s="48" t="s">
        <v>110</v>
      </c>
      <c r="J45" s="68">
        <v>14.54</v>
      </c>
      <c r="K45" s="50" t="s">
        <v>81</v>
      </c>
      <c r="L45" s="51"/>
      <c r="M45" s="54">
        <f>(if(L45="sob consulta","sob consulta", ROUND(L45*(1+pconfig!$B$6),2)))</f>
        <v>0</v>
      </c>
      <c r="N45" s="51"/>
      <c r="O45" s="68">
        <f t="shared" si="2"/>
        <v>14.54</v>
      </c>
      <c r="P45" s="54">
        <f>ROUND(O45*(1+pconfig!$B$6),2)</f>
        <v>15.02</v>
      </c>
    </row>
    <row r="46" ht="22.5" customHeight="1">
      <c r="A46" s="21" t="s">
        <v>250</v>
      </c>
      <c r="B46" s="21" t="s">
        <v>251</v>
      </c>
      <c r="C46" s="122">
        <v>5530.0</v>
      </c>
      <c r="D46" s="149" t="s">
        <v>252</v>
      </c>
      <c r="E46" s="21" t="str">
        <f>IFERROR(__xludf.DUMMYFUNCTION("CONCATENATE(REGEXEXTRACT(D46,""[\d]+""),""GB"")"),"15GB")</f>
        <v>15GB</v>
      </c>
      <c r="F46" s="21" t="str">
        <f t="shared" si="1"/>
        <v>Conta de Email (15Gb) 25 Cx NOVO15GB</v>
      </c>
      <c r="G46" s="73">
        <v>1.0</v>
      </c>
      <c r="H46" s="73">
        <v>25.0</v>
      </c>
      <c r="I46" s="48" t="s">
        <v>110</v>
      </c>
      <c r="J46" s="68">
        <v>349.01</v>
      </c>
      <c r="K46" s="50" t="s">
        <v>81</v>
      </c>
      <c r="L46" s="51"/>
      <c r="M46" s="54">
        <f>(if(L46="sob consulta","sob consulta", ROUND(L46*(1+pconfig!$B$6),2)))</f>
        <v>0</v>
      </c>
      <c r="N46" s="51"/>
      <c r="O46" s="68">
        <f t="shared" si="2"/>
        <v>13.9604</v>
      </c>
      <c r="P46" s="54">
        <f>ROUND(O46*(1+pconfig!$B$6),2)</f>
        <v>14.42</v>
      </c>
    </row>
    <row r="47" ht="22.5" customHeight="1">
      <c r="A47" s="21" t="s">
        <v>253</v>
      </c>
      <c r="B47" s="21" t="s">
        <v>254</v>
      </c>
      <c r="C47" s="140">
        <v>5530.0</v>
      </c>
      <c r="D47" s="149" t="s">
        <v>256</v>
      </c>
      <c r="E47" s="21" t="str">
        <f>IFERROR(__xludf.DUMMYFUNCTION("CONCATENATE(REGEXEXTRACT(D47,""[\d]+""),""GB"")"),"15GB")</f>
        <v>15GB</v>
      </c>
      <c r="F47" s="21" t="str">
        <f t="shared" si="1"/>
        <v>Conta de Email (15Gb) 50 Cx NOVO15GB</v>
      </c>
      <c r="G47" s="73">
        <v>1.0</v>
      </c>
      <c r="H47" s="73">
        <v>50.0</v>
      </c>
      <c r="I47" s="48" t="s">
        <v>110</v>
      </c>
      <c r="J47" s="68">
        <v>683.23</v>
      </c>
      <c r="K47" s="50" t="s">
        <v>81</v>
      </c>
      <c r="L47" s="51"/>
      <c r="M47" s="54">
        <f>(if(L47="sob consulta","sob consulta", ROUND(L47*(1+pconfig!$B$6),2)))</f>
        <v>0</v>
      </c>
      <c r="N47" s="51"/>
      <c r="O47" s="68">
        <f t="shared" si="2"/>
        <v>13.6646</v>
      </c>
      <c r="P47" s="54">
        <f>ROUND(O47*(1+pconfig!$B$6),2)</f>
        <v>14.11</v>
      </c>
    </row>
    <row r="48" ht="22.5" customHeight="1">
      <c r="A48" s="21" t="s">
        <v>260</v>
      </c>
      <c r="B48" s="21" t="s">
        <v>261</v>
      </c>
      <c r="C48" s="122">
        <v>5530.0</v>
      </c>
      <c r="D48" s="149" t="s">
        <v>262</v>
      </c>
      <c r="E48" s="21" t="str">
        <f>IFERROR(__xludf.DUMMYFUNCTION("CONCATENATE(REGEXEXTRACT(D48,""[\d]+""),""GB"")"),"15GB")</f>
        <v>15GB</v>
      </c>
      <c r="F48" s="21" t="str">
        <f t="shared" si="1"/>
        <v>Conta de Email (15Gb) 100 Cx NOVO15GB</v>
      </c>
      <c r="G48" s="73">
        <v>1.0</v>
      </c>
      <c r="H48" s="73">
        <v>100.0</v>
      </c>
      <c r="I48" s="48" t="s">
        <v>110</v>
      </c>
      <c r="J48" s="68">
        <v>1338.04</v>
      </c>
      <c r="K48" s="50" t="s">
        <v>81</v>
      </c>
      <c r="L48" s="51"/>
      <c r="M48" s="54">
        <f>(if(L48="sob consulta","sob consulta", ROUND(L48*(1+pconfig!$B$6),2)))</f>
        <v>0</v>
      </c>
      <c r="N48" s="51"/>
      <c r="O48" s="68">
        <f t="shared" si="2"/>
        <v>13.3804</v>
      </c>
      <c r="P48" s="54">
        <f>ROUND(O48*(1+pconfig!$B$6),2)</f>
        <v>13.82</v>
      </c>
    </row>
    <row r="49" ht="22.5" customHeight="1">
      <c r="A49" s="21" t="s">
        <v>263</v>
      </c>
      <c r="B49" s="21" t="s">
        <v>264</v>
      </c>
      <c r="C49" s="140">
        <v>5530.0</v>
      </c>
      <c r="D49" s="149" t="s">
        <v>265</v>
      </c>
      <c r="E49" s="21" t="str">
        <f>IFERROR(__xludf.DUMMYFUNCTION("CONCATENATE(REGEXEXTRACT(D49,""[\d]+""),""GB"")"),"15GB")</f>
        <v>15GB</v>
      </c>
      <c r="F49" s="21" t="str">
        <f t="shared" si="1"/>
        <v>Conta de Email (15Gb) 500 Cx NOVO15GB</v>
      </c>
      <c r="G49" s="73">
        <v>1.0</v>
      </c>
      <c r="H49" s="73">
        <v>500.0</v>
      </c>
      <c r="I49" s="48" t="s">
        <v>110</v>
      </c>
      <c r="J49" s="68">
        <v>6616.32</v>
      </c>
      <c r="K49" s="50" t="s">
        <v>81</v>
      </c>
      <c r="L49" s="51"/>
      <c r="M49" s="54">
        <f>(if(L49="sob consulta","sob consulta", ROUND(L49*(1+pconfig!$B$6),2)))</f>
        <v>0</v>
      </c>
      <c r="N49" s="51"/>
      <c r="O49" s="68">
        <f t="shared" si="2"/>
        <v>13.23264</v>
      </c>
      <c r="P49" s="54">
        <f>ROUND(O49*(1+pconfig!$B$6),2)</f>
        <v>13.67</v>
      </c>
    </row>
    <row r="50" ht="22.5" customHeight="1">
      <c r="A50" s="21" t="s">
        <v>266</v>
      </c>
      <c r="B50" s="21" t="s">
        <v>267</v>
      </c>
      <c r="C50" s="122">
        <v>5530.0</v>
      </c>
      <c r="D50" s="149" t="s">
        <v>268</v>
      </c>
      <c r="E50" s="21" t="str">
        <f>IFERROR(__xludf.DUMMYFUNCTION("CONCATENATE(REGEXEXTRACT(D50,""[\d]+""),""GB"")"),"15GB")</f>
        <v>15GB</v>
      </c>
      <c r="F50" s="21" t="str">
        <f t="shared" si="1"/>
        <v>Conta de Email (15Gb) 1000 Cx NOVO15GB</v>
      </c>
      <c r="G50" s="73">
        <v>1.0</v>
      </c>
      <c r="H50" s="73">
        <v>1000.0</v>
      </c>
      <c r="I50" s="48" t="s">
        <v>110</v>
      </c>
      <c r="J50" s="68">
        <v>13084.86</v>
      </c>
      <c r="K50" s="50" t="s">
        <v>81</v>
      </c>
      <c r="L50" s="51"/>
      <c r="M50" s="54">
        <f>(if(L50="sob consulta","sob consulta", ROUND(L50*(1+pconfig!$B$6),2)))</f>
        <v>0</v>
      </c>
      <c r="N50" s="51"/>
      <c r="O50" s="68">
        <f t="shared" si="2"/>
        <v>13.08486</v>
      </c>
      <c r="P50" s="54">
        <f>ROUND(O50*(1+pconfig!$B$6),2)</f>
        <v>13.51</v>
      </c>
    </row>
    <row r="51" ht="22.5" customHeight="1">
      <c r="A51" s="21" t="s">
        <v>269</v>
      </c>
      <c r="B51" s="21" t="s">
        <v>270</v>
      </c>
      <c r="C51" s="140">
        <v>5530.0</v>
      </c>
      <c r="D51" s="149" t="s">
        <v>271</v>
      </c>
      <c r="E51" s="21" t="str">
        <f>IFERROR(__xludf.DUMMYFUNCTION("CONCATENATE(REGEXEXTRACT(D51,""[\d]+""),""GB"")"),"20GB")</f>
        <v>20GB</v>
      </c>
      <c r="F51" s="21" t="str">
        <f t="shared" si="1"/>
        <v>Conta de Email (20Gb) 1 Cx NOVO20GB</v>
      </c>
      <c r="G51" s="73">
        <v>1.0</v>
      </c>
      <c r="H51" s="73">
        <v>1.0</v>
      </c>
      <c r="I51" s="48" t="s">
        <v>110</v>
      </c>
      <c r="J51" s="68">
        <v>18.91</v>
      </c>
      <c r="K51" s="50" t="s">
        <v>81</v>
      </c>
      <c r="L51" s="51"/>
      <c r="M51" s="54">
        <f>(if(L51="sob consulta","sob consulta", ROUND(L51*(1+pconfig!$B$6),2)))</f>
        <v>0</v>
      </c>
      <c r="N51" s="51"/>
      <c r="O51" s="68">
        <f t="shared" si="2"/>
        <v>18.91</v>
      </c>
      <c r="P51" s="54">
        <f>ROUND(O51*(1+pconfig!$B$6),2)</f>
        <v>19.53</v>
      </c>
    </row>
    <row r="52" ht="22.5" customHeight="1">
      <c r="A52" s="21" t="s">
        <v>272</v>
      </c>
      <c r="B52" s="21" t="s">
        <v>273</v>
      </c>
      <c r="C52" s="122">
        <v>5530.0</v>
      </c>
      <c r="D52" s="149" t="s">
        <v>274</v>
      </c>
      <c r="E52" s="21" t="str">
        <f>IFERROR(__xludf.DUMMYFUNCTION("CONCATENATE(REGEXEXTRACT(D52,""[\d]+""),""GB"")"),"20GB")</f>
        <v>20GB</v>
      </c>
      <c r="F52" s="21" t="str">
        <f t="shared" si="1"/>
        <v>Conta de Email (20Gb) 25 Cx NOVO20GB</v>
      </c>
      <c r="G52" s="73">
        <v>1.0</v>
      </c>
      <c r="H52" s="73">
        <v>25.0</v>
      </c>
      <c r="I52" s="48" t="s">
        <v>110</v>
      </c>
      <c r="J52" s="68">
        <v>453.59</v>
      </c>
      <c r="K52" s="50" t="s">
        <v>81</v>
      </c>
      <c r="L52" s="51"/>
      <c r="M52" s="54">
        <f>(if(L52="sob consulta","sob consulta", ROUND(L52*(1+pconfig!$B$6),2)))</f>
        <v>0</v>
      </c>
      <c r="N52" s="51"/>
      <c r="O52" s="68">
        <f t="shared" si="2"/>
        <v>18.1436</v>
      </c>
      <c r="P52" s="54">
        <f>ROUND(O52*(1+pconfig!$B$6),2)</f>
        <v>18.74</v>
      </c>
    </row>
    <row r="53" ht="22.5" customHeight="1">
      <c r="A53" s="21" t="s">
        <v>276</v>
      </c>
      <c r="B53" s="21" t="s">
        <v>277</v>
      </c>
      <c r="C53" s="140">
        <v>5530.0</v>
      </c>
      <c r="D53" s="149" t="s">
        <v>279</v>
      </c>
      <c r="E53" s="21" t="str">
        <f>IFERROR(__xludf.DUMMYFUNCTION("CONCATENATE(REGEXEXTRACT(D53,""[\d]+""),""GB"")"),"20GB")</f>
        <v>20GB</v>
      </c>
      <c r="F53" s="21" t="str">
        <f t="shared" si="1"/>
        <v>Conta de Email (20Gb) 50 Cx NOVO20GB</v>
      </c>
      <c r="G53" s="73">
        <v>1.0</v>
      </c>
      <c r="H53" s="73">
        <v>50.0</v>
      </c>
      <c r="I53" s="48" t="s">
        <v>110</v>
      </c>
      <c r="J53" s="68">
        <v>887.86</v>
      </c>
      <c r="K53" s="50" t="s">
        <v>81</v>
      </c>
      <c r="L53" s="51"/>
      <c r="M53" s="54">
        <f>(if(L53="sob consulta","sob consulta", ROUND(L53*(1+pconfig!$B$6),2)))</f>
        <v>0</v>
      </c>
      <c r="N53" s="51"/>
      <c r="O53" s="68">
        <f t="shared" si="2"/>
        <v>17.7572</v>
      </c>
      <c r="P53" s="54">
        <f>ROUND(O53*(1+pconfig!$B$6),2)</f>
        <v>18.34</v>
      </c>
    </row>
    <row r="54" ht="22.5" customHeight="1">
      <c r="A54" s="21" t="s">
        <v>281</v>
      </c>
      <c r="B54" s="21" t="s">
        <v>282</v>
      </c>
      <c r="C54" s="122">
        <v>5530.0</v>
      </c>
      <c r="D54" s="149" t="s">
        <v>283</v>
      </c>
      <c r="E54" s="21" t="str">
        <f>IFERROR(__xludf.DUMMYFUNCTION("CONCATENATE(REGEXEXTRACT(D54,""[\d]+""),""GB"")"),"20GB")</f>
        <v>20GB</v>
      </c>
      <c r="F54" s="21" t="str">
        <f t="shared" si="1"/>
        <v>Conta de Email (20Gb) 100 Cx NOVO20GB</v>
      </c>
      <c r="G54" s="73">
        <v>1.0</v>
      </c>
      <c r="H54" s="73">
        <v>100.0</v>
      </c>
      <c r="I54" s="48" t="s">
        <v>110</v>
      </c>
      <c r="J54" s="68">
        <v>1738.21</v>
      </c>
      <c r="K54" s="50" t="s">
        <v>81</v>
      </c>
      <c r="L54" s="51"/>
      <c r="M54" s="54">
        <f>(if(L54="sob consulta","sob consulta", ROUND(L54*(1+pconfig!$B$6),2)))</f>
        <v>0</v>
      </c>
      <c r="N54" s="51"/>
      <c r="O54" s="68">
        <f t="shared" si="2"/>
        <v>17.3821</v>
      </c>
      <c r="P54" s="54">
        <f>ROUND(O54*(1+pconfig!$B$6),2)</f>
        <v>17.95</v>
      </c>
    </row>
    <row r="55" ht="22.5" customHeight="1">
      <c r="A55" s="21" t="s">
        <v>284</v>
      </c>
      <c r="B55" s="21" t="s">
        <v>285</v>
      </c>
      <c r="C55" s="140">
        <v>5530.0</v>
      </c>
      <c r="D55" s="149" t="s">
        <v>286</v>
      </c>
      <c r="E55" s="21" t="str">
        <f>IFERROR(__xludf.DUMMYFUNCTION("CONCATENATE(REGEXEXTRACT(D55,""[\d]+""),""GB"")"),"20GB")</f>
        <v>20GB</v>
      </c>
      <c r="F55" s="21" t="str">
        <f t="shared" si="1"/>
        <v>Conta de Email (20Gb) 500 Cx NOVO20GB</v>
      </c>
      <c r="G55" s="73">
        <v>1.0</v>
      </c>
      <c r="H55" s="73">
        <v>500.0</v>
      </c>
      <c r="I55" s="48" t="s">
        <v>110</v>
      </c>
      <c r="J55" s="68">
        <v>8600.08</v>
      </c>
      <c r="K55" s="50" t="s">
        <v>81</v>
      </c>
      <c r="L55" s="51"/>
      <c r="M55" s="54">
        <f>(if(L55="sob consulta","sob consulta", ROUND(L55*(1+pconfig!$B$6),2)))</f>
        <v>0</v>
      </c>
      <c r="N55" s="51"/>
      <c r="O55" s="68">
        <f t="shared" si="2"/>
        <v>17.20016</v>
      </c>
      <c r="P55" s="54">
        <f>ROUND(O55*(1+pconfig!$B$6),2)</f>
        <v>17.76</v>
      </c>
    </row>
    <row r="56" ht="22.5" customHeight="1">
      <c r="A56" s="21" t="s">
        <v>287</v>
      </c>
      <c r="B56" s="21" t="s">
        <v>288</v>
      </c>
      <c r="C56" s="122">
        <v>5530.0</v>
      </c>
      <c r="D56" s="149" t="s">
        <v>289</v>
      </c>
      <c r="E56" s="21" t="str">
        <f>IFERROR(__xludf.DUMMYFUNCTION("CONCATENATE(REGEXEXTRACT(D56,""[\d]+""),""GB"")"),"20GB")</f>
        <v>20GB</v>
      </c>
      <c r="F56" s="21" t="str">
        <f t="shared" si="1"/>
        <v>Conta de Email (20Gb) 1000 Cx NOVO20GB</v>
      </c>
      <c r="G56" s="73">
        <v>1.0</v>
      </c>
      <c r="H56" s="73">
        <v>1000.0</v>
      </c>
      <c r="I56" s="48" t="s">
        <v>110</v>
      </c>
      <c r="J56" s="68">
        <v>17012.59</v>
      </c>
      <c r="K56" s="50" t="s">
        <v>81</v>
      </c>
      <c r="L56" s="51"/>
      <c r="M56" s="54">
        <f>(if(L56="sob consulta","sob consulta", ROUND(L56*(1+pconfig!$B$6),2)))</f>
        <v>0</v>
      </c>
      <c r="N56" s="51"/>
      <c r="O56" s="68">
        <f t="shared" si="2"/>
        <v>17.01259</v>
      </c>
      <c r="P56" s="54">
        <f>ROUND(O56*(1+pconfig!$B$6),2)</f>
        <v>17.57</v>
      </c>
    </row>
    <row r="57" ht="22.5" customHeight="1">
      <c r="A57" s="21" t="s">
        <v>290</v>
      </c>
      <c r="B57" s="21" t="s">
        <v>291</v>
      </c>
      <c r="C57" s="140">
        <v>5530.0</v>
      </c>
      <c r="D57" s="149" t="s">
        <v>292</v>
      </c>
      <c r="E57" s="21" t="str">
        <f>IFERROR(__xludf.DUMMYFUNCTION("CONCATENATE(REGEXEXTRACT(D57,""[\d]+""),""GB"")"),"25GB")</f>
        <v>25GB</v>
      </c>
      <c r="F57" s="21" t="str">
        <f t="shared" si="1"/>
        <v>Conta de Email (25Gb) 1 Cx NOVO25GB</v>
      </c>
      <c r="G57" s="73">
        <v>1.0</v>
      </c>
      <c r="H57" s="73">
        <v>1.0</v>
      </c>
      <c r="I57" s="48" t="s">
        <v>110</v>
      </c>
      <c r="J57" s="68">
        <v>24.57</v>
      </c>
      <c r="K57" s="50" t="s">
        <v>81</v>
      </c>
      <c r="L57" s="51"/>
      <c r="M57" s="54">
        <f>(if(L57="sob consulta","sob consulta", ROUND(L57*(1+pconfig!$B$6),2)))</f>
        <v>0</v>
      </c>
      <c r="N57" s="51"/>
      <c r="O57" s="68">
        <f t="shared" si="2"/>
        <v>24.57</v>
      </c>
      <c r="P57" s="54">
        <f>ROUND(O57*(1+pconfig!$B$6),2)</f>
        <v>25.38</v>
      </c>
    </row>
    <row r="58" ht="22.5" customHeight="1">
      <c r="A58" s="21" t="s">
        <v>293</v>
      </c>
      <c r="B58" s="21" t="s">
        <v>294</v>
      </c>
      <c r="C58" s="122">
        <v>5530.0</v>
      </c>
      <c r="D58" s="149" t="s">
        <v>295</v>
      </c>
      <c r="E58" s="21" t="str">
        <f>IFERROR(__xludf.DUMMYFUNCTION("CONCATENATE(REGEXEXTRACT(D58,""[\d]+""),""GB"")"),"25GB")</f>
        <v>25GB</v>
      </c>
      <c r="F58" s="21" t="str">
        <f t="shared" si="1"/>
        <v>Conta de Email (25Gb) 25 Cx NOVO25GB</v>
      </c>
      <c r="G58" s="73">
        <v>1.0</v>
      </c>
      <c r="H58" s="73">
        <v>25.0</v>
      </c>
      <c r="I58" s="48" t="s">
        <v>110</v>
      </c>
      <c r="J58" s="68">
        <v>590.01</v>
      </c>
      <c r="K58" s="50" t="s">
        <v>81</v>
      </c>
      <c r="L58" s="51"/>
      <c r="M58" s="54">
        <f>(if(L58="sob consulta","sob consulta", ROUND(L58*(1+pconfig!$B$6),2)))</f>
        <v>0</v>
      </c>
      <c r="N58" s="51"/>
      <c r="O58" s="68">
        <f t="shared" si="2"/>
        <v>23.6004</v>
      </c>
      <c r="P58" s="54">
        <f>ROUND(O58*(1+pconfig!$B$6),2)</f>
        <v>24.37</v>
      </c>
    </row>
    <row r="59" ht="22.5" customHeight="1">
      <c r="A59" s="21" t="s">
        <v>298</v>
      </c>
      <c r="B59" s="21" t="s">
        <v>299</v>
      </c>
      <c r="C59" s="140">
        <v>5530.0</v>
      </c>
      <c r="D59" s="149" t="s">
        <v>300</v>
      </c>
      <c r="E59" s="21" t="str">
        <f>IFERROR(__xludf.DUMMYFUNCTION("CONCATENATE(REGEXEXTRACT(D59,""[\d]+""),""GB"")"),"25GB")</f>
        <v>25GB</v>
      </c>
      <c r="F59" s="21" t="str">
        <f t="shared" si="1"/>
        <v>Conta de Email (25Gb) 50 Cx NOVO25GB</v>
      </c>
      <c r="G59" s="73">
        <v>1.0</v>
      </c>
      <c r="H59" s="73">
        <v>50.0</v>
      </c>
      <c r="I59" s="48" t="s">
        <v>110</v>
      </c>
      <c r="J59" s="68">
        <v>1155.01</v>
      </c>
      <c r="K59" s="50" t="s">
        <v>81</v>
      </c>
      <c r="L59" s="51"/>
      <c r="M59" s="54">
        <f>(if(L59="sob consulta","sob consulta", ROUND(L59*(1+pconfig!$B$6),2)))</f>
        <v>0</v>
      </c>
      <c r="N59" s="51"/>
      <c r="O59" s="68">
        <f t="shared" si="2"/>
        <v>23.1002</v>
      </c>
      <c r="P59" s="54">
        <f>ROUND(O59*(1+pconfig!$B$6),2)</f>
        <v>23.86</v>
      </c>
    </row>
    <row r="60" ht="22.5" customHeight="1">
      <c r="A60" s="21" t="s">
        <v>301</v>
      </c>
      <c r="B60" s="21" t="s">
        <v>302</v>
      </c>
      <c r="C60" s="122">
        <v>5530.0</v>
      </c>
      <c r="D60" s="149" t="s">
        <v>303</v>
      </c>
      <c r="E60" s="21" t="str">
        <f>IFERROR(__xludf.DUMMYFUNCTION("CONCATENATE(REGEXEXTRACT(D60,""[\d]+""),""GB"")"),"25GB")</f>
        <v>25GB</v>
      </c>
      <c r="F60" s="21" t="str">
        <f t="shared" si="1"/>
        <v>Conta de Email (25Gb) 100 Cx NOVO25GB</v>
      </c>
      <c r="G60" s="73">
        <v>1.0</v>
      </c>
      <c r="H60" s="73">
        <v>100.0</v>
      </c>
      <c r="I60" s="48" t="s">
        <v>110</v>
      </c>
      <c r="J60" s="68">
        <v>2170.2</v>
      </c>
      <c r="K60" s="50" t="s">
        <v>81</v>
      </c>
      <c r="L60" s="51"/>
      <c r="M60" s="54">
        <f>(if(L60="sob consulta","sob consulta", ROUND(L60*(1+pconfig!$B$6),2)))</f>
        <v>0</v>
      </c>
      <c r="N60" s="51"/>
      <c r="O60" s="68">
        <f t="shared" si="2"/>
        <v>21.702</v>
      </c>
      <c r="P60" s="54">
        <f>ROUND(O60*(1+pconfig!$B$6),2)</f>
        <v>22.41</v>
      </c>
    </row>
    <row r="61" ht="22.5" customHeight="1">
      <c r="A61" s="21" t="s">
        <v>304</v>
      </c>
      <c r="B61" s="21" t="s">
        <v>305</v>
      </c>
      <c r="C61" s="140">
        <v>5530.0</v>
      </c>
      <c r="D61" s="149" t="s">
        <v>306</v>
      </c>
      <c r="E61" s="21" t="str">
        <f>IFERROR(__xludf.DUMMYFUNCTION("CONCATENATE(REGEXEXTRACT(D61,""[\d]+""),""GB"")"),"25GB")</f>
        <v>25GB</v>
      </c>
      <c r="F61" s="21" t="str">
        <f t="shared" si="1"/>
        <v>Conta de Email (25Gb) 500 Cx NOVO25GB</v>
      </c>
      <c r="G61" s="73">
        <v>1.0</v>
      </c>
      <c r="H61" s="73">
        <v>500.0</v>
      </c>
      <c r="I61" s="48" t="s">
        <v>110</v>
      </c>
      <c r="J61" s="68">
        <v>11180.68</v>
      </c>
      <c r="K61" s="50" t="s">
        <v>81</v>
      </c>
      <c r="L61" s="155"/>
      <c r="M61" s="54">
        <f>(if(L61="sob consulta","sob consulta", ROUND(L61*(1+pconfig!$B$6),2)))</f>
        <v>0</v>
      </c>
      <c r="N61" s="155"/>
      <c r="O61" s="68">
        <f t="shared" si="2"/>
        <v>22.36136</v>
      </c>
      <c r="P61" s="54">
        <f>ROUND(O61*(1+pconfig!$B$6),2)</f>
        <v>23.09</v>
      </c>
    </row>
    <row r="62" ht="22.5" customHeight="1">
      <c r="A62" s="21" t="s">
        <v>307</v>
      </c>
      <c r="B62" s="21" t="s">
        <v>308</v>
      </c>
      <c r="C62" s="122">
        <v>5530.0</v>
      </c>
      <c r="D62" s="149" t="s">
        <v>309</v>
      </c>
      <c r="E62" s="21" t="str">
        <f>IFERROR(__xludf.DUMMYFUNCTION("CONCATENATE(REGEXEXTRACT(D62,""[\d]+""),""GB"")"),"25GB")</f>
        <v>25GB</v>
      </c>
      <c r="F62" s="21" t="str">
        <f t="shared" si="1"/>
        <v>Conta de Email (25Gb) 1000 Cx NOVO25GB</v>
      </c>
      <c r="G62" s="73">
        <v>1.0</v>
      </c>
      <c r="H62" s="73">
        <v>1000.0</v>
      </c>
      <c r="I62" s="48" t="s">
        <v>110</v>
      </c>
      <c r="J62" s="68">
        <v>22122.62</v>
      </c>
      <c r="K62" s="50" t="s">
        <v>81</v>
      </c>
      <c r="L62" s="155"/>
      <c r="M62" s="54">
        <f>(if(L62="sob consulta","sob consulta", ROUND(L62*(1+pconfig!$B$6),2)))</f>
        <v>0</v>
      </c>
      <c r="N62" s="155"/>
      <c r="O62" s="68">
        <f t="shared" si="2"/>
        <v>22.12262</v>
      </c>
      <c r="P62" s="54">
        <f>ROUND(O62*(1+pconfig!$B$6),2)</f>
        <v>22.85</v>
      </c>
    </row>
    <row r="63" ht="22.5" customHeight="1">
      <c r="A63" s="21" t="s">
        <v>310</v>
      </c>
      <c r="B63" s="21" t="s">
        <v>311</v>
      </c>
      <c r="C63" s="140">
        <v>5530.0</v>
      </c>
      <c r="D63" s="149" t="s">
        <v>312</v>
      </c>
      <c r="E63" s="21" t="str">
        <f>IFERROR(__xludf.DUMMYFUNCTION("CONCATENATE(REGEXEXTRACT(D63,""[\d]+""),""GB"")"),"30GB")</f>
        <v>30GB</v>
      </c>
      <c r="F63" s="21" t="str">
        <f t="shared" si="1"/>
        <v>Conta de Email (30Gb) 1 Cx NOVO30GB</v>
      </c>
      <c r="G63" s="73">
        <v>1.0</v>
      </c>
      <c r="H63" s="73">
        <v>1.0</v>
      </c>
      <c r="I63" s="48" t="s">
        <v>110</v>
      </c>
      <c r="J63" s="68">
        <v>31.94</v>
      </c>
      <c r="K63" s="50" t="s">
        <v>81</v>
      </c>
      <c r="L63" s="155"/>
      <c r="M63" s="54">
        <f>(if(L63="sob consulta","sob consulta", ROUND(L63*(1+pconfig!$B$6),2)))</f>
        <v>0</v>
      </c>
      <c r="N63" s="155"/>
      <c r="O63" s="68">
        <f t="shared" si="2"/>
        <v>31.94</v>
      </c>
      <c r="P63" s="54">
        <f>ROUND(O63*(1+pconfig!$B$6),2)</f>
        <v>32.99</v>
      </c>
    </row>
    <row r="64" ht="22.5" customHeight="1">
      <c r="A64" s="21" t="s">
        <v>313</v>
      </c>
      <c r="B64" s="21" t="s">
        <v>314</v>
      </c>
      <c r="C64" s="122">
        <v>5530.0</v>
      </c>
      <c r="D64" s="149" t="s">
        <v>315</v>
      </c>
      <c r="E64" s="21" t="str">
        <f>IFERROR(__xludf.DUMMYFUNCTION("CONCATENATE(REGEXEXTRACT(D64,""[\d]+""),""GB"")"),"30GB")</f>
        <v>30GB</v>
      </c>
      <c r="F64" s="21" t="str">
        <f t="shared" si="1"/>
        <v>Conta de Email (30Gb) 25 Cx NOVO30GB</v>
      </c>
      <c r="G64" s="73">
        <v>1.0</v>
      </c>
      <c r="H64" s="73">
        <v>25.0</v>
      </c>
      <c r="I64" s="48" t="s">
        <v>110</v>
      </c>
      <c r="J64" s="68">
        <v>767.07</v>
      </c>
      <c r="K64" s="50" t="s">
        <v>81</v>
      </c>
      <c r="L64" s="155"/>
      <c r="M64" s="54">
        <f>(if(L64="sob consulta","sob consulta", ROUND(L64*(1+pconfig!$B$6),2)))</f>
        <v>0</v>
      </c>
      <c r="N64" s="155"/>
      <c r="O64" s="68">
        <f t="shared" si="2"/>
        <v>30.6828</v>
      </c>
      <c r="P64" s="54">
        <f>ROUND(O64*(1+pconfig!$B$6),2)</f>
        <v>31.69</v>
      </c>
    </row>
    <row r="65" ht="22.5" customHeight="1">
      <c r="A65" s="21" t="s">
        <v>316</v>
      </c>
      <c r="B65" s="21" t="s">
        <v>317</v>
      </c>
      <c r="C65" s="140">
        <v>5530.0</v>
      </c>
      <c r="D65" s="149" t="s">
        <v>318</v>
      </c>
      <c r="E65" s="21" t="str">
        <f>IFERROR(__xludf.DUMMYFUNCTION("CONCATENATE(REGEXEXTRACT(D65,""[\d]+""),""GB"")"),"30GB")</f>
        <v>30GB</v>
      </c>
      <c r="F65" s="21" t="str">
        <f t="shared" si="1"/>
        <v>Conta de Email (30Gb) 50 Cx NOVO30GB</v>
      </c>
      <c r="G65" s="73">
        <v>1.0</v>
      </c>
      <c r="H65" s="73">
        <v>50.0</v>
      </c>
      <c r="I65" s="48" t="s">
        <v>110</v>
      </c>
      <c r="J65" s="68">
        <v>1501.75</v>
      </c>
      <c r="K65" s="50" t="s">
        <v>81</v>
      </c>
      <c r="L65" s="155"/>
      <c r="M65" s="54">
        <f>(if(L65="sob consulta","sob consulta", ROUND(L65*(1+pconfig!$B$6),2)))</f>
        <v>0</v>
      </c>
      <c r="N65" s="155"/>
      <c r="O65" s="68">
        <f t="shared" si="2"/>
        <v>30.035</v>
      </c>
      <c r="P65" s="54">
        <f>ROUND(O65*(1+pconfig!$B$6),2)</f>
        <v>31.02</v>
      </c>
    </row>
    <row r="66" ht="22.5" customHeight="1">
      <c r="A66" s="21" t="s">
        <v>319</v>
      </c>
      <c r="B66" s="21" t="s">
        <v>320</v>
      </c>
      <c r="C66" s="122">
        <v>5530.0</v>
      </c>
      <c r="D66" s="149" t="s">
        <v>321</v>
      </c>
      <c r="E66" s="21" t="str">
        <f>IFERROR(__xludf.DUMMYFUNCTION("CONCATENATE(REGEXEXTRACT(D66,""[\d]+""),""GB"")"),"30GB")</f>
        <v>30GB</v>
      </c>
      <c r="F66" s="21" t="str">
        <f t="shared" si="1"/>
        <v>Conta de Email (30Gb) 100 Cx NOVO30GB</v>
      </c>
      <c r="G66" s="73">
        <v>1.0</v>
      </c>
      <c r="H66" s="73">
        <v>100.0</v>
      </c>
      <c r="I66" s="48" t="s">
        <v>110</v>
      </c>
      <c r="J66" s="68">
        <v>2939.83</v>
      </c>
      <c r="K66" s="50" t="s">
        <v>81</v>
      </c>
      <c r="L66" s="155"/>
      <c r="M66" s="54">
        <f>(if(L66="sob consulta","sob consulta", ROUND(L66*(1+pconfig!$B$6),2)))</f>
        <v>0</v>
      </c>
      <c r="N66" s="155"/>
      <c r="O66" s="68">
        <f t="shared" si="2"/>
        <v>29.3983</v>
      </c>
      <c r="P66" s="54">
        <f>ROUND(O66*(1+pconfig!$B$6),2)</f>
        <v>30.36</v>
      </c>
    </row>
    <row r="67" ht="22.5" customHeight="1">
      <c r="A67" s="21" t="s">
        <v>322</v>
      </c>
      <c r="B67" s="21" t="s">
        <v>323</v>
      </c>
      <c r="C67" s="140">
        <v>5530.0</v>
      </c>
      <c r="D67" s="149" t="s">
        <v>325</v>
      </c>
      <c r="E67" s="21" t="str">
        <f>IFERROR(__xludf.DUMMYFUNCTION("CONCATENATE(REGEXEXTRACT(D67,""[\d]+""),""GB"")"),"30GB")</f>
        <v>30GB</v>
      </c>
      <c r="F67" s="21" t="str">
        <f t="shared" si="1"/>
        <v>Conta de Email (30Gb) 500 Cx NOVO30GB</v>
      </c>
      <c r="G67" s="73">
        <v>1.0</v>
      </c>
      <c r="H67" s="73">
        <v>500.0</v>
      </c>
      <c r="I67" s="48" t="s">
        <v>110</v>
      </c>
      <c r="J67" s="68">
        <v>14540.0</v>
      </c>
      <c r="K67" s="50" t="s">
        <v>81</v>
      </c>
      <c r="L67" s="155"/>
      <c r="M67" s="54">
        <f>(if(L67="sob consulta","sob consulta", ROUND(L67*(1+pconfig!$B$6),2)))</f>
        <v>0</v>
      </c>
      <c r="N67" s="155"/>
      <c r="O67" s="68">
        <f t="shared" si="2"/>
        <v>29.08</v>
      </c>
      <c r="P67" s="54">
        <f>ROUND(O67*(1+pconfig!$B$6),2)</f>
        <v>30.03</v>
      </c>
    </row>
    <row r="68" ht="22.5" customHeight="1">
      <c r="A68" s="21" t="s">
        <v>326</v>
      </c>
      <c r="B68" s="21" t="s">
        <v>327</v>
      </c>
      <c r="C68" s="122">
        <v>5530.0</v>
      </c>
      <c r="D68" s="149" t="s">
        <v>328</v>
      </c>
      <c r="E68" s="21" t="str">
        <f>IFERROR(__xludf.DUMMYFUNCTION("CONCATENATE(REGEXEXTRACT(D68,""[\d]+""),""GB"")"),"30GB")</f>
        <v>30GB</v>
      </c>
      <c r="F68" s="21" t="str">
        <f t="shared" si="1"/>
        <v>Conta de Email (30Gb) 1000 Cx NOVO30GB</v>
      </c>
      <c r="G68" s="73">
        <v>1.0</v>
      </c>
      <c r="H68" s="73">
        <v>1000.0</v>
      </c>
      <c r="I68" s="48" t="s">
        <v>110</v>
      </c>
      <c r="J68" s="68">
        <v>28761.69</v>
      </c>
      <c r="K68" s="50" t="s">
        <v>81</v>
      </c>
      <c r="L68" s="155"/>
      <c r="M68" s="54">
        <f>(if(L68="sob consulta","sob consulta", ROUND(L68*(1+pconfig!$B$6),2)))</f>
        <v>0</v>
      </c>
      <c r="N68" s="155"/>
      <c r="O68" s="68">
        <f t="shared" si="2"/>
        <v>28.76169</v>
      </c>
      <c r="P68" s="54">
        <f>ROUND(O68*(1+pconfig!$B$6),2)</f>
        <v>29.71</v>
      </c>
    </row>
    <row r="69" ht="22.5" customHeight="1">
      <c r="A69" s="21" t="s">
        <v>329</v>
      </c>
      <c r="B69" s="21" t="s">
        <v>330</v>
      </c>
      <c r="C69" s="95"/>
      <c r="D69" s="21" t="s">
        <v>331</v>
      </c>
      <c r="E69" s="156"/>
      <c r="F69" s="21" t="str">
        <f t="shared" si="1"/>
        <v>Emissão de cartão/carteira/crachá pvc (com tratamento)</v>
      </c>
      <c r="G69" s="157"/>
      <c r="H69" s="157"/>
      <c r="I69" s="48" t="s">
        <v>332</v>
      </c>
      <c r="J69" s="90"/>
      <c r="K69" s="50" t="s">
        <v>333</v>
      </c>
      <c r="L69" s="155"/>
      <c r="M69" s="54">
        <f>(if(L69="sob consulta","sob consulta", ROUND(L69*(1+pconfig!$B$6),2)))</f>
        <v>0</v>
      </c>
      <c r="N69" s="155"/>
      <c r="O69" s="68">
        <v>15.35</v>
      </c>
      <c r="P69" s="54">
        <f>ROUND(O69*(1+pconfig!$B$6),2)</f>
        <v>15.85</v>
      </c>
    </row>
    <row r="70" ht="22.5" customHeight="1">
      <c r="A70" s="21" t="s">
        <v>334</v>
      </c>
      <c r="B70" s="21" t="s">
        <v>335</v>
      </c>
      <c r="C70" s="115"/>
      <c r="D70" s="21" t="s">
        <v>336</v>
      </c>
      <c r="E70" s="156"/>
      <c r="F70" s="21" t="str">
        <f t="shared" si="1"/>
        <v>Emissão de cartão/carteira/crachá pvc (sem tratamento)</v>
      </c>
      <c r="G70" s="157"/>
      <c r="H70" s="157"/>
      <c r="I70" s="48" t="s">
        <v>332</v>
      </c>
      <c r="J70" s="90"/>
      <c r="K70" s="50" t="s">
        <v>333</v>
      </c>
      <c r="L70" s="155"/>
      <c r="M70" s="54">
        <f>(if(L70="sob consulta","sob consulta", ROUND(L70*(1+pconfig!$B$6),2)))</f>
        <v>0</v>
      </c>
      <c r="N70" s="155"/>
      <c r="O70" s="68">
        <v>9.66</v>
      </c>
      <c r="P70" s="54">
        <f>ROUND(O70*(1+pconfig!$B$6),2)</f>
        <v>9.98</v>
      </c>
    </row>
    <row r="71" ht="22.5" customHeight="1">
      <c r="A71" s="21" t="s">
        <v>338</v>
      </c>
      <c r="B71" s="21" t="s">
        <v>339</v>
      </c>
      <c r="C71" s="95"/>
      <c r="D71" s="21" t="s">
        <v>340</v>
      </c>
      <c r="E71" s="156"/>
      <c r="F71" s="21" t="str">
        <f t="shared" si="1"/>
        <v>Envelopamento papel A4</v>
      </c>
      <c r="G71" s="157"/>
      <c r="H71" s="157"/>
      <c r="I71" s="48" t="s">
        <v>341</v>
      </c>
      <c r="J71" s="90"/>
      <c r="K71" s="50" t="s">
        <v>333</v>
      </c>
      <c r="L71" s="155"/>
      <c r="M71" s="54">
        <f>(if(L71="sob consulta","sob consulta", ROUND(L71*(1+pconfig!$B$6),2)))</f>
        <v>0</v>
      </c>
      <c r="N71" s="155"/>
      <c r="O71" s="68">
        <v>0.1</v>
      </c>
      <c r="P71" s="54">
        <f>ROUND(O71*(1+pconfig!$B$6),2)</f>
        <v>0.1</v>
      </c>
    </row>
    <row r="72" ht="22.5" customHeight="1">
      <c r="A72" s="21" t="s">
        <v>342</v>
      </c>
      <c r="B72" s="21" t="s">
        <v>343</v>
      </c>
      <c r="C72" s="115"/>
      <c r="D72" s="21" t="s">
        <v>344</v>
      </c>
      <c r="E72" s="156"/>
      <c r="F72" s="21" t="str">
        <f t="shared" si="1"/>
        <v>Impressão – A4 Simplex Preto e Branco</v>
      </c>
      <c r="G72" s="157"/>
      <c r="H72" s="157"/>
      <c r="I72" s="48" t="s">
        <v>341</v>
      </c>
      <c r="J72" s="90"/>
      <c r="K72" s="50" t="s">
        <v>333</v>
      </c>
      <c r="L72" s="155"/>
      <c r="M72" s="54">
        <f>(if(L72="sob consulta","sob consulta", ROUND(L72*(1+pconfig!$B$6),2)))</f>
        <v>0</v>
      </c>
      <c r="N72" s="155"/>
      <c r="O72" s="68">
        <v>0.3</v>
      </c>
      <c r="P72" s="54">
        <f>ROUND(O72*(1+pconfig!$B$6),2)</f>
        <v>0.31</v>
      </c>
    </row>
    <row r="73" ht="22.5" customHeight="1">
      <c r="A73" s="21" t="s">
        <v>345</v>
      </c>
      <c r="B73" s="21" t="s">
        <v>346</v>
      </c>
      <c r="C73" s="95"/>
      <c r="D73" s="21" t="s">
        <v>347</v>
      </c>
      <c r="E73" s="156"/>
      <c r="F73" s="21" t="str">
        <f t="shared" si="1"/>
        <v>Impressão – A4 Simplex Colorida</v>
      </c>
      <c r="G73" s="157"/>
      <c r="H73" s="157"/>
      <c r="I73" s="48" t="s">
        <v>341</v>
      </c>
      <c r="J73" s="90"/>
      <c r="K73" s="50" t="s">
        <v>333</v>
      </c>
      <c r="L73" s="155"/>
      <c r="M73" s="54">
        <f>(if(L73="sob consulta","sob consulta", ROUND(L73*(1+pconfig!$B$6),2)))</f>
        <v>0</v>
      </c>
      <c r="N73" s="155"/>
      <c r="O73" s="68">
        <v>2.58</v>
      </c>
      <c r="P73" s="54">
        <f>ROUND(O73*(1+pconfig!$B$6),2)</f>
        <v>2.66</v>
      </c>
    </row>
    <row r="74" ht="22.5" customHeight="1">
      <c r="A74" s="21" t="s">
        <v>348</v>
      </c>
      <c r="B74" s="21" t="s">
        <v>349</v>
      </c>
      <c r="C74" s="115"/>
      <c r="D74" s="21" t="s">
        <v>350</v>
      </c>
      <c r="E74" s="156"/>
      <c r="F74" s="21" t="str">
        <f t="shared" si="1"/>
        <v>Impressão – A4 Duplex Preto e Branco</v>
      </c>
      <c r="G74" s="157"/>
      <c r="H74" s="157"/>
      <c r="I74" s="48" t="s">
        <v>341</v>
      </c>
      <c r="J74" s="90"/>
      <c r="K74" s="50" t="s">
        <v>333</v>
      </c>
      <c r="L74" s="155"/>
      <c r="M74" s="54">
        <f>(if(L74="sob consulta","sob consulta", ROUND(L74*(1+pconfig!$B$6),2)))</f>
        <v>0</v>
      </c>
      <c r="N74" s="155"/>
      <c r="O74" s="68">
        <v>0.6</v>
      </c>
      <c r="P74" s="54">
        <f>ROUND(O74*(1+pconfig!$B$6),2)</f>
        <v>0.62</v>
      </c>
    </row>
    <row r="75" ht="22.5" customHeight="1">
      <c r="A75" s="21" t="s">
        <v>351</v>
      </c>
      <c r="B75" s="21" t="s">
        <v>352</v>
      </c>
      <c r="C75" s="95"/>
      <c r="D75" s="21" t="s">
        <v>353</v>
      </c>
      <c r="E75" s="156"/>
      <c r="F75" s="21" t="str">
        <f t="shared" si="1"/>
        <v>Impressão – A4 Duplex Colorida</v>
      </c>
      <c r="G75" s="157"/>
      <c r="H75" s="157"/>
      <c r="I75" s="48" t="s">
        <v>341</v>
      </c>
      <c r="J75" s="90"/>
      <c r="K75" s="50" t="s">
        <v>81</v>
      </c>
      <c r="L75" s="155"/>
      <c r="M75" s="54">
        <f>(if(L75="sob consulta","sob consulta", ROUND(L75*(1+pconfig!$B$6),2)))</f>
        <v>0</v>
      </c>
      <c r="N75" s="155"/>
      <c r="O75" s="68">
        <v>5.15</v>
      </c>
      <c r="P75" s="54">
        <f>ROUND(O75*(1+pconfig!$B$6),2)</f>
        <v>5.32</v>
      </c>
    </row>
    <row r="76" ht="22.5" customHeight="1">
      <c r="A76" s="21" t="s">
        <v>354</v>
      </c>
      <c r="B76" s="21" t="s">
        <v>355</v>
      </c>
      <c r="C76" s="115"/>
      <c r="D76" s="21" t="s">
        <v>356</v>
      </c>
      <c r="E76" s="156"/>
      <c r="F76" s="21" t="str">
        <f t="shared" si="1"/>
        <v>Preparação do acervo</v>
      </c>
      <c r="G76" s="157"/>
      <c r="H76" s="157"/>
      <c r="I76" s="48" t="s">
        <v>357</v>
      </c>
      <c r="J76" s="90"/>
      <c r="K76" s="50" t="s">
        <v>81</v>
      </c>
      <c r="L76" s="155"/>
      <c r="M76" s="54">
        <f>(if(L76="sob consulta","sob consulta", ROUND(L76*(1+pconfig!$B$6),2)))</f>
        <v>0</v>
      </c>
      <c r="N76" s="155"/>
      <c r="O76" s="68">
        <v>4442.03</v>
      </c>
      <c r="P76" s="54">
        <f>ROUND(O76*(1+pconfig!$B$6),2)</f>
        <v>4587.73</v>
      </c>
    </row>
    <row r="77" ht="22.5" customHeight="1">
      <c r="A77" s="21" t="s">
        <v>359</v>
      </c>
      <c r="B77" s="21" t="s">
        <v>361</v>
      </c>
      <c r="C77" s="95"/>
      <c r="D77" s="21" t="s">
        <v>362</v>
      </c>
      <c r="E77" s="158"/>
      <c r="F77" s="21" t="str">
        <f t="shared" si="1"/>
        <v>Microfilmagem 16mm (até 100.000)</v>
      </c>
      <c r="G77" s="159">
        <v>1.0</v>
      </c>
      <c r="H77" s="159">
        <v>100000.0</v>
      </c>
      <c r="I77" s="48" t="s">
        <v>363</v>
      </c>
      <c r="J77" s="90"/>
      <c r="K77" s="50" t="s">
        <v>333</v>
      </c>
      <c r="L77" s="155"/>
      <c r="M77" s="54">
        <f>(if(L77="sob consulta","sob consulta", ROUND(L77*(1+pconfig!$B$6),2)))</f>
        <v>0</v>
      </c>
      <c r="N77" s="155"/>
      <c r="O77" s="68">
        <v>0.43</v>
      </c>
      <c r="P77" s="54">
        <f>ROUND(O77*(1+pconfig!$B$6),2)</f>
        <v>0.44</v>
      </c>
    </row>
    <row r="78" ht="22.5" customHeight="1">
      <c r="A78" s="21" t="s">
        <v>364</v>
      </c>
      <c r="B78" s="21" t="s">
        <v>365</v>
      </c>
      <c r="C78" s="115"/>
      <c r="D78" s="21" t="s">
        <v>366</v>
      </c>
      <c r="E78" s="158"/>
      <c r="F78" s="21" t="str">
        <f t="shared" si="1"/>
        <v>Microfilmagem 16mm (até 1.000.000)</v>
      </c>
      <c r="G78" s="159">
        <v>1.0</v>
      </c>
      <c r="H78" s="159">
        <v>1000000.0</v>
      </c>
      <c r="I78" s="48" t="s">
        <v>363</v>
      </c>
      <c r="J78" s="90"/>
      <c r="K78" s="50" t="s">
        <v>333</v>
      </c>
      <c r="L78" s="155"/>
      <c r="M78" s="54">
        <f>(if(L78="sob consulta","sob consulta", ROUND(L78*(1+pconfig!$B$6),2)))</f>
        <v>0</v>
      </c>
      <c r="N78" s="155"/>
      <c r="O78" s="68">
        <v>0.42</v>
      </c>
      <c r="P78" s="54">
        <f>ROUND(O78*(1+pconfig!$B$6),2)</f>
        <v>0.43</v>
      </c>
    </row>
    <row r="79" ht="22.5" customHeight="1">
      <c r="A79" s="21" t="s">
        <v>367</v>
      </c>
      <c r="B79" s="21" t="s">
        <v>368</v>
      </c>
      <c r="C79" s="95"/>
      <c r="D79" s="21" t="s">
        <v>369</v>
      </c>
      <c r="E79" s="156"/>
      <c r="F79" s="21" t="str">
        <f t="shared" si="1"/>
        <v>Microfilmagem 16mm (até 2.000.000)</v>
      </c>
      <c r="G79" s="159">
        <v>1.0</v>
      </c>
      <c r="H79" s="159">
        <v>2000000.0</v>
      </c>
      <c r="I79" s="48" t="s">
        <v>363</v>
      </c>
      <c r="J79" s="90"/>
      <c r="K79" s="50" t="s">
        <v>333</v>
      </c>
      <c r="L79" s="155"/>
      <c r="M79" s="54">
        <f>(if(L79="sob consulta","sob consulta", ROUND(L79*(1+pconfig!$B$6),2)))</f>
        <v>0</v>
      </c>
      <c r="N79" s="155"/>
      <c r="O79" s="68">
        <v>0.4</v>
      </c>
      <c r="P79" s="54">
        <f>ROUND(O79*(1+pconfig!$B$6),2)</f>
        <v>0.41</v>
      </c>
    </row>
    <row r="80" ht="22.5" customHeight="1">
      <c r="A80" s="21" t="s">
        <v>370</v>
      </c>
      <c r="B80" s="21" t="s">
        <v>371</v>
      </c>
      <c r="C80" s="115"/>
      <c r="D80" s="21" t="s">
        <v>372</v>
      </c>
      <c r="E80" s="156"/>
      <c r="F80" s="21" t="str">
        <f t="shared" si="1"/>
        <v>Microfilmagem 16mm (acima de 2.000.000)</v>
      </c>
      <c r="G80" s="159"/>
      <c r="H80" s="160"/>
      <c r="I80" s="48" t="s">
        <v>363</v>
      </c>
      <c r="J80" s="90"/>
      <c r="K80" s="50" t="s">
        <v>333</v>
      </c>
      <c r="L80" s="155"/>
      <c r="M80" s="54">
        <f>(if(L80="sob consulta","sob consulta", ROUND(L80*(1+pconfig!$B$6),2)))</f>
        <v>0</v>
      </c>
      <c r="N80" s="155"/>
      <c r="O80" s="68">
        <v>0.39</v>
      </c>
      <c r="P80" s="54">
        <f>ROUND(O80*(1+pconfig!$B$6),2)</f>
        <v>0.4</v>
      </c>
    </row>
    <row r="81" ht="22.5" customHeight="1">
      <c r="A81" s="21" t="s">
        <v>376</v>
      </c>
      <c r="B81" s="21" t="s">
        <v>377</v>
      </c>
      <c r="C81" s="95"/>
      <c r="D81" s="21" t="s">
        <v>378</v>
      </c>
      <c r="E81" s="156"/>
      <c r="F81" s="21" t="str">
        <f t="shared" si="1"/>
        <v>Microfilmagem 35mm (até 100.000)</v>
      </c>
      <c r="G81" s="160"/>
      <c r="H81" s="159">
        <v>100000.0</v>
      </c>
      <c r="I81" s="48" t="s">
        <v>363</v>
      </c>
      <c r="J81" s="90"/>
      <c r="K81" s="50" t="s">
        <v>333</v>
      </c>
      <c r="L81" s="155"/>
      <c r="M81" s="54">
        <f>(if(L81="sob consulta","sob consulta", ROUND(L81*(1+pconfig!$B$6),2)))</f>
        <v>0</v>
      </c>
      <c r="N81" s="155"/>
      <c r="O81" s="68">
        <v>2.27</v>
      </c>
      <c r="P81" s="54">
        <f>ROUND(O81*(1+pconfig!$B$6),2)</f>
        <v>2.34</v>
      </c>
    </row>
    <row r="82" ht="22.5" customHeight="1">
      <c r="A82" s="21" t="s">
        <v>379</v>
      </c>
      <c r="B82" s="21" t="s">
        <v>380</v>
      </c>
      <c r="C82" s="115"/>
      <c r="D82" s="21" t="s">
        <v>381</v>
      </c>
      <c r="E82" s="156"/>
      <c r="F82" s="21" t="str">
        <f t="shared" si="1"/>
        <v>Microfilmagem 35mm (até 1.000.000)</v>
      </c>
      <c r="G82" s="160"/>
      <c r="H82" s="159">
        <v>1000000.0</v>
      </c>
      <c r="I82" s="48" t="s">
        <v>363</v>
      </c>
      <c r="J82" s="90"/>
      <c r="K82" s="50" t="s">
        <v>333</v>
      </c>
      <c r="L82" s="155"/>
      <c r="M82" s="54">
        <f>(if(L82="sob consulta","sob consulta", ROUND(L82*(1+pconfig!$B$6),2)))</f>
        <v>0</v>
      </c>
      <c r="N82" s="155"/>
      <c r="O82" s="68">
        <v>2.26</v>
      </c>
      <c r="P82" s="54">
        <f>ROUND(O82*(1+pconfig!$B$6),2)</f>
        <v>2.33</v>
      </c>
    </row>
    <row r="83" ht="22.5" customHeight="1">
      <c r="A83" s="21" t="s">
        <v>382</v>
      </c>
      <c r="B83" s="21" t="s">
        <v>383</v>
      </c>
      <c r="C83" s="95"/>
      <c r="D83" s="21" t="s">
        <v>384</v>
      </c>
      <c r="E83" s="156"/>
      <c r="F83" s="21" t="str">
        <f t="shared" si="1"/>
        <v>Microfilmagem 35mm (até 2.000.000)</v>
      </c>
      <c r="G83" s="160"/>
      <c r="H83" s="159">
        <v>2000000.0</v>
      </c>
      <c r="I83" s="48" t="s">
        <v>363</v>
      </c>
      <c r="J83" s="90"/>
      <c r="K83" s="50" t="s">
        <v>333</v>
      </c>
      <c r="L83" s="155"/>
      <c r="M83" s="54">
        <f>(if(L83="sob consulta","sob consulta", ROUND(L83*(1+pconfig!$B$6),2)))</f>
        <v>0</v>
      </c>
      <c r="N83" s="155"/>
      <c r="O83" s="68">
        <v>2.25</v>
      </c>
      <c r="P83" s="54">
        <f>ROUND(O83*(1+pconfig!$B$6),2)</f>
        <v>2.32</v>
      </c>
    </row>
    <row r="84" ht="22.5" customHeight="1">
      <c r="A84" s="21" t="s">
        <v>385</v>
      </c>
      <c r="B84" s="21" t="s">
        <v>386</v>
      </c>
      <c r="C84" s="115"/>
      <c r="D84" s="21" t="s">
        <v>387</v>
      </c>
      <c r="E84" s="156"/>
      <c r="F84" s="21" t="str">
        <f t="shared" si="1"/>
        <v>Microfilmagem 35mm (acima de 2.000.000)</v>
      </c>
      <c r="G84" s="159"/>
      <c r="H84" s="160"/>
      <c r="I84" s="48" t="s">
        <v>363</v>
      </c>
      <c r="J84" s="90"/>
      <c r="K84" s="50" t="s">
        <v>333</v>
      </c>
      <c r="L84" s="155"/>
      <c r="M84" s="54">
        <f>(if(L84="sob consulta","sob consulta", ROUND(L84*(1+pconfig!$B$6),2)))</f>
        <v>0</v>
      </c>
      <c r="N84" s="155"/>
      <c r="O84" s="68">
        <v>2.24</v>
      </c>
      <c r="P84" s="54">
        <f>ROUND(O84*(1+pconfig!$B$6),2)</f>
        <v>2.31</v>
      </c>
    </row>
    <row r="85" ht="22.5" customHeight="1">
      <c r="A85" s="21" t="s">
        <v>388</v>
      </c>
      <c r="B85" s="21" t="s">
        <v>389</v>
      </c>
      <c r="C85" s="95"/>
      <c r="D85" s="21" t="s">
        <v>390</v>
      </c>
      <c r="E85" s="156"/>
      <c r="F85" s="21" t="str">
        <f t="shared" si="1"/>
        <v>Microfilmagem e Digitalização 16mm (até 100.000)</v>
      </c>
      <c r="G85" s="160"/>
      <c r="H85" s="159">
        <v>100000.0</v>
      </c>
      <c r="I85" s="48" t="s">
        <v>363</v>
      </c>
      <c r="J85" s="90"/>
      <c r="K85" s="50" t="s">
        <v>333</v>
      </c>
      <c r="L85" s="155"/>
      <c r="M85" s="54">
        <f>(if(L85="sob consulta","sob consulta", ROUND(L85*(1+pconfig!$B$6),2)))</f>
        <v>0</v>
      </c>
      <c r="N85" s="155"/>
      <c r="O85" s="68">
        <v>0.47</v>
      </c>
      <c r="P85" s="54">
        <f>ROUND(O85*(1+pconfig!$B$6),2)</f>
        <v>0.49</v>
      </c>
    </row>
    <row r="86" ht="22.5" customHeight="1">
      <c r="A86" s="21" t="s">
        <v>392</v>
      </c>
      <c r="B86" s="21" t="s">
        <v>393</v>
      </c>
      <c r="C86" s="115"/>
      <c r="D86" s="21" t="s">
        <v>394</v>
      </c>
      <c r="E86" s="156"/>
      <c r="F86" s="21" t="str">
        <f t="shared" si="1"/>
        <v>Microfilmagem e Digitalização 16mm (até 1.000.000)</v>
      </c>
      <c r="G86" s="160"/>
      <c r="H86" s="159">
        <v>1000000.0</v>
      </c>
      <c r="I86" s="48" t="s">
        <v>363</v>
      </c>
      <c r="J86" s="90"/>
      <c r="K86" s="50" t="s">
        <v>333</v>
      </c>
      <c r="L86" s="155"/>
      <c r="M86" s="54">
        <f>(if(L86="sob consulta","sob consulta", ROUND(L86*(1+pconfig!$B$6),2)))</f>
        <v>0</v>
      </c>
      <c r="N86" s="155"/>
      <c r="O86" s="68">
        <v>0.45</v>
      </c>
      <c r="P86" s="54">
        <f>ROUND(O86*(1+pconfig!$B$6),2)</f>
        <v>0.46</v>
      </c>
    </row>
    <row r="87" ht="22.5" customHeight="1">
      <c r="A87" s="21" t="s">
        <v>396</v>
      </c>
      <c r="B87" s="21" t="s">
        <v>397</v>
      </c>
      <c r="C87" s="95"/>
      <c r="D87" s="21" t="s">
        <v>398</v>
      </c>
      <c r="E87" s="156"/>
      <c r="F87" s="21" t="str">
        <f t="shared" si="1"/>
        <v>Microfilmagem e Digitalização 16mm (até 2.000.000)</v>
      </c>
      <c r="G87" s="160"/>
      <c r="H87" s="159">
        <v>2000000.0</v>
      </c>
      <c r="I87" s="48" t="s">
        <v>363</v>
      </c>
      <c r="J87" s="90"/>
      <c r="K87" s="50" t="s">
        <v>333</v>
      </c>
      <c r="L87" s="155"/>
      <c r="M87" s="54">
        <f>(if(L87="sob consulta","sob consulta", ROUND(L87*(1+pconfig!$B$6),2)))</f>
        <v>0</v>
      </c>
      <c r="N87" s="155"/>
      <c r="O87" s="68">
        <v>0.44</v>
      </c>
      <c r="P87" s="54">
        <f>ROUND(O87*(1+pconfig!$B$6),2)</f>
        <v>0.45</v>
      </c>
    </row>
    <row r="88" ht="22.5" customHeight="1">
      <c r="A88" s="21" t="s">
        <v>399</v>
      </c>
      <c r="B88" s="21" t="s">
        <v>400</v>
      </c>
      <c r="C88" s="94"/>
      <c r="D88" s="22" t="s">
        <v>401</v>
      </c>
      <c r="E88" s="156"/>
      <c r="F88" s="21" t="str">
        <f t="shared" si="1"/>
        <v>Microfilmagem e Digitalização 16mm (acima de 2.000.000)</v>
      </c>
      <c r="G88" s="157"/>
      <c r="H88" s="157"/>
      <c r="I88" s="48" t="s">
        <v>363</v>
      </c>
      <c r="J88" s="90"/>
      <c r="K88" s="50" t="s">
        <v>333</v>
      </c>
      <c r="L88" s="155"/>
      <c r="M88" s="54">
        <f>(if(L88="sob consulta","sob consulta", ROUND(L88*(1+pconfig!$B$6),2)))</f>
        <v>0</v>
      </c>
      <c r="N88" s="155"/>
      <c r="O88" s="68">
        <v>0.43</v>
      </c>
      <c r="P88" s="54">
        <f>ROUND(O88*(1+pconfig!$B$6),2)</f>
        <v>0.44</v>
      </c>
    </row>
    <row r="89" ht="22.5" customHeight="1">
      <c r="A89" s="21" t="s">
        <v>402</v>
      </c>
      <c r="B89" s="21" t="s">
        <v>403</v>
      </c>
      <c r="C89" s="95"/>
      <c r="D89" s="21" t="s">
        <v>404</v>
      </c>
      <c r="E89" s="156"/>
      <c r="F89" s="21" t="str">
        <f t="shared" si="1"/>
        <v>Microfilmagem e Digitalização 35mm (até 100.000)</v>
      </c>
      <c r="G89" s="157"/>
      <c r="H89" s="159">
        <v>100000.0</v>
      </c>
      <c r="I89" s="48" t="s">
        <v>363</v>
      </c>
      <c r="J89" s="90"/>
      <c r="K89" s="50" t="s">
        <v>333</v>
      </c>
      <c r="L89" s="155"/>
      <c r="M89" s="54">
        <f>(if(L89="sob consulta","sob consulta", ROUND(L89*(1+pconfig!$B$6),2)))</f>
        <v>0</v>
      </c>
      <c r="N89" s="155"/>
      <c r="O89" s="68">
        <v>2.34</v>
      </c>
      <c r="P89" s="54">
        <f>ROUND(O89*(1+pconfig!$B$6),2)</f>
        <v>2.42</v>
      </c>
    </row>
    <row r="90" ht="22.5" customHeight="1">
      <c r="A90" s="21" t="s">
        <v>405</v>
      </c>
      <c r="B90" s="21" t="s">
        <v>406</v>
      </c>
      <c r="C90" s="115"/>
      <c r="D90" s="21" t="s">
        <v>407</v>
      </c>
      <c r="E90" s="156"/>
      <c r="F90" s="21" t="str">
        <f t="shared" si="1"/>
        <v>Microfilmagem e Digitalização 35mm (até 1.000.000)</v>
      </c>
      <c r="G90" s="157"/>
      <c r="H90" s="159">
        <v>1000000.0</v>
      </c>
      <c r="I90" s="48" t="s">
        <v>363</v>
      </c>
      <c r="J90" s="90"/>
      <c r="K90" s="50" t="s">
        <v>333</v>
      </c>
      <c r="L90" s="155"/>
      <c r="M90" s="54">
        <f>(if(L90="sob consulta","sob consulta", ROUND(L90*(1+pconfig!$B$6),2)))</f>
        <v>0</v>
      </c>
      <c r="N90" s="155"/>
      <c r="O90" s="68">
        <v>2.33</v>
      </c>
      <c r="P90" s="54">
        <f>ROUND(O90*(1+pconfig!$B$6),2)</f>
        <v>2.41</v>
      </c>
    </row>
    <row r="91" ht="22.5" customHeight="1">
      <c r="A91" s="21" t="s">
        <v>408</v>
      </c>
      <c r="B91" s="21" t="s">
        <v>409</v>
      </c>
      <c r="C91" s="101"/>
      <c r="D91" s="22" t="s">
        <v>410</v>
      </c>
      <c r="E91" s="156"/>
      <c r="F91" s="21" t="str">
        <f t="shared" si="1"/>
        <v>Microfilmagem e Digitalização 35mm (até 2.000.000)</v>
      </c>
      <c r="G91" s="157"/>
      <c r="H91" s="159">
        <v>2000000.0</v>
      </c>
      <c r="I91" s="48" t="s">
        <v>363</v>
      </c>
      <c r="J91" s="90"/>
      <c r="K91" s="50" t="s">
        <v>333</v>
      </c>
      <c r="L91" s="155"/>
      <c r="M91" s="54">
        <f>(if(L91="sob consulta","sob consulta", ROUND(L91*(1+pconfig!$B$6),2)))</f>
        <v>0</v>
      </c>
      <c r="N91" s="155"/>
      <c r="O91" s="68">
        <v>2.32</v>
      </c>
      <c r="P91" s="54">
        <f>(if(O91="sob consulta","sob consulta", ROUND(O91*(1+pconfig!$B$6),2)))</f>
        <v>2.4</v>
      </c>
    </row>
    <row r="92" ht="22.5" customHeight="1">
      <c r="A92" s="21" t="s">
        <v>412</v>
      </c>
      <c r="B92" s="21" t="s">
        <v>413</v>
      </c>
      <c r="C92" s="94"/>
      <c r="D92" s="22" t="s">
        <v>415</v>
      </c>
      <c r="E92" s="156"/>
      <c r="F92" s="21" t="str">
        <f t="shared" si="1"/>
        <v>Microfilmagem e Digitalização 35mm (acima de 2.000.000)</v>
      </c>
      <c r="G92" s="157"/>
      <c r="H92" s="157"/>
      <c r="I92" s="48" t="s">
        <v>363</v>
      </c>
      <c r="J92" s="90"/>
      <c r="K92" s="50" t="s">
        <v>333</v>
      </c>
      <c r="L92" s="155"/>
      <c r="M92" s="54">
        <f>(if(L92="sob consulta","sob consulta", ROUND(L92*(1+pconfig!$B$6),2)))</f>
        <v>0</v>
      </c>
      <c r="N92" s="155"/>
      <c r="O92" s="68">
        <v>2.31</v>
      </c>
      <c r="P92" s="54">
        <f>(if(O92="sob consulta","sob consulta", ROUND(O92*(1+pconfig!$B$6),2)))</f>
        <v>2.39</v>
      </c>
    </row>
    <row r="93" ht="22.5" customHeight="1">
      <c r="A93" s="21" t="s">
        <v>417</v>
      </c>
      <c r="B93" s="21" t="s">
        <v>418</v>
      </c>
      <c r="C93" s="95"/>
      <c r="D93" s="21" t="s">
        <v>419</v>
      </c>
      <c r="E93" s="156"/>
      <c r="F93" s="21" t="str">
        <f t="shared" si="1"/>
        <v>Digitalização de Documento</v>
      </c>
      <c r="G93" s="157"/>
      <c r="H93" s="157"/>
      <c r="I93" s="48" t="s">
        <v>420</v>
      </c>
      <c r="J93" s="90"/>
      <c r="K93" s="50" t="s">
        <v>333</v>
      </c>
      <c r="L93" s="155"/>
      <c r="M93" s="54">
        <f>(if(L93="sob consulta","sob consulta", ROUND(L93*(1+pconfig!$B$6),2)))</f>
        <v>0</v>
      </c>
      <c r="N93" s="155"/>
      <c r="O93" s="68">
        <v>0.24</v>
      </c>
      <c r="P93" s="54">
        <f>(if(O93="sob consulta","sob consulta", ROUND(O93*(1+pconfig!$B$6),2)))</f>
        <v>0.25</v>
      </c>
    </row>
    <row r="94" ht="22.5" customHeight="1">
      <c r="A94" s="21" t="s">
        <v>421</v>
      </c>
      <c r="B94" s="21" t="s">
        <v>422</v>
      </c>
      <c r="C94" s="115"/>
      <c r="D94" s="21" t="s">
        <v>423</v>
      </c>
      <c r="E94" s="156"/>
      <c r="F94" s="21" t="str">
        <f t="shared" si="1"/>
        <v>Digitalização de Fotograma 16mm</v>
      </c>
      <c r="G94" s="157"/>
      <c r="H94" s="157"/>
      <c r="I94" s="48" t="s">
        <v>363</v>
      </c>
      <c r="J94" s="90"/>
      <c r="K94" s="50" t="s">
        <v>333</v>
      </c>
      <c r="L94" s="155"/>
      <c r="M94" s="54">
        <f>(if(L94="sob consulta","sob consulta", ROUND(L94*(1+pconfig!$B$6),2)))</f>
        <v>0</v>
      </c>
      <c r="N94" s="155"/>
      <c r="O94" s="68">
        <v>0.25</v>
      </c>
      <c r="P94" s="54">
        <f>(if(O94="sob consulta","sob consulta", ROUND(O94*(1+pconfig!$B$6),2)))</f>
        <v>0.26</v>
      </c>
    </row>
    <row r="95" ht="22.5" customHeight="1">
      <c r="A95" s="21" t="s">
        <v>424</v>
      </c>
      <c r="B95" s="21" t="s">
        <v>425</v>
      </c>
      <c r="C95" s="95"/>
      <c r="D95" s="21" t="s">
        <v>426</v>
      </c>
      <c r="E95" s="156"/>
      <c r="F95" s="21" t="str">
        <f t="shared" si="1"/>
        <v>Digitalização de Fotograma 35mm</v>
      </c>
      <c r="G95" s="157"/>
      <c r="H95" s="157"/>
      <c r="I95" s="48" t="s">
        <v>363</v>
      </c>
      <c r="J95" s="90"/>
      <c r="K95" s="50" t="s">
        <v>333</v>
      </c>
      <c r="L95" s="155"/>
      <c r="M95" s="54">
        <f>(if(L95="sob consulta","sob consulta", ROUND(L95*(1+pconfig!$B$6),2)))</f>
        <v>0</v>
      </c>
      <c r="N95" s="155"/>
      <c r="O95" s="68">
        <v>0.28</v>
      </c>
      <c r="P95" s="54">
        <f>(if(O95="sob consulta","sob consulta", ROUND(O95*(1+pconfig!$B$6),2)))</f>
        <v>0.29</v>
      </c>
    </row>
    <row r="96" ht="22.5" customHeight="1">
      <c r="A96" s="21" t="s">
        <v>427</v>
      </c>
      <c r="B96" s="21" t="s">
        <v>428</v>
      </c>
      <c r="C96" s="115"/>
      <c r="D96" s="21" t="s">
        <v>429</v>
      </c>
      <c r="E96" s="156"/>
      <c r="F96" s="21" t="str">
        <f t="shared" si="1"/>
        <v>Licença do sistema INDEXA – mensal</v>
      </c>
      <c r="G96" s="157"/>
      <c r="H96" s="157"/>
      <c r="I96" s="48" t="s">
        <v>430</v>
      </c>
      <c r="J96" s="90"/>
      <c r="K96" s="50" t="s">
        <v>81</v>
      </c>
      <c r="L96" s="51">
        <v>4139.32</v>
      </c>
      <c r="M96" s="54">
        <f>(if(L96="sob consulta","sob consulta", ROUND(L96*(1+pconfig!$B$6),2)))</f>
        <v>4275.09</v>
      </c>
      <c r="N96" s="155"/>
      <c r="O96" s="68">
        <f>L96/12</f>
        <v>344.9433333</v>
      </c>
      <c r="P96" s="54">
        <f>(if(O96="sob consulta","sob consulta", ROUND(O96*(1+pconfig!$B$6),2)))</f>
        <v>356.26</v>
      </c>
    </row>
    <row r="97" ht="22.5" customHeight="1">
      <c r="A97" s="21" t="s">
        <v>432</v>
      </c>
      <c r="B97" s="21" t="s">
        <v>433</v>
      </c>
      <c r="C97" s="95"/>
      <c r="D97" s="21" t="s">
        <v>434</v>
      </c>
      <c r="E97" s="158" t="s">
        <v>435</v>
      </c>
      <c r="F97" s="21" t="str">
        <f t="shared" si="1"/>
        <v>Armazenamento de Imagem Digital até 80 GB80GB</v>
      </c>
      <c r="G97" s="157"/>
      <c r="H97" s="157"/>
      <c r="I97" s="48" t="s">
        <v>110</v>
      </c>
      <c r="J97" s="90"/>
      <c r="K97" s="161"/>
      <c r="L97" s="155"/>
      <c r="M97" s="54">
        <f>(if(L97="sob consulta","sob consulta", ROUND(L97*(1+pconfig!$B$6),2)))</f>
        <v>0</v>
      </c>
      <c r="N97" s="155"/>
      <c r="O97" s="68">
        <v>1.25</v>
      </c>
      <c r="P97" s="54">
        <f>(if(O97="sob consulta","sob consulta", ROUND(O97*(1+pconfig!$B$6),2)))</f>
        <v>1.29</v>
      </c>
    </row>
    <row r="98" ht="22.5" customHeight="1">
      <c r="A98" s="21" t="s">
        <v>437</v>
      </c>
      <c r="B98" s="21" t="s">
        <v>438</v>
      </c>
      <c r="C98" s="115"/>
      <c r="D98" s="21" t="s">
        <v>439</v>
      </c>
      <c r="E98" s="158">
        <v>160.0</v>
      </c>
      <c r="F98" s="21" t="str">
        <f t="shared" si="1"/>
        <v>Armazenamento de Imagem Digital até 160 GB160</v>
      </c>
      <c r="G98" s="157"/>
      <c r="H98" s="157"/>
      <c r="I98" s="48" t="s">
        <v>110</v>
      </c>
      <c r="J98" s="90"/>
      <c r="K98" s="161"/>
      <c r="L98" s="155"/>
      <c r="M98" s="54">
        <f>(if(L98="sob consulta","sob consulta", ROUND(L98*(1+pconfig!$B$6),2)))</f>
        <v>0</v>
      </c>
      <c r="N98" s="155"/>
      <c r="O98" s="68">
        <v>1.14</v>
      </c>
      <c r="P98" s="54">
        <f>(if(O98="sob consulta","sob consulta", ROUND(O98*(1+pconfig!$B$6),2)))</f>
        <v>1.18</v>
      </c>
    </row>
    <row r="99" ht="22.5" customHeight="1">
      <c r="A99" s="21" t="s">
        <v>440</v>
      </c>
      <c r="B99" s="21" t="s">
        <v>441</v>
      </c>
      <c r="C99" s="95"/>
      <c r="D99" s="21" t="s">
        <v>442</v>
      </c>
      <c r="E99" s="158">
        <v>240.0</v>
      </c>
      <c r="F99" s="21" t="str">
        <f t="shared" si="1"/>
        <v>Armazenamento de Imagem Digital até 240 GB240</v>
      </c>
      <c r="G99" s="157"/>
      <c r="H99" s="157"/>
      <c r="I99" s="48" t="s">
        <v>110</v>
      </c>
      <c r="J99" s="90"/>
      <c r="K99" s="161"/>
      <c r="L99" s="155"/>
      <c r="M99" s="54">
        <f>(if(L99="sob consulta","sob consulta", ROUND(L99*(1+pconfig!$B$6),2)))</f>
        <v>0</v>
      </c>
      <c r="N99" s="155"/>
      <c r="O99" s="68">
        <v>1.03</v>
      </c>
      <c r="P99" s="54">
        <f>(if(O99="sob consulta","sob consulta", ROUND(O99*(1+pconfig!$B$6),2)))</f>
        <v>1.06</v>
      </c>
    </row>
    <row r="100" ht="22.5" customHeight="1">
      <c r="A100" s="21" t="s">
        <v>443</v>
      </c>
      <c r="B100" s="21" t="s">
        <v>444</v>
      </c>
      <c r="C100" s="115"/>
      <c r="D100" s="21" t="s">
        <v>445</v>
      </c>
      <c r="E100" s="158">
        <v>320.0</v>
      </c>
      <c r="F100" s="21" t="str">
        <f t="shared" si="1"/>
        <v>Armazenamento de Imagem Digital até 320 GB320</v>
      </c>
      <c r="G100" s="157"/>
      <c r="H100" s="157"/>
      <c r="I100" s="48" t="s">
        <v>110</v>
      </c>
      <c r="J100" s="90"/>
      <c r="K100" s="161"/>
      <c r="L100" s="155"/>
      <c r="M100" s="54">
        <f>(if(L100="sob consulta","sob consulta", ROUND(L100*(1+pconfig!$B$6),2)))</f>
        <v>0</v>
      </c>
      <c r="N100" s="155"/>
      <c r="O100" s="68">
        <v>0.92</v>
      </c>
      <c r="P100" s="54">
        <f>(if(O100="sob consulta","sob consulta", ROUND(O100*(1+pconfig!$B$6),2)))</f>
        <v>0.95</v>
      </c>
    </row>
    <row r="101" ht="22.5" customHeight="1">
      <c r="A101" s="21" t="s">
        <v>446</v>
      </c>
      <c r="B101" s="21" t="s">
        <v>448</v>
      </c>
      <c r="C101" s="95"/>
      <c r="D101" s="21" t="s">
        <v>449</v>
      </c>
      <c r="E101" s="156"/>
      <c r="F101" s="21" t="str">
        <f t="shared" si="1"/>
        <v>Armazenamento de Imagem Digital Legada</v>
      </c>
      <c r="G101" s="157"/>
      <c r="H101" s="157"/>
      <c r="I101" s="48" t="s">
        <v>110</v>
      </c>
      <c r="J101" s="90"/>
      <c r="K101" s="161"/>
      <c r="L101" s="155"/>
      <c r="M101" s="54">
        <f>(if(L101="sob consulta","sob consulta", ROUND(L101*(1+pconfig!$B$6),2)))</f>
        <v>0</v>
      </c>
      <c r="N101" s="155"/>
      <c r="O101" s="68">
        <v>0.82</v>
      </c>
      <c r="P101" s="54">
        <f>(if(O101="sob consulta","sob consulta", ROUND(O101*(1+pconfig!$B$6),2)))</f>
        <v>0.85</v>
      </c>
    </row>
    <row r="102" ht="22.5" customHeight="1">
      <c r="A102" s="21" t="s">
        <v>459</v>
      </c>
      <c r="B102" s="21" t="s">
        <v>463</v>
      </c>
      <c r="C102" s="94"/>
      <c r="D102" s="22" t="s">
        <v>465</v>
      </c>
      <c r="E102" s="156"/>
      <c r="F102" s="21" t="str">
        <f t="shared" si="1"/>
        <v>Armazenamento de Rolo Microfilme - Novo</v>
      </c>
      <c r="G102" s="157"/>
      <c r="H102" s="157"/>
      <c r="I102" s="48" t="s">
        <v>466</v>
      </c>
      <c r="J102" s="90"/>
      <c r="K102" s="161"/>
      <c r="L102" s="155"/>
      <c r="M102" s="54">
        <f>(if(L102="sob consulta","sob consulta", ROUND(L102*(1+pconfig!$B$6),2)))</f>
        <v>0</v>
      </c>
      <c r="N102" s="155"/>
      <c r="O102" s="68">
        <v>1.25</v>
      </c>
      <c r="P102" s="54">
        <f>(if(O102="sob consulta","sob consulta", ROUND(O102*(1+pconfig!$B$6),2)))</f>
        <v>1.29</v>
      </c>
    </row>
    <row r="103" ht="22.5" customHeight="1">
      <c r="A103" s="21" t="s">
        <v>475</v>
      </c>
      <c r="B103" s="21" t="s">
        <v>477</v>
      </c>
      <c r="C103" s="95"/>
      <c r="D103" s="21" t="s">
        <v>478</v>
      </c>
      <c r="E103" s="156"/>
      <c r="F103" s="21" t="str">
        <f t="shared" si="1"/>
        <v>Armazenamento de Rolo Microfilme - Legado</v>
      </c>
      <c r="G103" s="157"/>
      <c r="H103" s="157"/>
      <c r="I103" s="48" t="s">
        <v>466</v>
      </c>
      <c r="J103" s="90"/>
      <c r="K103" s="50" t="s">
        <v>333</v>
      </c>
      <c r="L103" s="155"/>
      <c r="M103" s="54">
        <f>(if(L103="sob consulta","sob consulta", ROUND(L103*(1+pconfig!$B$6),2)))</f>
        <v>0</v>
      </c>
      <c r="N103" s="155"/>
      <c r="O103" s="68">
        <v>0.22</v>
      </c>
      <c r="P103" s="54">
        <f>(if(O103="sob consulta","sob consulta", ROUND(O103*(1+pconfig!$B$6),2)))</f>
        <v>0.23</v>
      </c>
    </row>
    <row r="104" ht="22.5" customHeight="1">
      <c r="A104" s="21" t="s">
        <v>482</v>
      </c>
      <c r="B104" s="21" t="s">
        <v>483</v>
      </c>
      <c r="C104" s="115"/>
      <c r="D104" s="21" t="s">
        <v>484</v>
      </c>
      <c r="E104" s="158"/>
      <c r="F104" s="21" t="str">
        <f t="shared" si="1"/>
        <v>Impressão de Fotograma 16mm (até 100.000)</v>
      </c>
      <c r="G104" s="157"/>
      <c r="H104" s="159">
        <v>100000.0</v>
      </c>
      <c r="I104" s="48" t="s">
        <v>363</v>
      </c>
      <c r="J104" s="90"/>
      <c r="K104" s="50" t="s">
        <v>333</v>
      </c>
      <c r="L104" s="155"/>
      <c r="M104" s="54">
        <f>(if(L104="sob consulta","sob consulta", ROUND(L104*(1+pconfig!$B$6),2)))</f>
        <v>0</v>
      </c>
      <c r="N104" s="155"/>
      <c r="O104" s="68">
        <v>2.4</v>
      </c>
      <c r="P104" s="54">
        <f>(if(O104="sob consulta","sob consulta", ROUND(O104*(1+pconfig!$B$6),2)))</f>
        <v>2.48</v>
      </c>
    </row>
    <row r="105" ht="22.5" customHeight="1">
      <c r="A105" s="21" t="s">
        <v>486</v>
      </c>
      <c r="B105" s="21" t="s">
        <v>487</v>
      </c>
      <c r="C105" s="95"/>
      <c r="D105" s="21" t="s">
        <v>488</v>
      </c>
      <c r="E105" s="158"/>
      <c r="F105" s="21" t="str">
        <f t="shared" si="1"/>
        <v>Impressão de Fotograma 16mm (até 1.000.000)</v>
      </c>
      <c r="G105" s="157"/>
      <c r="H105" s="159">
        <v>1000000.0</v>
      </c>
      <c r="I105" s="48" t="s">
        <v>363</v>
      </c>
      <c r="J105" s="90"/>
      <c r="K105" s="50" t="s">
        <v>333</v>
      </c>
      <c r="L105" s="155"/>
      <c r="M105" s="54">
        <f>(if(L105="sob consulta","sob consulta", ROUND(L105*(1+pconfig!$B$6),2)))</f>
        <v>0</v>
      </c>
      <c r="N105" s="155"/>
      <c r="O105" s="68">
        <v>2.39</v>
      </c>
      <c r="P105" s="54">
        <f>(if(O105="sob consulta","sob consulta", ROUND(O105*(1+pconfig!$B$6),2)))</f>
        <v>2.47</v>
      </c>
    </row>
    <row r="106" ht="22.5" customHeight="1">
      <c r="A106" s="21" t="s">
        <v>489</v>
      </c>
      <c r="B106" s="21" t="s">
        <v>490</v>
      </c>
      <c r="C106" s="115"/>
      <c r="D106" s="21" t="s">
        <v>491</v>
      </c>
      <c r="E106" s="158"/>
      <c r="F106" s="21" t="str">
        <f t="shared" si="1"/>
        <v>Impressão de Fotograma 16mm (até 2.000.000)</v>
      </c>
      <c r="G106" s="157"/>
      <c r="H106" s="159">
        <v>2000000.0</v>
      </c>
      <c r="I106" s="48" t="s">
        <v>363</v>
      </c>
      <c r="J106" s="90"/>
      <c r="K106" s="50" t="s">
        <v>333</v>
      </c>
      <c r="L106" s="155"/>
      <c r="M106" s="54">
        <f>(if(L106="sob consulta","sob consulta", ROUND(L106*(1+pconfig!$B$6),2)))</f>
        <v>0</v>
      </c>
      <c r="N106" s="155"/>
      <c r="O106" s="68">
        <v>2.36</v>
      </c>
      <c r="P106" s="54">
        <f>(if(O106="sob consulta","sob consulta", ROUND(O106*(1+pconfig!$B$6),2)))</f>
        <v>2.44</v>
      </c>
    </row>
    <row r="107" ht="22.5" customHeight="1">
      <c r="A107" s="21" t="s">
        <v>492</v>
      </c>
      <c r="B107" s="21" t="s">
        <v>493</v>
      </c>
      <c r="C107" s="95"/>
      <c r="D107" s="21" t="s">
        <v>495</v>
      </c>
      <c r="E107" s="156"/>
      <c r="F107" s="21" t="str">
        <f t="shared" si="1"/>
        <v>Impressão de Fotograma 16mm (acima de 2.000.000)</v>
      </c>
      <c r="G107" s="157"/>
      <c r="H107" s="157"/>
      <c r="I107" s="48" t="s">
        <v>363</v>
      </c>
      <c r="J107" s="90"/>
      <c r="K107" s="50" t="s">
        <v>333</v>
      </c>
      <c r="L107" s="155"/>
      <c r="M107" s="54">
        <f>(if(L107="sob consulta","sob consulta", ROUND(L107*(1+pconfig!$B$6),2)))</f>
        <v>0</v>
      </c>
      <c r="N107" s="155"/>
      <c r="O107" s="68">
        <v>2.35</v>
      </c>
      <c r="P107" s="54">
        <f>(if(O107="sob consulta","sob consulta", ROUND(O107*(1+pconfig!$B$6),2)))</f>
        <v>2.43</v>
      </c>
    </row>
    <row r="108" ht="22.5" customHeight="1">
      <c r="A108" s="21" t="s">
        <v>497</v>
      </c>
      <c r="B108" s="21" t="s">
        <v>498</v>
      </c>
      <c r="C108" s="115"/>
      <c r="D108" s="21" t="s">
        <v>499</v>
      </c>
      <c r="E108" s="156"/>
      <c r="F108" s="21" t="str">
        <f t="shared" si="1"/>
        <v>Impressão de Fotograma 35mm (até 100.000)</v>
      </c>
      <c r="G108" s="157"/>
      <c r="H108" s="159">
        <v>100000.0</v>
      </c>
      <c r="I108" s="48" t="s">
        <v>363</v>
      </c>
      <c r="J108" s="90"/>
      <c r="K108" s="50" t="s">
        <v>333</v>
      </c>
      <c r="L108" s="155"/>
      <c r="M108" s="54">
        <f>(if(L108="sob consulta","sob consulta", ROUND(L108*(1+pconfig!$B$6),2)))</f>
        <v>0</v>
      </c>
      <c r="N108" s="155"/>
      <c r="O108" s="68">
        <v>5.05</v>
      </c>
      <c r="P108" s="54">
        <f>(if(O108="sob consulta","sob consulta", ROUND(O108*(1+pconfig!$B$6),2)))</f>
        <v>5.22</v>
      </c>
    </row>
    <row r="109" ht="22.5" customHeight="1">
      <c r="A109" s="21" t="s">
        <v>500</v>
      </c>
      <c r="B109" s="21" t="s">
        <v>501</v>
      </c>
      <c r="C109" s="95"/>
      <c r="D109" s="21" t="s">
        <v>502</v>
      </c>
      <c r="E109" s="156"/>
      <c r="F109" s="21" t="str">
        <f t="shared" si="1"/>
        <v>Impressão de Fotograma 35mm (até 1.000.000)</v>
      </c>
      <c r="G109" s="157"/>
      <c r="H109" s="159">
        <v>1000000.0</v>
      </c>
      <c r="I109" s="48" t="s">
        <v>363</v>
      </c>
      <c r="J109" s="90"/>
      <c r="K109" s="50" t="s">
        <v>333</v>
      </c>
      <c r="L109" s="155"/>
      <c r="M109" s="54">
        <f>(if(L109="sob consulta","sob consulta", ROUND(L109*(1+pconfig!$B$6),2)))</f>
        <v>0</v>
      </c>
      <c r="N109" s="155"/>
      <c r="O109" s="68">
        <v>5.04</v>
      </c>
      <c r="P109" s="54">
        <f>(if(O109="sob consulta","sob consulta", ROUND(O109*(1+pconfig!$B$6),2)))</f>
        <v>5.21</v>
      </c>
    </row>
    <row r="110" ht="22.5" customHeight="1">
      <c r="A110" s="21" t="s">
        <v>503</v>
      </c>
      <c r="B110" s="21" t="s">
        <v>504</v>
      </c>
      <c r="C110" s="115"/>
      <c r="D110" s="21" t="s">
        <v>505</v>
      </c>
      <c r="E110" s="156"/>
      <c r="F110" s="21" t="str">
        <f t="shared" si="1"/>
        <v>Impressão de Fotograma 35mm (até 2.000.000)</v>
      </c>
      <c r="G110" s="157"/>
      <c r="H110" s="159">
        <v>2000000.0</v>
      </c>
      <c r="I110" s="48" t="s">
        <v>363</v>
      </c>
      <c r="J110" s="90"/>
      <c r="K110" s="50" t="s">
        <v>333</v>
      </c>
      <c r="L110" s="155"/>
      <c r="M110" s="54">
        <f>(if(L110="sob consulta","sob consulta", ROUND(L110*(1+pconfig!$B$6),2)))</f>
        <v>0</v>
      </c>
      <c r="N110" s="155"/>
      <c r="O110" s="68">
        <v>5.02</v>
      </c>
      <c r="P110" s="54">
        <f>(if(O110="sob consulta","sob consulta", ROUND(O110*(1+pconfig!$B$6),2)))</f>
        <v>5.18</v>
      </c>
    </row>
    <row r="111" ht="22.5" customHeight="1">
      <c r="A111" s="21" t="s">
        <v>506</v>
      </c>
      <c r="B111" s="21" t="s">
        <v>507</v>
      </c>
      <c r="C111" s="95"/>
      <c r="D111" s="21" t="s">
        <v>508</v>
      </c>
      <c r="E111" s="156"/>
      <c r="F111" s="21" t="str">
        <f t="shared" si="1"/>
        <v>Impressão de Fotograma 35mm (acima de 2.000.000)</v>
      </c>
      <c r="G111" s="157"/>
      <c r="H111" s="157"/>
      <c r="I111" s="48" t="s">
        <v>363</v>
      </c>
      <c r="J111" s="90"/>
      <c r="K111" s="50" t="s">
        <v>333</v>
      </c>
      <c r="L111" s="155"/>
      <c r="M111" s="54">
        <f>(if(L111="sob consulta","sob consulta", ROUND(L111*(1+pconfig!$B$6),2)))</f>
        <v>0</v>
      </c>
      <c r="N111" s="155"/>
      <c r="O111" s="68">
        <v>5.01</v>
      </c>
      <c r="P111" s="54">
        <f>(if(O111="sob consulta","sob consulta", ROUND(O111*(1+pconfig!$B$6),2)))</f>
        <v>5.17</v>
      </c>
    </row>
    <row r="112" ht="22.5" customHeight="1">
      <c r="A112" s="21" t="s">
        <v>509</v>
      </c>
      <c r="B112" s="21" t="s">
        <v>510</v>
      </c>
      <c r="C112" s="115"/>
      <c r="D112" s="21" t="s">
        <v>511</v>
      </c>
      <c r="E112" s="156"/>
      <c r="F112" s="21" t="str">
        <f t="shared" si="1"/>
        <v>Duplicação Rolo Microfilme</v>
      </c>
      <c r="G112" s="157"/>
      <c r="H112" s="157"/>
      <c r="I112" s="48" t="s">
        <v>466</v>
      </c>
      <c r="J112" s="90"/>
      <c r="K112" s="50" t="s">
        <v>333</v>
      </c>
      <c r="L112" s="155"/>
      <c r="M112" s="54">
        <f>(if(L112="sob consulta","sob consulta", ROUND(L112*(1+pconfig!$B$6),2)))</f>
        <v>0</v>
      </c>
      <c r="N112" s="155"/>
      <c r="O112" s="68">
        <v>5.58</v>
      </c>
      <c r="P112" s="54">
        <f>(if(O112="sob consulta","sob consulta", ROUND(O112*(1+pconfig!$B$6),2)))</f>
        <v>5.76</v>
      </c>
    </row>
    <row r="113" ht="22.5" customHeight="1">
      <c r="A113" s="21" t="s">
        <v>512</v>
      </c>
      <c r="B113" s="21" t="s">
        <v>513</v>
      </c>
      <c r="C113" s="95"/>
      <c r="D113" s="21" t="s">
        <v>514</v>
      </c>
      <c r="E113" s="156"/>
      <c r="F113" s="21" t="str">
        <f t="shared" si="1"/>
        <v>Duplicação Rolo Microfilme c/ Material (16mm)</v>
      </c>
      <c r="G113" s="157"/>
      <c r="H113" s="157"/>
      <c r="I113" s="48" t="s">
        <v>466</v>
      </c>
      <c r="J113" s="90"/>
      <c r="K113" s="50" t="s">
        <v>333</v>
      </c>
      <c r="L113" s="155"/>
      <c r="M113" s="54">
        <f>(if(L113="sob consulta","sob consulta", ROUND(L113*(1+pconfig!$B$6),2)))</f>
        <v>0</v>
      </c>
      <c r="N113" s="155"/>
      <c r="O113" s="68">
        <v>25.28</v>
      </c>
      <c r="P113" s="54">
        <f>(if(O113="sob consulta","sob consulta", ROUND(O113*(1+pconfig!$B$6),2)))</f>
        <v>26.11</v>
      </c>
    </row>
    <row r="114" ht="22.5" customHeight="1">
      <c r="A114" s="21" t="s">
        <v>516</v>
      </c>
      <c r="B114" s="21" t="s">
        <v>517</v>
      </c>
      <c r="C114" s="115"/>
      <c r="D114" s="21" t="s">
        <v>518</v>
      </c>
      <c r="E114" s="156"/>
      <c r="F114" s="21" t="str">
        <f t="shared" si="1"/>
        <v>Duplicação rolo Microfilme c/ Material (35mm)</v>
      </c>
      <c r="G114" s="157"/>
      <c r="H114" s="157"/>
      <c r="I114" s="48" t="s">
        <v>466</v>
      </c>
      <c r="J114" s="90"/>
      <c r="K114" s="50" t="s">
        <v>333</v>
      </c>
      <c r="L114" s="155"/>
      <c r="M114" s="54">
        <f>(if(L114="sob consulta","sob consulta", ROUND(L114*(1+pconfig!$B$6),2)))</f>
        <v>0</v>
      </c>
      <c r="N114" s="155"/>
      <c r="O114" s="68">
        <v>85.6</v>
      </c>
      <c r="P114" s="54">
        <f>(if(O114="sob consulta","sob consulta", ROUND(O114*(1+pconfig!$B$6),2)))</f>
        <v>88.41</v>
      </c>
    </row>
    <row r="115" ht="22.5" customHeight="1">
      <c r="A115" s="21" t="s">
        <v>519</v>
      </c>
      <c r="B115" s="21" t="s">
        <v>520</v>
      </c>
      <c r="C115" s="95"/>
      <c r="D115" s="21" t="s">
        <v>521</v>
      </c>
      <c r="E115" s="156"/>
      <c r="F115" s="21" t="str">
        <f t="shared" si="1"/>
        <v>Processamento de Negativo 16 mm</v>
      </c>
      <c r="G115" s="157"/>
      <c r="H115" s="157"/>
      <c r="I115" s="48" t="s">
        <v>466</v>
      </c>
      <c r="J115" s="90"/>
      <c r="K115" s="50" t="s">
        <v>333</v>
      </c>
      <c r="L115" s="155"/>
      <c r="M115" s="54">
        <f>(if(L115="sob consulta","sob consulta", ROUND(L115*(1+pconfig!$B$6),2)))</f>
        <v>0</v>
      </c>
      <c r="N115" s="155"/>
      <c r="O115" s="68">
        <v>15.11</v>
      </c>
      <c r="P115" s="54">
        <f>(if(O115="sob consulta","sob consulta", ROUND(O115*(1+pconfig!$B$6),2)))</f>
        <v>15.61</v>
      </c>
    </row>
    <row r="116" ht="22.5" customHeight="1">
      <c r="A116" s="21" t="s">
        <v>523</v>
      </c>
      <c r="B116" s="21" t="s">
        <v>524</v>
      </c>
      <c r="C116" s="115"/>
      <c r="D116" s="21" t="s">
        <v>525</v>
      </c>
      <c r="E116" s="156"/>
      <c r="F116" s="21" t="str">
        <f t="shared" si="1"/>
        <v>Processamento de Negativo 35 mm</v>
      </c>
      <c r="G116" s="157"/>
      <c r="H116" s="157"/>
      <c r="I116" s="48" t="s">
        <v>466</v>
      </c>
      <c r="J116" s="90"/>
      <c r="K116" s="50" t="s">
        <v>333</v>
      </c>
      <c r="L116" s="155"/>
      <c r="M116" s="54">
        <f>(if(L116="sob consulta","sob consulta", ROUND(L116*(1+pconfig!$B$6),2)))</f>
        <v>0</v>
      </c>
      <c r="N116" s="155"/>
      <c r="O116" s="68">
        <v>32.37</v>
      </c>
      <c r="P116" s="54">
        <f>(if(O116="sob consulta","sob consulta", ROUND(O116*(1+pconfig!$B$6),2)))</f>
        <v>33.43</v>
      </c>
    </row>
    <row r="117" ht="22.5" customHeight="1">
      <c r="A117" s="21" t="s">
        <v>526</v>
      </c>
      <c r="B117" s="22" t="s">
        <v>527</v>
      </c>
      <c r="C117" s="95"/>
      <c r="D117" s="21" t="s">
        <v>528</v>
      </c>
      <c r="E117" s="156"/>
      <c r="F117" s="21" t="str">
        <f t="shared" si="1"/>
        <v>Leitor/Copiador</v>
      </c>
      <c r="G117" s="157"/>
      <c r="H117" s="157"/>
      <c r="I117" s="48" t="s">
        <v>529</v>
      </c>
      <c r="J117" s="90"/>
      <c r="K117" s="50" t="s">
        <v>530</v>
      </c>
      <c r="L117" s="155">
        <f t="shared" ref="L117:L118" si="3">O117*12</f>
        <v>33487.32</v>
      </c>
      <c r="M117" s="54">
        <f>(if(L117="sob consulta","sob consulta", ROUND(L117*(1+pconfig!$B$6),2)))</f>
        <v>34585.7</v>
      </c>
      <c r="N117" s="155"/>
      <c r="O117" s="68">
        <v>2790.61</v>
      </c>
      <c r="P117" s="54">
        <f>(if(O117="sob consulta","sob consulta", ROUND(O117*(1+pconfig!$B$6),2)))</f>
        <v>2882.14</v>
      </c>
    </row>
    <row r="118" ht="22.5" customHeight="1">
      <c r="A118" s="21" t="s">
        <v>531</v>
      </c>
      <c r="B118" s="21" t="s">
        <v>532</v>
      </c>
      <c r="C118" s="115"/>
      <c r="D118" s="21" t="s">
        <v>533</v>
      </c>
      <c r="E118" s="156"/>
      <c r="F118" s="21" t="str">
        <f t="shared" si="1"/>
        <v>Scanner de mesa</v>
      </c>
      <c r="G118" s="157"/>
      <c r="H118" s="157"/>
      <c r="I118" s="48" t="s">
        <v>529</v>
      </c>
      <c r="J118" s="90"/>
      <c r="K118" s="50" t="s">
        <v>530</v>
      </c>
      <c r="L118" s="155">
        <f t="shared" si="3"/>
        <v>11218.92</v>
      </c>
      <c r="M118" s="54">
        <f>(if(L118="sob consulta","sob consulta", ROUND(L118*(1+pconfig!$B$6),2)))</f>
        <v>11586.9</v>
      </c>
      <c r="N118" s="155"/>
      <c r="O118" s="68">
        <v>934.91</v>
      </c>
      <c r="P118" s="54">
        <f>(if(O118="sob consulta","sob consulta", ROUND(O118*(1+pconfig!$B$6),2)))</f>
        <v>965.58</v>
      </c>
    </row>
    <row r="119" ht="22.5" customHeight="1">
      <c r="A119" s="21" t="s">
        <v>535</v>
      </c>
      <c r="B119" s="21" t="s">
        <v>536</v>
      </c>
      <c r="C119" s="140">
        <v>4653.0</v>
      </c>
      <c r="D119" s="21" t="s">
        <v>537</v>
      </c>
      <c r="E119" s="156"/>
      <c r="F119" s="21" t="str">
        <f t="shared" si="1"/>
        <v>Ativação de Link</v>
      </c>
      <c r="G119" s="157"/>
      <c r="H119" s="157"/>
      <c r="I119" s="48" t="s">
        <v>538</v>
      </c>
      <c r="J119" s="90"/>
      <c r="K119" s="50" t="s">
        <v>81</v>
      </c>
      <c r="L119" s="155"/>
      <c r="M119" s="54">
        <f>(if(L119="sob consulta","sob consulta", ROUND(L119*(1+pconfig!$B$6),2)))</f>
        <v>0</v>
      </c>
      <c r="N119" s="155"/>
      <c r="O119" s="68">
        <v>583.5</v>
      </c>
      <c r="P119" s="54">
        <f>(if(O119="sob consulta","sob consulta", ROUND(O119*(1+pconfig!$B$6),2)))</f>
        <v>602.64</v>
      </c>
    </row>
    <row r="120" ht="22.5" customHeight="1">
      <c r="A120" s="21" t="s">
        <v>539</v>
      </c>
      <c r="B120" s="21" t="s">
        <v>540</v>
      </c>
      <c r="C120" s="115"/>
      <c r="D120" s="21" t="s">
        <v>541</v>
      </c>
      <c r="E120" s="156"/>
      <c r="F120" s="21" t="str">
        <f t="shared" si="1"/>
        <v>Locação de Gbic</v>
      </c>
      <c r="G120" s="157"/>
      <c r="H120" s="157"/>
      <c r="I120" s="48" t="s">
        <v>529</v>
      </c>
      <c r="J120" s="90"/>
      <c r="K120" s="50" t="s">
        <v>81</v>
      </c>
      <c r="L120" s="155"/>
      <c r="M120" s="54">
        <f>(if(L120="sob consulta","sob consulta", ROUND(L120*(1+pconfig!$B$6),2)))</f>
        <v>0</v>
      </c>
      <c r="N120" s="155"/>
      <c r="O120" s="68">
        <v>15.1</v>
      </c>
      <c r="P120" s="54">
        <f>(if(O120="sob consulta","sob consulta", ROUND(O120*(1+pconfig!$B$6),2)))</f>
        <v>15.6</v>
      </c>
    </row>
    <row r="121" ht="22.5" customHeight="1">
      <c r="A121" s="21" t="s">
        <v>542</v>
      </c>
      <c r="B121" s="21" t="s">
        <v>543</v>
      </c>
      <c r="C121" s="95"/>
      <c r="D121" s="21" t="s">
        <v>544</v>
      </c>
      <c r="E121" s="156"/>
      <c r="F121" s="21" t="str">
        <f t="shared" si="1"/>
        <v>Locação de Switch</v>
      </c>
      <c r="G121" s="157"/>
      <c r="H121" s="157"/>
      <c r="I121" s="48" t="s">
        <v>529</v>
      </c>
      <c r="J121" s="90"/>
      <c r="K121" s="50" t="s">
        <v>81</v>
      </c>
      <c r="L121" s="155"/>
      <c r="M121" s="54">
        <f>(if(L121="sob consulta","sob consulta", ROUND(L121*(1+pconfig!$B$6),2)))</f>
        <v>0</v>
      </c>
      <c r="N121" s="155"/>
      <c r="O121" s="68">
        <v>627.55</v>
      </c>
      <c r="P121" s="54">
        <f>(if(O121="sob consulta","sob consulta", ROUND(O121*(1+pconfig!$B$6),2)))</f>
        <v>648.13</v>
      </c>
    </row>
    <row r="122" ht="22.5" customHeight="1">
      <c r="A122" s="21" t="s">
        <v>547</v>
      </c>
      <c r="B122" s="21" t="s">
        <v>548</v>
      </c>
      <c r="C122" s="115"/>
      <c r="D122" s="21" t="s">
        <v>549</v>
      </c>
      <c r="E122" s="156"/>
      <c r="F122" s="21" t="str">
        <f t="shared" si="1"/>
        <v>Locação de Servidor Físico</v>
      </c>
      <c r="G122" s="157"/>
      <c r="H122" s="157"/>
      <c r="I122" s="48" t="s">
        <v>529</v>
      </c>
      <c r="J122" s="90"/>
      <c r="K122" s="50" t="s">
        <v>81</v>
      </c>
      <c r="L122" s="155"/>
      <c r="M122" s="54">
        <f>(if(L122="sob consulta","sob consulta", ROUND(L122*(1+pconfig!$B$6),2)))</f>
        <v>0</v>
      </c>
      <c r="N122" s="155"/>
      <c r="O122" s="68">
        <v>544.02</v>
      </c>
      <c r="P122" s="54">
        <f>(if(O122="sob consulta","sob consulta", ROUND(O122*(1+pconfig!$B$6),2)))</f>
        <v>561.86</v>
      </c>
    </row>
    <row r="123" ht="22.5" customHeight="1">
      <c r="A123" s="21" t="s">
        <v>552</v>
      </c>
      <c r="B123" s="21" t="s">
        <v>553</v>
      </c>
      <c r="C123" s="95"/>
      <c r="D123" s="21" t="s">
        <v>554</v>
      </c>
      <c r="E123" s="156"/>
      <c r="F123" s="21" t="str">
        <f t="shared" si="1"/>
        <v>Locação de Rádio Cliente</v>
      </c>
      <c r="G123" s="157"/>
      <c r="H123" s="157"/>
      <c r="I123" s="48" t="s">
        <v>529</v>
      </c>
      <c r="J123" s="90"/>
      <c r="K123" s="50" t="s">
        <v>81</v>
      </c>
      <c r="L123" s="155"/>
      <c r="M123" s="54">
        <f>(if(L123="sob consulta","sob consulta", ROUND(L123*(1+pconfig!$B$6),2)))</f>
        <v>0</v>
      </c>
      <c r="N123" s="155"/>
      <c r="O123" s="68">
        <v>287.33</v>
      </c>
      <c r="P123" s="54">
        <f>(if(O123="sob consulta","sob consulta", ROUND(O123*(1+pconfig!$B$6),2)))</f>
        <v>296.75</v>
      </c>
    </row>
    <row r="124" ht="22.5" customHeight="1">
      <c r="A124" s="21" t="s">
        <v>556</v>
      </c>
      <c r="B124" s="21" t="s">
        <v>557</v>
      </c>
      <c r="C124" s="115"/>
      <c r="D124" s="21" t="s">
        <v>558</v>
      </c>
      <c r="E124" s="156"/>
      <c r="F124" s="21" t="str">
        <f t="shared" si="1"/>
        <v>Locação de Rádio Servidor</v>
      </c>
      <c r="G124" s="157"/>
      <c r="H124" s="157"/>
      <c r="I124" s="48" t="s">
        <v>529</v>
      </c>
      <c r="J124" s="90"/>
      <c r="K124" s="50" t="s">
        <v>81</v>
      </c>
      <c r="L124" s="155"/>
      <c r="M124" s="54">
        <f>(if(L124="sob consulta","sob consulta", ROUND(L124*(1+pconfig!$B$6),2)))</f>
        <v>0</v>
      </c>
      <c r="N124" s="155"/>
      <c r="O124" s="68">
        <v>2152.3</v>
      </c>
      <c r="P124" s="54">
        <f>(if(O124="sob consulta","sob consulta", ROUND(O124*(1+pconfig!$B$6),2)))</f>
        <v>2222.9</v>
      </c>
    </row>
    <row r="125" ht="22.5" customHeight="1">
      <c r="A125" s="21" t="s">
        <v>560</v>
      </c>
      <c r="B125" s="21" t="s">
        <v>561</v>
      </c>
      <c r="C125" s="95"/>
      <c r="D125" s="21" t="s">
        <v>562</v>
      </c>
      <c r="E125" s="156"/>
      <c r="F125" s="21" t="str">
        <f t="shared" si="1"/>
        <v>Locação de Roteador</v>
      </c>
      <c r="G125" s="157"/>
      <c r="H125" s="157"/>
      <c r="I125" s="48" t="s">
        <v>529</v>
      </c>
      <c r="J125" s="90"/>
      <c r="K125" s="50" t="s">
        <v>81</v>
      </c>
      <c r="L125" s="155"/>
      <c r="M125" s="54">
        <f>(if(L125="sob consulta","sob consulta", ROUND(L125*(1+pconfig!$B$6),2)))</f>
        <v>0</v>
      </c>
      <c r="N125" s="155"/>
      <c r="O125" s="68">
        <v>2152.3</v>
      </c>
      <c r="P125" s="54">
        <f>(if(O125="sob consulta","sob consulta", ROUND(O125*(1+pconfig!$B$6),2)))</f>
        <v>2222.9</v>
      </c>
    </row>
    <row r="126" ht="22.5" customHeight="1">
      <c r="A126" s="21" t="s">
        <v>563</v>
      </c>
      <c r="B126" s="21" t="s">
        <v>564</v>
      </c>
      <c r="C126" s="94"/>
      <c r="D126" s="22" t="s">
        <v>565</v>
      </c>
      <c r="E126" s="156"/>
      <c r="F126" s="21" t="str">
        <f t="shared" si="1"/>
        <v>Manutenção da Rede Metrogepa -</v>
      </c>
      <c r="G126" s="157"/>
      <c r="H126" s="157"/>
      <c r="I126" s="48" t="s">
        <v>538</v>
      </c>
      <c r="J126" s="90"/>
      <c r="K126" s="50" t="s">
        <v>81</v>
      </c>
      <c r="L126" s="155"/>
      <c r="M126" s="54">
        <f>(if(L126="sob consulta","sob consulta", ROUND(L126*(1+pconfig!$B$6),2)))</f>
        <v>0</v>
      </c>
      <c r="N126" s="155"/>
      <c r="O126" s="68">
        <v>46.88</v>
      </c>
      <c r="P126" s="54">
        <f>(if(O126="sob consulta","sob consulta", ROUND(O126*(1+pconfig!$B$6),2)))</f>
        <v>48.42</v>
      </c>
    </row>
    <row r="127" ht="22.5" customHeight="1">
      <c r="A127" s="21" t="s">
        <v>567</v>
      </c>
      <c r="B127" s="21" t="s">
        <v>568</v>
      </c>
      <c r="C127" s="140">
        <v>5084.0</v>
      </c>
      <c r="D127" s="21" t="s">
        <v>569</v>
      </c>
      <c r="E127" s="156"/>
      <c r="F127" s="21" t="str">
        <f t="shared" si="1"/>
        <v>Serviço de VPN com instalação</v>
      </c>
      <c r="G127" s="157"/>
      <c r="H127" s="157"/>
      <c r="I127" s="225" t="s">
        <v>570</v>
      </c>
      <c r="J127" s="90"/>
      <c r="K127" s="50" t="s">
        <v>81</v>
      </c>
      <c r="L127" s="155"/>
      <c r="M127" s="54">
        <f>(if(L127="sob consulta","sob consulta", ROUND(L127*(1+pconfig!$B$6),2)))</f>
        <v>0</v>
      </c>
      <c r="N127" s="155"/>
      <c r="O127" s="68">
        <v>365.75</v>
      </c>
      <c r="P127" s="54">
        <f>(if(O127="sob consulta","sob consulta", ROUND(O127*(1+pconfig!$B$6),2)))</f>
        <v>377.75</v>
      </c>
    </row>
    <row r="128" ht="22.5" customHeight="1">
      <c r="A128" s="21" t="s">
        <v>572</v>
      </c>
      <c r="B128" s="21" t="s">
        <v>573</v>
      </c>
      <c r="C128" s="115"/>
      <c r="D128" s="21" t="s">
        <v>574</v>
      </c>
      <c r="E128" s="156"/>
      <c r="F128" s="21" t="str">
        <f t="shared" si="1"/>
        <v>Instalação de Servidor Firewall</v>
      </c>
      <c r="G128" s="157"/>
      <c r="H128" s="157"/>
      <c r="I128" s="48" t="s">
        <v>138</v>
      </c>
      <c r="J128" s="90"/>
      <c r="K128" s="50" t="s">
        <v>55</v>
      </c>
      <c r="L128" s="228">
        <v>1051.8</v>
      </c>
      <c r="M128" s="54">
        <f>(if(L128="sob consulta","sob consulta", ROUND(L128*(1+pconfig!$B$6),2)))</f>
        <v>1086.3</v>
      </c>
      <c r="N128" s="228"/>
      <c r="O128" s="49"/>
      <c r="P128" s="54">
        <f>(if(O128="sob consulta","sob consulta", ROUND(O128*(1+pconfig!$B$6),2)))</f>
        <v>0</v>
      </c>
    </row>
    <row r="129" ht="22.5" customHeight="1">
      <c r="A129" s="21" t="s">
        <v>578</v>
      </c>
      <c r="B129" s="21" t="s">
        <v>579</v>
      </c>
      <c r="C129" s="95"/>
      <c r="D129" s="21" t="s">
        <v>581</v>
      </c>
      <c r="E129" s="156"/>
      <c r="F129" s="21" t="str">
        <f t="shared" si="1"/>
        <v>Instalação de Servidor de Domínio</v>
      </c>
      <c r="G129" s="157"/>
      <c r="H129" s="157"/>
      <c r="I129" s="48" t="s">
        <v>138</v>
      </c>
      <c r="J129" s="90"/>
      <c r="K129" s="50" t="s">
        <v>55</v>
      </c>
      <c r="L129" s="228">
        <v>878.06</v>
      </c>
      <c r="M129" s="54">
        <f>(if(L129="sob consulta","sob consulta", ROUND(L129*(1+pconfig!$B$6),2)))</f>
        <v>906.86</v>
      </c>
      <c r="N129" s="228"/>
      <c r="O129" s="49"/>
      <c r="P129" s="54">
        <f>(if(O129="sob consulta","sob consulta", ROUND(O129*(1+pconfig!$B$6),2)))</f>
        <v>0</v>
      </c>
    </row>
    <row r="130" ht="22.5" customHeight="1">
      <c r="A130" s="21" t="s">
        <v>584</v>
      </c>
      <c r="B130" s="21" t="s">
        <v>585</v>
      </c>
      <c r="C130" s="240">
        <v>4699.0</v>
      </c>
      <c r="D130" s="114" t="s">
        <v>586</v>
      </c>
      <c r="E130" s="156"/>
      <c r="F130" s="21" t="str">
        <f t="shared" si="1"/>
        <v>Configuração de Equipamento de Rede (SWITCH) - MPLS</v>
      </c>
      <c r="G130" s="157"/>
      <c r="H130" s="157"/>
      <c r="I130" s="48" t="s">
        <v>529</v>
      </c>
      <c r="J130" s="90"/>
      <c r="K130" s="50" t="s">
        <v>55</v>
      </c>
      <c r="L130" s="228">
        <v>606.69</v>
      </c>
      <c r="M130" s="54">
        <f>(if(L130="sob consulta","sob consulta", ROUND(L130*(1+pconfig!$B$6),2)))</f>
        <v>626.59</v>
      </c>
      <c r="N130" s="228"/>
      <c r="O130" s="49"/>
      <c r="P130" s="54">
        <f>(if(O130="sob consulta","sob consulta", ROUND(O130*(1+pconfig!$B$6),2)))</f>
        <v>0</v>
      </c>
    </row>
    <row r="131" ht="22.5" customHeight="1">
      <c r="A131" s="21" t="s">
        <v>589</v>
      </c>
      <c r="B131" s="21" t="s">
        <v>590</v>
      </c>
      <c r="C131" s="95"/>
      <c r="D131" s="149" t="s">
        <v>593</v>
      </c>
      <c r="E131" s="21" t="s">
        <v>595</v>
      </c>
      <c r="F131" s="21" t="str">
        <f t="shared" si="1"/>
        <v>Blocos do Ender.(IP's)  /29  (NOVO)IP _255.255.255.248</v>
      </c>
      <c r="G131" s="157"/>
      <c r="H131" s="157"/>
      <c r="I131" s="48" t="s">
        <v>600</v>
      </c>
      <c r="J131" s="90"/>
      <c r="K131" s="253" t="s">
        <v>81</v>
      </c>
      <c r="L131" s="155"/>
      <c r="M131" s="54">
        <f>(if(L131="sob consulta","sob consulta", ROUND(L131*(1+pconfig!$B$6),2)))</f>
        <v>0</v>
      </c>
      <c r="N131" s="155"/>
      <c r="O131" s="68">
        <v>0.0</v>
      </c>
      <c r="P131" s="54">
        <f>(if(O131="sob consulta","sob consulta", ROUND(O131*(1+pconfig!$B$6),2)))</f>
        <v>0</v>
      </c>
    </row>
    <row r="132" ht="22.5" customHeight="1">
      <c r="A132" s="21" t="s">
        <v>606</v>
      </c>
      <c r="B132" s="21" t="s">
        <v>607</v>
      </c>
      <c r="C132" s="115"/>
      <c r="D132" s="149" t="s">
        <v>608</v>
      </c>
      <c r="E132" s="21" t="s">
        <v>609</v>
      </c>
      <c r="F132" s="21" t="str">
        <f t="shared" si="1"/>
        <v>Blocos do Ender.(IP's)  /28  (NOVO)IP_255.255.255.240</v>
      </c>
      <c r="G132" s="157"/>
      <c r="H132" s="157"/>
      <c r="I132" s="48" t="s">
        <v>600</v>
      </c>
      <c r="J132" s="90"/>
      <c r="K132" s="50" t="s">
        <v>81</v>
      </c>
      <c r="L132" s="155"/>
      <c r="M132" s="54">
        <f>(if(L132="sob consulta","sob consulta", ROUND(L132*(1+pconfig!$B$6),2)))</f>
        <v>0</v>
      </c>
      <c r="N132" s="155"/>
      <c r="O132" s="68">
        <v>275.27</v>
      </c>
      <c r="P132" s="54">
        <f>(if(O132="sob consulta","sob consulta", ROUND(O132*(1+pconfig!$B$6),2)))</f>
        <v>284.3</v>
      </c>
    </row>
    <row r="133" ht="22.5" customHeight="1">
      <c r="A133" s="21" t="s">
        <v>611</v>
      </c>
      <c r="B133" s="21" t="s">
        <v>612</v>
      </c>
      <c r="C133" s="95"/>
      <c r="D133" s="149" t="s">
        <v>613</v>
      </c>
      <c r="E133" s="21" t="s">
        <v>614</v>
      </c>
      <c r="F133" s="21" t="str">
        <f t="shared" si="1"/>
        <v>Blocos do Ender. (IP's)  /27 (NOVO)IP _255.255.255.224</v>
      </c>
      <c r="G133" s="157"/>
      <c r="H133" s="157"/>
      <c r="I133" s="48" t="s">
        <v>600</v>
      </c>
      <c r="J133" s="90"/>
      <c r="K133" s="50" t="s">
        <v>81</v>
      </c>
      <c r="L133" s="155"/>
      <c r="M133" s="54">
        <f>(if(L133="sob consulta","sob consulta", ROUND(L133*(1+pconfig!$B$6),2)))</f>
        <v>0</v>
      </c>
      <c r="N133" s="155"/>
      <c r="O133" s="68">
        <v>550.54</v>
      </c>
      <c r="P133" s="54">
        <f>(if(O133="sob consulta","sob consulta", ROUND(O133*(1+pconfig!$B$6),2)))</f>
        <v>568.6</v>
      </c>
    </row>
    <row r="134" ht="22.5" customHeight="1">
      <c r="A134" s="21" t="s">
        <v>615</v>
      </c>
      <c r="B134" s="21" t="s">
        <v>616</v>
      </c>
      <c r="C134" s="115"/>
      <c r="D134" s="149" t="s">
        <v>617</v>
      </c>
      <c r="E134" s="21" t="s">
        <v>618</v>
      </c>
      <c r="F134" s="21" t="str">
        <f t="shared" si="1"/>
        <v>Blocos do Ender.(IP's) /26 (NOVO)IP_255.255.255.192</v>
      </c>
      <c r="G134" s="157"/>
      <c r="H134" s="157"/>
      <c r="I134" s="48" t="s">
        <v>600</v>
      </c>
      <c r="J134" s="90"/>
      <c r="K134" s="50" t="s">
        <v>81</v>
      </c>
      <c r="L134" s="155"/>
      <c r="M134" s="54">
        <f>(if(L134="sob consulta","sob consulta", ROUND(L134*(1+pconfig!$B$6),2)))</f>
        <v>0</v>
      </c>
      <c r="N134" s="155"/>
      <c r="O134" s="68">
        <v>1101.06</v>
      </c>
      <c r="P134" s="54">
        <f>(if(O134="sob consulta","sob consulta", ROUND(O134*(1+pconfig!$B$6),2)))</f>
        <v>1137.17</v>
      </c>
    </row>
    <row r="135" ht="22.5" customHeight="1">
      <c r="A135" s="21" t="s">
        <v>620</v>
      </c>
      <c r="B135" s="21" t="s">
        <v>621</v>
      </c>
      <c r="C135" s="95"/>
      <c r="D135" s="149" t="s">
        <v>622</v>
      </c>
      <c r="E135" s="21" t="s">
        <v>623</v>
      </c>
      <c r="F135" s="21" t="str">
        <f t="shared" si="1"/>
        <v>Blocos do Ender.(IP's)  /25(NOVO)IP_255.255.255.128</v>
      </c>
      <c r="G135" s="157"/>
      <c r="H135" s="157"/>
      <c r="I135" s="48" t="s">
        <v>600</v>
      </c>
      <c r="J135" s="90"/>
      <c r="K135" s="50" t="s">
        <v>81</v>
      </c>
      <c r="L135" s="155"/>
      <c r="M135" s="54">
        <f>(if(L135="sob consulta","sob consulta", ROUND(L135*(1+pconfig!$B$6),2)))</f>
        <v>0</v>
      </c>
      <c r="N135" s="155"/>
      <c r="O135" s="68">
        <v>2202.67</v>
      </c>
      <c r="P135" s="54">
        <f>(if(O135="sob consulta","sob consulta", ROUND(O135*(1+pconfig!$B$6),2)))</f>
        <v>2274.92</v>
      </c>
    </row>
    <row r="136" ht="22.5" customHeight="1">
      <c r="A136" s="21" t="s">
        <v>625</v>
      </c>
      <c r="B136" s="21" t="s">
        <v>626</v>
      </c>
      <c r="C136" s="115"/>
      <c r="D136" s="149" t="s">
        <v>627</v>
      </c>
      <c r="E136" s="21" t="s">
        <v>628</v>
      </c>
      <c r="F136" s="21" t="str">
        <f t="shared" si="1"/>
        <v>Blocos do Ender. (IP's) - /24(NOVO)IP_255.255.255.0</v>
      </c>
      <c r="G136" s="157"/>
      <c r="H136" s="157"/>
      <c r="I136" s="48" t="s">
        <v>600</v>
      </c>
      <c r="J136" s="90"/>
      <c r="K136" s="50" t="s">
        <v>81</v>
      </c>
      <c r="L136" s="155"/>
      <c r="M136" s="54">
        <f>(if(L136="sob consulta","sob consulta", ROUND(L136*(1+pconfig!$B$6),2)))</f>
        <v>0</v>
      </c>
      <c r="N136" s="155"/>
      <c r="O136" s="68">
        <v>4404.27</v>
      </c>
      <c r="P136" s="54">
        <f>(if(O136="sob consulta","sob consulta", ROUND(O136*(1+pconfig!$B$6),2)))</f>
        <v>4548.73</v>
      </c>
    </row>
    <row r="137" ht="22.5" customHeight="1">
      <c r="A137" s="21" t="s">
        <v>629</v>
      </c>
      <c r="B137" s="21" t="s">
        <v>630</v>
      </c>
      <c r="C137" s="101"/>
      <c r="D137" s="114" t="s">
        <v>631</v>
      </c>
      <c r="E137" s="21" t="s">
        <v>632</v>
      </c>
      <c r="F137" s="21" t="str">
        <f t="shared" si="1"/>
        <v>Blocos do Ender. (IP's) - /23 (NOVO)IP3_255.255.255.0</v>
      </c>
      <c r="G137" s="157"/>
      <c r="H137" s="157"/>
      <c r="I137" s="48" t="s">
        <v>600</v>
      </c>
      <c r="J137" s="90"/>
      <c r="K137" s="50" t="s">
        <v>81</v>
      </c>
      <c r="L137" s="155"/>
      <c r="M137" s="54">
        <f>(if(L137="sob consulta","sob consulta", ROUND(L137*(1+pconfig!$B$6),2)))</f>
        <v>0</v>
      </c>
      <c r="N137" s="155"/>
      <c r="O137" s="68">
        <v>8808.74</v>
      </c>
      <c r="P137" s="54">
        <f>(if(O137="sob consulta","sob consulta", ROUND(O137*(1+pconfig!$B$6),2)))</f>
        <v>9097.67</v>
      </c>
    </row>
    <row r="138" ht="22.5" customHeight="1">
      <c r="A138" s="21" t="s">
        <v>633</v>
      </c>
      <c r="B138" s="21" t="s">
        <v>634</v>
      </c>
      <c r="C138" s="115"/>
      <c r="D138" s="149" t="s">
        <v>635</v>
      </c>
      <c r="E138" s="21" t="s">
        <v>636</v>
      </c>
      <c r="F138" s="21" t="str">
        <f t="shared" si="1"/>
        <v>Blocos do Ender. (IP's) - /22 (NOVO)IP_255.255.255.0</v>
      </c>
      <c r="G138" s="157"/>
      <c r="H138" s="157"/>
      <c r="I138" s="48" t="s">
        <v>600</v>
      </c>
      <c r="J138" s="90"/>
      <c r="K138" s="50" t="s">
        <v>81</v>
      </c>
      <c r="L138" s="155"/>
      <c r="M138" s="54">
        <f>(if(L138="sob consulta","sob consulta", ROUND(L138*(1+pconfig!$B$6),2)))</f>
        <v>0</v>
      </c>
      <c r="N138" s="155"/>
      <c r="O138" s="68">
        <v>17617.06</v>
      </c>
      <c r="P138" s="54">
        <f>(if(O138="sob consulta","sob consulta", ROUND(O138*(1+pconfig!$B$6),2)))</f>
        <v>18194.9</v>
      </c>
    </row>
    <row r="139" ht="22.5" customHeight="1">
      <c r="A139" s="21" t="s">
        <v>637</v>
      </c>
      <c r="B139" s="21" t="s">
        <v>638</v>
      </c>
      <c r="C139" s="58">
        <v>4305.0</v>
      </c>
      <c r="D139" s="22" t="s">
        <v>639</v>
      </c>
      <c r="E139" s="156"/>
      <c r="F139" s="21" t="str">
        <f t="shared" si="1"/>
        <v>IP Válido através de NAT</v>
      </c>
      <c r="G139" s="157"/>
      <c r="H139" s="157"/>
      <c r="I139" s="48" t="s">
        <v>600</v>
      </c>
      <c r="J139" s="90"/>
      <c r="K139" s="50" t="s">
        <v>81</v>
      </c>
      <c r="L139" s="155"/>
      <c r="M139" s="54">
        <f>(if(L139="sob consulta","sob consulta", ROUND(L139*(1+pconfig!$B$6),2)))</f>
        <v>0</v>
      </c>
      <c r="N139" s="155"/>
      <c r="O139" s="68">
        <v>79.32</v>
      </c>
      <c r="P139" s="54">
        <f>(if(O139="sob consulta","sob consulta", ROUND(O139*(1+pconfig!$B$6),2)))</f>
        <v>81.92</v>
      </c>
    </row>
    <row r="140" ht="22.5" customHeight="1">
      <c r="A140" s="21" t="s">
        <v>640</v>
      </c>
      <c r="B140" s="21" t="s">
        <v>641</v>
      </c>
      <c r="C140" s="115"/>
      <c r="D140" s="21" t="s">
        <v>643</v>
      </c>
      <c r="E140" s="21" t="s">
        <v>644</v>
      </c>
      <c r="F140" s="21" t="str">
        <f t="shared" si="1"/>
        <v>Analista Desenvolvedor/ProgramadorJúnior</v>
      </c>
      <c r="G140" s="157"/>
      <c r="H140" s="157"/>
      <c r="I140" s="48" t="s">
        <v>645</v>
      </c>
      <c r="J140" s="90"/>
      <c r="K140" s="50" t="s">
        <v>333</v>
      </c>
      <c r="L140" s="155"/>
      <c r="M140" s="54">
        <f>(if(L140="sob consulta","sob consulta", ROUND(L140*(1+pconfig!$B$6),2)))</f>
        <v>0</v>
      </c>
      <c r="N140" s="155"/>
      <c r="O140" s="68">
        <v>36.37</v>
      </c>
      <c r="P140" s="54">
        <f>(if(O140="sob consulta","sob consulta", ROUND(O140*(1+pconfig!$B$6),2)))</f>
        <v>37.56</v>
      </c>
    </row>
    <row r="141" ht="22.5" customHeight="1">
      <c r="A141" s="21" t="s">
        <v>647</v>
      </c>
      <c r="B141" s="21" t="s">
        <v>648</v>
      </c>
      <c r="C141" s="95"/>
      <c r="D141" s="21" t="s">
        <v>649</v>
      </c>
      <c r="E141" s="21" t="s">
        <v>650</v>
      </c>
      <c r="F141" s="21" t="str">
        <f t="shared" si="1"/>
        <v>Analista Desenvolvedor/ProgramadorPleno</v>
      </c>
      <c r="G141" s="157"/>
      <c r="H141" s="157"/>
      <c r="I141" s="48" t="s">
        <v>645</v>
      </c>
      <c r="J141" s="90"/>
      <c r="K141" s="50" t="s">
        <v>333</v>
      </c>
      <c r="L141" s="155"/>
      <c r="M141" s="54">
        <f>(if(L141="sob consulta","sob consulta", ROUND(L141*(1+pconfig!$B$6),2)))</f>
        <v>0</v>
      </c>
      <c r="N141" s="155"/>
      <c r="O141" s="68">
        <v>93.98</v>
      </c>
      <c r="P141" s="54">
        <f>(if(O141="sob consulta","sob consulta", ROUND(O141*(1+pconfig!$B$6),2)))</f>
        <v>97.06</v>
      </c>
    </row>
    <row r="142" ht="22.5" customHeight="1">
      <c r="A142" s="21" t="s">
        <v>651</v>
      </c>
      <c r="B142" s="21" t="s">
        <v>652</v>
      </c>
      <c r="C142" s="115"/>
      <c r="D142" s="21" t="s">
        <v>653</v>
      </c>
      <c r="E142" s="21" t="s">
        <v>654</v>
      </c>
      <c r="F142" s="21" t="str">
        <f t="shared" si="1"/>
        <v>Analista Desenvolvedor/ProgramadorSênior</v>
      </c>
      <c r="G142" s="157"/>
      <c r="H142" s="157"/>
      <c r="I142" s="48" t="s">
        <v>645</v>
      </c>
      <c r="J142" s="90"/>
      <c r="K142" s="50" t="s">
        <v>333</v>
      </c>
      <c r="L142" s="155"/>
      <c r="M142" s="54">
        <f>(if(L142="sob consulta","sob consulta", ROUND(L142*(1+pconfig!$B$6),2)))</f>
        <v>0</v>
      </c>
      <c r="N142" s="155"/>
      <c r="O142" s="68">
        <v>184.81</v>
      </c>
      <c r="P142" s="54">
        <f>(if(O142="sob consulta","sob consulta", ROUND(O142*(1+pconfig!$B$6),2)))</f>
        <v>190.87</v>
      </c>
    </row>
    <row r="143" ht="22.5" customHeight="1">
      <c r="A143" s="21" t="s">
        <v>656</v>
      </c>
      <c r="B143" s="21" t="s">
        <v>657</v>
      </c>
      <c r="C143" s="95"/>
      <c r="D143" s="21" t="s">
        <v>659</v>
      </c>
      <c r="E143" s="21" t="s">
        <v>660</v>
      </c>
      <c r="F143" s="21" t="str">
        <f t="shared" si="1"/>
        <v>Consultoria EspecializadasSênior</v>
      </c>
      <c r="G143" s="157"/>
      <c r="H143" s="157"/>
      <c r="I143" s="48" t="s">
        <v>645</v>
      </c>
      <c r="J143" s="90"/>
      <c r="K143" s="50" t="s">
        <v>333</v>
      </c>
      <c r="L143" s="155"/>
      <c r="M143" s="54">
        <f>(if(L143="sob consulta","sob consulta", ROUND(L143*(1+pconfig!$B$6),2)))</f>
        <v>0</v>
      </c>
      <c r="N143" s="155"/>
      <c r="O143" s="68">
        <v>184.81</v>
      </c>
      <c r="P143" s="54">
        <f>(if(O143="sob consulta","sob consulta", ROUND(O143*(1+pconfig!$B$6),2)))</f>
        <v>190.87</v>
      </c>
    </row>
    <row r="144" ht="22.5" customHeight="1">
      <c r="A144" s="21" t="s">
        <v>661</v>
      </c>
      <c r="B144" s="21" t="s">
        <v>662</v>
      </c>
      <c r="C144" s="115"/>
      <c r="D144" s="21" t="s">
        <v>663</v>
      </c>
      <c r="E144" s="156"/>
      <c r="F144" s="21" t="str">
        <f t="shared" si="1"/>
        <v>Desenvolvimento de Sistemas</v>
      </c>
      <c r="G144" s="157"/>
      <c r="H144" s="157"/>
      <c r="I144" s="48" t="s">
        <v>664</v>
      </c>
      <c r="J144" s="90"/>
      <c r="K144" s="50" t="s">
        <v>333</v>
      </c>
      <c r="L144" s="155"/>
      <c r="M144" s="54">
        <f>(if(L144="sob consulta","sob consulta", ROUND(L144*(1+pconfig!$B$6),2)))</f>
        <v>0</v>
      </c>
      <c r="N144" s="155"/>
      <c r="O144" s="68">
        <v>808.93</v>
      </c>
      <c r="P144" s="54">
        <f>(if(O144="sob consulta","sob consulta", ROUND(O144*(1+pconfig!$B$6),2)))</f>
        <v>835.46</v>
      </c>
    </row>
    <row r="145" ht="22.5" customHeight="1">
      <c r="A145" s="21" t="s">
        <v>665</v>
      </c>
      <c r="B145" s="21" t="s">
        <v>666</v>
      </c>
      <c r="C145" s="58">
        <v>3011.0</v>
      </c>
      <c r="D145" s="22" t="s">
        <v>667</v>
      </c>
      <c r="E145" s="156"/>
      <c r="F145" s="21" t="str">
        <f t="shared" si="1"/>
        <v>Desenvolvimento de Website/Portal Padrão</v>
      </c>
      <c r="G145" s="157"/>
      <c r="H145" s="157"/>
      <c r="I145" s="48" t="s">
        <v>645</v>
      </c>
      <c r="J145" s="90"/>
      <c r="K145" s="50" t="s">
        <v>55</v>
      </c>
      <c r="L145" s="51">
        <v>8034.4</v>
      </c>
      <c r="M145" s="54">
        <f>(if(L145="sob consulta","sob consulta", ROUND(L145*(1+pconfig!$B$6),2)))</f>
        <v>8297.93</v>
      </c>
      <c r="N145" s="285">
        <v>521.95</v>
      </c>
      <c r="O145" s="49">
        <f t="shared" ref="O145:O149" si="4">ROUND(L145/12,2)</f>
        <v>669.53</v>
      </c>
      <c r="P145" s="54">
        <f>(if(O145="sob consulta","sob consulta", ROUND(O145*(1+pconfig!$B$6),2)))</f>
        <v>691.49</v>
      </c>
    </row>
    <row r="146" ht="22.5" customHeight="1">
      <c r="A146" s="21" t="s">
        <v>668</v>
      </c>
      <c r="B146" s="21" t="s">
        <v>669</v>
      </c>
      <c r="C146" s="122">
        <v>3429.0</v>
      </c>
      <c r="D146" s="21" t="s">
        <v>670</v>
      </c>
      <c r="E146" s="156"/>
      <c r="F146" s="21" t="str">
        <f t="shared" si="1"/>
        <v>Licença de Uso Sistema Globais  (SIMAS/SIAFEM)</v>
      </c>
      <c r="G146" s="157"/>
      <c r="H146" s="157"/>
      <c r="I146" s="48" t="s">
        <v>430</v>
      </c>
      <c r="J146" s="90"/>
      <c r="K146" s="50" t="s">
        <v>55</v>
      </c>
      <c r="L146" s="51">
        <v>9615.65</v>
      </c>
      <c r="M146" s="54">
        <f>(if(L146="sob consulta","sob consulta", ROUND(L146*(1+pconfig!$B$6),2)))</f>
        <v>9931.04</v>
      </c>
      <c r="N146" s="285">
        <v>735.81</v>
      </c>
      <c r="O146" s="49">
        <f t="shared" si="4"/>
        <v>801.3</v>
      </c>
      <c r="P146" s="54">
        <f>(if(O146="sob consulta","sob consulta", ROUND(O146*(1+pconfig!$B$6),2)))</f>
        <v>827.58</v>
      </c>
    </row>
    <row r="147" ht="22.5" customHeight="1">
      <c r="A147" s="21" t="s">
        <v>671</v>
      </c>
      <c r="B147" s="21" t="s">
        <v>672</v>
      </c>
      <c r="C147" s="58">
        <v>3435.0</v>
      </c>
      <c r="D147" s="22" t="s">
        <v>673</v>
      </c>
      <c r="E147" s="156"/>
      <c r="F147" s="21" t="str">
        <f t="shared" si="1"/>
        <v>Licença de Uso Sistemas Específicos (ID CIVIL)</v>
      </c>
      <c r="G147" s="157"/>
      <c r="H147" s="157"/>
      <c r="I147" s="48" t="s">
        <v>430</v>
      </c>
      <c r="J147" s="90"/>
      <c r="K147" s="50" t="s">
        <v>55</v>
      </c>
      <c r="L147" s="51">
        <v>6060.03</v>
      </c>
      <c r="M147" s="54">
        <f>(if(L147="sob consulta","sob consulta", ROUND(L147*(1+pconfig!$B$6),2)))</f>
        <v>6258.8</v>
      </c>
      <c r="N147" s="285">
        <v>463.72</v>
      </c>
      <c r="O147" s="49">
        <f t="shared" si="4"/>
        <v>505</v>
      </c>
      <c r="P147" s="54">
        <f>(if(O147="sob consulta","sob consulta", ROUND(O147*(1+pconfig!$B$6),2)))</f>
        <v>521.56</v>
      </c>
    </row>
    <row r="148" ht="22.5" customHeight="1">
      <c r="A148" s="21" t="s">
        <v>674</v>
      </c>
      <c r="B148" s="21" t="s">
        <v>675</v>
      </c>
      <c r="C148" s="122">
        <v>3518.0</v>
      </c>
      <c r="D148" s="21" t="s">
        <v>676</v>
      </c>
      <c r="E148" s="156"/>
      <c r="F148" s="21" t="str">
        <f t="shared" si="1"/>
        <v>Licença de Uso Sistema de busca (INDEXA)</v>
      </c>
      <c r="G148" s="157"/>
      <c r="H148" s="157"/>
      <c r="I148" s="48" t="s">
        <v>430</v>
      </c>
      <c r="J148" s="90"/>
      <c r="K148" s="50" t="s">
        <v>55</v>
      </c>
      <c r="L148" s="51">
        <v>4139.4</v>
      </c>
      <c r="M148" s="54">
        <f>(if(L148="sob consulta","sob consulta", ROUND(L148*(1+pconfig!$B$6),2)))</f>
        <v>4275.17</v>
      </c>
      <c r="N148" s="117"/>
      <c r="O148" s="49">
        <f t="shared" si="4"/>
        <v>344.95</v>
      </c>
      <c r="P148" s="54">
        <f>(if(O148="sob consulta","sob consulta", ROUND(O148*(1+pconfig!$B$6),2)))</f>
        <v>356.26</v>
      </c>
    </row>
    <row r="149" ht="22.5" customHeight="1">
      <c r="A149" s="21" t="s">
        <v>677</v>
      </c>
      <c r="B149" s="21" t="s">
        <v>678</v>
      </c>
      <c r="C149" s="95"/>
      <c r="D149" s="22" t="s">
        <v>679</v>
      </c>
      <c r="E149" s="156"/>
      <c r="F149" s="21" t="str">
        <f t="shared" si="1"/>
        <v>Licença de Uso de  sistema (SIGA)</v>
      </c>
      <c r="G149" s="157"/>
      <c r="H149" s="157"/>
      <c r="I149" s="48" t="s">
        <v>430</v>
      </c>
      <c r="J149" s="90"/>
      <c r="K149" s="50" t="s">
        <v>55</v>
      </c>
      <c r="L149" s="51">
        <v>30661.87</v>
      </c>
      <c r="M149" s="54">
        <f>(if(L149="sob consulta","sob consulta", ROUND(L149*(1+pconfig!$B$6),2)))</f>
        <v>31667.58</v>
      </c>
      <c r="N149" s="117"/>
      <c r="O149" s="49">
        <f t="shared" si="4"/>
        <v>2555.16</v>
      </c>
      <c r="P149" s="54">
        <f>(if(O149="sob consulta","sob consulta", ROUND(O149*(1+pconfig!$B$6),2)))</f>
        <v>2638.97</v>
      </c>
    </row>
    <row r="150" ht="22.5" customHeight="1">
      <c r="A150" s="21" t="s">
        <v>680</v>
      </c>
      <c r="B150" s="21" t="s">
        <v>681</v>
      </c>
      <c r="C150" s="94"/>
      <c r="D150" s="22" t="s">
        <v>682</v>
      </c>
      <c r="E150" s="156"/>
      <c r="F150" s="21" t="str">
        <f t="shared" si="1"/>
        <v>Licença de uso de sistema (SUAS)</v>
      </c>
      <c r="G150" s="157"/>
      <c r="H150" s="157"/>
      <c r="I150" s="48" t="s">
        <v>430</v>
      </c>
      <c r="J150" s="90"/>
      <c r="K150" s="50" t="s">
        <v>55</v>
      </c>
      <c r="L150" s="51"/>
      <c r="M150" s="54">
        <f>(if(L150="sob consulta","sob consulta", ROUND(L150*(1+pconfig!$B$6),2)))</f>
        <v>0</v>
      </c>
      <c r="N150" s="285">
        <v>2296.58</v>
      </c>
      <c r="O150" s="68">
        <v>2108.68</v>
      </c>
      <c r="P150" s="54">
        <f>(if(O150="sob consulta","sob consulta", ROUND(O150*(1+pconfig!$B$6),2)))</f>
        <v>2177.84</v>
      </c>
    </row>
    <row r="151" ht="22.5" customHeight="1">
      <c r="A151" s="21" t="s">
        <v>684</v>
      </c>
      <c r="B151" s="21" t="s">
        <v>685</v>
      </c>
      <c r="C151" s="101"/>
      <c r="D151" s="22" t="s">
        <v>686</v>
      </c>
      <c r="E151" s="156"/>
      <c r="F151" s="21" t="str">
        <f t="shared" si="1"/>
        <v>Licença de uso de sistema (COBEN)</v>
      </c>
      <c r="G151" s="157"/>
      <c r="H151" s="157"/>
      <c r="I151" s="48" t="s">
        <v>430</v>
      </c>
      <c r="J151" s="90"/>
      <c r="K151" s="50" t="s">
        <v>55</v>
      </c>
      <c r="L151" s="51"/>
      <c r="M151" s="54">
        <f>(if(L151="sob consulta","sob consulta", ROUND(L151*(1+pconfig!$B$6),2)))</f>
        <v>0</v>
      </c>
      <c r="N151" s="285">
        <v>2108.68</v>
      </c>
      <c r="O151" s="68">
        <v>2296.58</v>
      </c>
      <c r="P151" s="54">
        <f>(if(O151="sob consulta","sob consulta", ROUND(O151*(1+pconfig!$B$6),2)))</f>
        <v>2371.91</v>
      </c>
    </row>
    <row r="152" ht="22.5" customHeight="1">
      <c r="A152" s="21" t="s">
        <v>688</v>
      </c>
      <c r="B152" s="21" t="s">
        <v>689</v>
      </c>
      <c r="C152" s="115"/>
      <c r="D152" s="21" t="s">
        <v>691</v>
      </c>
      <c r="E152" s="21" t="s">
        <v>692</v>
      </c>
      <c r="F152" s="21" t="str">
        <f t="shared" si="1"/>
        <v>Processos Eletrônicos (PAE) - Exclusivo Prefeituras1 Gb</v>
      </c>
      <c r="G152" s="157"/>
      <c r="H152" s="157"/>
      <c r="I152" s="48" t="s">
        <v>693</v>
      </c>
      <c r="J152" s="90"/>
      <c r="K152" s="253" t="s">
        <v>81</v>
      </c>
      <c r="L152" s="155"/>
      <c r="M152" s="54">
        <f>(if(L152="sob consulta","sob consulta", ROUND(L152*(1+pconfig!$B$6),2)))</f>
        <v>0</v>
      </c>
      <c r="N152" s="155"/>
      <c r="O152" s="68">
        <v>4354.24</v>
      </c>
      <c r="P152" s="54">
        <f>(if(O152="sob consulta","sob consulta", ROUND(O152*(1+pconfig!$B$6),2)))</f>
        <v>4497.06</v>
      </c>
    </row>
    <row r="153" ht="22.5" customHeight="1">
      <c r="A153" s="21" t="s">
        <v>696</v>
      </c>
      <c r="B153" s="21" t="s">
        <v>697</v>
      </c>
      <c r="C153" s="95"/>
      <c r="D153" s="21" t="s">
        <v>698</v>
      </c>
      <c r="E153" s="21" t="s">
        <v>700</v>
      </c>
      <c r="F153" s="21" t="str">
        <f t="shared" si="1"/>
        <v>Processos Eletrônicos (PAE) - Pacote 1Pct 1 - Até 5GB</v>
      </c>
      <c r="G153" s="157"/>
      <c r="H153" s="157"/>
      <c r="I153" s="48" t="s">
        <v>693</v>
      </c>
      <c r="J153" s="90"/>
      <c r="K153" s="253" t="s">
        <v>81</v>
      </c>
      <c r="L153" s="155"/>
      <c r="M153" s="54"/>
      <c r="N153" s="155"/>
      <c r="O153" s="49">
        <v>21771.19</v>
      </c>
      <c r="P153" s="54">
        <f>(if(O153="sob consulta","sob consulta", ROUND(O153*(1+pconfig!$B$6),2)))</f>
        <v>22485.29</v>
      </c>
    </row>
    <row r="154" ht="22.5" customHeight="1">
      <c r="A154" s="21" t="s">
        <v>702</v>
      </c>
      <c r="B154" s="21" t="s">
        <v>703</v>
      </c>
      <c r="C154" s="115"/>
      <c r="D154" s="21" t="s">
        <v>704</v>
      </c>
      <c r="E154" s="21" t="s">
        <v>705</v>
      </c>
      <c r="F154" s="21" t="str">
        <f t="shared" si="1"/>
        <v>Processos Eletrônicos (PAE) - Pacote 2Pct. 2 - entre 5GB e 20 GB</v>
      </c>
      <c r="G154" s="157"/>
      <c r="H154" s="157"/>
      <c r="I154" s="48" t="s">
        <v>693</v>
      </c>
      <c r="J154" s="90"/>
      <c r="K154" s="253" t="s">
        <v>81</v>
      </c>
      <c r="L154" s="155"/>
      <c r="M154" s="54"/>
      <c r="N154" s="155"/>
      <c r="O154" s="49">
        <v>25399.73</v>
      </c>
      <c r="P154" s="54">
        <f>(if(O154="sob consulta","sob consulta", ROUND(O154*(1+pconfig!$B$6),2)))</f>
        <v>26232.84</v>
      </c>
    </row>
    <row r="155" ht="22.5" customHeight="1">
      <c r="A155" s="21" t="s">
        <v>707</v>
      </c>
      <c r="B155" s="21" t="s">
        <v>709</v>
      </c>
      <c r="C155" s="95"/>
      <c r="D155" s="21" t="s">
        <v>710</v>
      </c>
      <c r="E155" s="21" t="s">
        <v>711</v>
      </c>
      <c r="F155" s="21" t="str">
        <f t="shared" si="1"/>
        <v>Processos Eletrônicos (PAE) - Pacote 3Pct 3 - Acima de 20GB</v>
      </c>
      <c r="G155" s="157"/>
      <c r="H155" s="157"/>
      <c r="I155" s="48" t="s">
        <v>693</v>
      </c>
      <c r="J155" s="90"/>
      <c r="K155" s="253" t="s">
        <v>81</v>
      </c>
      <c r="L155" s="155"/>
      <c r="M155" s="54"/>
      <c r="N155" s="155"/>
      <c r="O155" s="49">
        <v>30842.52</v>
      </c>
      <c r="P155" s="54">
        <f>(if(O155="sob consulta","sob consulta", ROUND(O155*(1+pconfig!$B$6),2)))</f>
        <v>31854.15</v>
      </c>
    </row>
    <row r="156" ht="22.5" customHeight="1">
      <c r="A156" s="21" t="s">
        <v>713</v>
      </c>
      <c r="B156" s="21" t="s">
        <v>714</v>
      </c>
      <c r="C156" s="115"/>
      <c r="D156" s="21" t="s">
        <v>715</v>
      </c>
      <c r="E156" s="158"/>
      <c r="F156" s="21" t="str">
        <f t="shared" si="1"/>
        <v>Manutenção corretiva_defeitos de software</v>
      </c>
      <c r="G156" s="157"/>
      <c r="H156" s="157"/>
      <c r="I156" s="225" t="s">
        <v>718</v>
      </c>
      <c r="J156" s="90"/>
      <c r="K156" s="253" t="s">
        <v>81</v>
      </c>
      <c r="M156" s="54"/>
      <c r="N156" s="51"/>
      <c r="O156" s="68">
        <v>2005.92</v>
      </c>
      <c r="P156" s="54">
        <f>(if(O156="sob consulta","sob consulta", ROUND(O156*(1+pconfig!$B$6),2)))</f>
        <v>2071.71</v>
      </c>
    </row>
    <row r="157" ht="22.5" customHeight="1">
      <c r="A157" s="21" t="s">
        <v>720</v>
      </c>
      <c r="B157" s="21" t="s">
        <v>721</v>
      </c>
      <c r="C157" s="95"/>
      <c r="D157" s="21" t="s">
        <v>722</v>
      </c>
      <c r="E157" s="158"/>
      <c r="F157" s="21" t="str">
        <f t="shared" si="1"/>
        <v>Manut. Evolut._adaptar o softw. a outro ambiente</v>
      </c>
      <c r="G157" s="157"/>
      <c r="H157" s="157"/>
      <c r="I157" s="225" t="s">
        <v>723</v>
      </c>
      <c r="J157" s="90"/>
      <c r="K157" s="50" t="s">
        <v>81</v>
      </c>
      <c r="M157" s="54"/>
      <c r="N157" s="51"/>
      <c r="O157" s="68">
        <v>4011.86</v>
      </c>
      <c r="P157" s="54">
        <f>(if(O157="sob consulta","sob consulta", ROUND(O157*(1+pconfig!$B$6),2)))</f>
        <v>4143.45</v>
      </c>
    </row>
    <row r="158" ht="22.5" customHeight="1">
      <c r="A158" s="21" t="s">
        <v>724</v>
      </c>
      <c r="B158" s="21" t="s">
        <v>725</v>
      </c>
      <c r="C158" s="115"/>
      <c r="D158" s="21" t="s">
        <v>726</v>
      </c>
      <c r="E158" s="158"/>
      <c r="F158" s="21" t="str">
        <f t="shared" si="1"/>
        <v>Manut. Evolut._adaptar o softw. a outro ambiente</v>
      </c>
      <c r="G158" s="157"/>
      <c r="H158" s="157"/>
      <c r="I158" s="225" t="s">
        <v>727</v>
      </c>
      <c r="J158" s="90"/>
      <c r="K158" s="50" t="s">
        <v>81</v>
      </c>
      <c r="M158" s="54"/>
      <c r="N158" s="51"/>
      <c r="O158" s="68">
        <v>8023.7</v>
      </c>
      <c r="P158" s="54">
        <f>(if(O158="sob consulta","sob consulta", ROUND(O158*(1+pconfig!$B$6),2)))</f>
        <v>8286.88</v>
      </c>
    </row>
    <row r="159" ht="22.5" customHeight="1">
      <c r="A159" s="21" t="s">
        <v>731</v>
      </c>
      <c r="B159" s="21" t="s">
        <v>732</v>
      </c>
      <c r="C159" s="95"/>
      <c r="D159" s="21" t="s">
        <v>733</v>
      </c>
      <c r="E159" s="158"/>
      <c r="F159" s="21" t="str">
        <f t="shared" si="1"/>
        <v>Manut. Evolut._adaptar o softw. a outro ambiente</v>
      </c>
      <c r="G159" s="157"/>
      <c r="H159" s="157"/>
      <c r="I159" s="225" t="s">
        <v>734</v>
      </c>
      <c r="J159" s="90"/>
      <c r="K159" s="50" t="s">
        <v>81</v>
      </c>
      <c r="M159" s="54"/>
      <c r="N159" s="51"/>
      <c r="O159" s="68">
        <v>12035.56</v>
      </c>
      <c r="P159" s="54">
        <f>(if(O159="sob consulta","sob consulta", ROUND(O159*(1+pconfig!$B$6),2)))</f>
        <v>12430.33</v>
      </c>
    </row>
    <row r="160" ht="22.5" customHeight="1">
      <c r="A160" s="21" t="s">
        <v>735</v>
      </c>
      <c r="B160" s="21" t="s">
        <v>736</v>
      </c>
      <c r="C160" s="122">
        <v>5121.0</v>
      </c>
      <c r="D160" s="21" t="s">
        <v>737</v>
      </c>
      <c r="E160" s="156"/>
      <c r="F160" s="21" t="str">
        <f t="shared" si="1"/>
        <v>Manutenção ADAPTATIVA de Website/Portal_10h/h</v>
      </c>
      <c r="G160" s="157"/>
      <c r="H160" s="157"/>
      <c r="I160" s="225" t="s">
        <v>738</v>
      </c>
      <c r="J160" s="90"/>
      <c r="K160" s="50" t="s">
        <v>81</v>
      </c>
      <c r="L160" s="155"/>
      <c r="M160" s="51"/>
      <c r="N160" s="155"/>
      <c r="O160" s="68">
        <v>527.92</v>
      </c>
      <c r="P160" s="54">
        <f>(if(O160="sob consulta","sob consulta", ROUND(O160*(1+pconfig!$B$6),2)))</f>
        <v>545.24</v>
      </c>
    </row>
    <row r="161" ht="22.5" customHeight="1">
      <c r="A161" s="21" t="s">
        <v>740</v>
      </c>
      <c r="B161" s="21" t="s">
        <v>741</v>
      </c>
      <c r="C161" s="95"/>
      <c r="D161" s="21" t="s">
        <v>742</v>
      </c>
      <c r="E161" s="156"/>
      <c r="F161" s="21" t="str">
        <f t="shared" si="1"/>
        <v>Manutenção EVOLUTIVA de Website/Portal</v>
      </c>
      <c r="G161" s="157"/>
      <c r="H161" s="157"/>
      <c r="I161" s="225" t="s">
        <v>743</v>
      </c>
      <c r="J161" s="90"/>
      <c r="K161" s="50" t="s">
        <v>81</v>
      </c>
      <c r="L161" s="155"/>
      <c r="M161" s="51"/>
      <c r="N161" s="155"/>
      <c r="O161" s="68">
        <v>1595.73</v>
      </c>
      <c r="P161" s="54">
        <f>(if(O161="sob consulta","sob consulta", ROUND(O161*(1+pconfig!$B$6),2)))</f>
        <v>1648.07</v>
      </c>
    </row>
    <row r="162" ht="22.5" customHeight="1">
      <c r="A162" s="21" t="s">
        <v>745</v>
      </c>
      <c r="B162" s="21" t="s">
        <v>746</v>
      </c>
      <c r="C162" s="122">
        <v>5581.0</v>
      </c>
      <c r="D162" s="21" t="s">
        <v>747</v>
      </c>
      <c r="E162" s="156"/>
      <c r="F162" s="21" t="str">
        <f t="shared" si="1"/>
        <v>Business Intelligence Web - B.I.</v>
      </c>
      <c r="G162" s="157"/>
      <c r="H162" s="157"/>
      <c r="I162" s="48" t="s">
        <v>430</v>
      </c>
      <c r="J162" s="90"/>
      <c r="K162" s="50" t="s">
        <v>81</v>
      </c>
      <c r="L162" s="155"/>
      <c r="M162" s="51"/>
      <c r="N162" s="299">
        <v>790.9</v>
      </c>
      <c r="O162" s="68">
        <v>861.3</v>
      </c>
      <c r="P162" s="54">
        <f>(if(O162="sob consulta","sob consulta", ROUND(O162*(1+pconfig!$B$6),2)))</f>
        <v>889.55</v>
      </c>
    </row>
    <row r="163" ht="22.5" customHeight="1">
      <c r="A163" s="21" t="s">
        <v>750</v>
      </c>
      <c r="B163" s="21" t="s">
        <v>751</v>
      </c>
      <c r="C163" s="140">
        <v>5397.0</v>
      </c>
      <c r="D163" s="21" t="s">
        <v>752</v>
      </c>
      <c r="E163" s="156"/>
      <c r="F163" s="21" t="str">
        <f t="shared" si="1"/>
        <v>Suporte de DW Estadual</v>
      </c>
      <c r="G163" s="157"/>
      <c r="H163" s="157"/>
      <c r="I163" s="48" t="s">
        <v>430</v>
      </c>
      <c r="J163" s="90"/>
      <c r="K163" s="50" t="s">
        <v>81</v>
      </c>
      <c r="L163" s="155"/>
      <c r="M163" s="51"/>
      <c r="N163" s="155"/>
      <c r="O163" s="68">
        <v>527.92</v>
      </c>
      <c r="P163" s="54">
        <f>(if(O163="sob consulta","sob consulta", ROUND(O163*(1+pconfig!$B$6),2)))</f>
        <v>545.24</v>
      </c>
    </row>
    <row r="164" ht="22.5" customHeight="1">
      <c r="A164" s="21" t="s">
        <v>755</v>
      </c>
      <c r="B164" s="21" t="s">
        <v>756</v>
      </c>
      <c r="C164" s="122">
        <v>5151.0</v>
      </c>
      <c r="D164" s="21" t="s">
        <v>758</v>
      </c>
      <c r="E164" s="156"/>
      <c r="F164" s="21" t="str">
        <f t="shared" si="1"/>
        <v>Treinamento – Sistema/Website/Portal/Aplicativos</v>
      </c>
      <c r="G164" s="157"/>
      <c r="H164" s="157"/>
      <c r="I164" s="48" t="s">
        <v>645</v>
      </c>
      <c r="J164" s="90"/>
      <c r="K164" s="253" t="s">
        <v>55</v>
      </c>
      <c r="L164" s="155"/>
      <c r="M164" s="54"/>
      <c r="N164" s="155"/>
      <c r="O164" s="54" t="s">
        <v>762</v>
      </c>
      <c r="P164" s="54" t="str">
        <f>(if(O164="sob consulta","sob consulta", ROUND(O164*(1+pconfig!$B$6),2)))</f>
        <v>sob consulta</v>
      </c>
    </row>
    <row r="165" ht="22.5" customHeight="1">
      <c r="A165" s="21" t="s">
        <v>763</v>
      </c>
      <c r="B165" s="21" t="s">
        <v>764</v>
      </c>
      <c r="C165" s="311"/>
      <c r="D165" s="21" t="s">
        <v>765</v>
      </c>
      <c r="E165" s="156"/>
      <c r="F165" s="21" t="str">
        <f t="shared" si="1"/>
        <v>Ponto de Acesso (Mídia Indoor)</v>
      </c>
      <c r="G165" s="157"/>
      <c r="H165" s="157"/>
      <c r="I165" s="48" t="s">
        <v>117</v>
      </c>
      <c r="J165" s="90"/>
      <c r="K165" s="253" t="s">
        <v>55</v>
      </c>
      <c r="L165" s="155"/>
      <c r="M165" s="54"/>
      <c r="N165" s="155"/>
      <c r="O165" s="54" t="s">
        <v>768</v>
      </c>
      <c r="P165" s="54" t="str">
        <f>(if(O165="sob consulta","sob consulta", ROUND(O165*(1+pconfig!$B$6),2)))</f>
        <v>sob consulta</v>
      </c>
    </row>
  </sheetData>
  <dataValidations>
    <dataValidation type="list" allowBlank="1" showErrorMessage="1" sqref="K2:K165">
      <formula1>"Mensal,Pagamento único anual,Quadrianual,Sob demanda"</formula1>
    </dataValidation>
    <dataValidation type="custom" allowBlank="1" showDropDown="1" sqref="G2:H165 J2:J165 O2:P165">
      <formula1>AND(ISNUMBER(G2),(NOT(OR(NOT(ISERROR(DATEVALUE(G2))), AND(ISNUMBER(G2), LEFT(CELL("format", G2))="D")))))</formula1>
    </dataValidation>
    <dataValidation type="list" allowBlank="1" showErrorMessage="1" sqref="E2:E7">
      <formula1>pconfig!$J$7:$J$9</formula1>
    </dataValidation>
    <dataValidation type="list" allowBlank="1" sqref="I2:I165">
      <formula1>"Mbps,Gbps,GB,Máquina - 1 U,1/2 Rack - 22 U,Full Rack - 44 U,Máquina,Página,Fotograma,Cartão,Imagem,Rolo,Suporte,IP,Hora,Visita,Configuração,U,Licença de software,Pontos de função,Pacote,Equipamento,Cabeamento"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8.75"/>
    <col customWidth="1" min="3" max="3" width="16.75"/>
    <col customWidth="1" min="4" max="4" width="23.0"/>
    <col customWidth="1" min="5" max="5" width="21.0"/>
    <col customWidth="1" min="7" max="7" width="25.13"/>
    <col customWidth="1" min="8" max="8" width="17.75"/>
    <col customWidth="1" min="10" max="10" width="14.88"/>
    <col customWidth="1" min="11" max="11" width="14.63"/>
    <col customWidth="1" min="13" max="15" width="16.0"/>
    <col customWidth="1" min="16" max="16" width="16.25"/>
  </cols>
  <sheetData>
    <row r="1" ht="22.5" customHeight="1">
      <c r="A1" s="31" t="s">
        <v>28</v>
      </c>
      <c r="B1" s="32" t="s">
        <v>29</v>
      </c>
      <c r="C1" s="32" t="s">
        <v>30</v>
      </c>
      <c r="D1" s="32" t="s">
        <v>31</v>
      </c>
      <c r="E1" s="33" t="s">
        <v>32</v>
      </c>
      <c r="F1" s="34" t="s">
        <v>33</v>
      </c>
      <c r="G1" s="32" t="s">
        <v>34</v>
      </c>
      <c r="H1" s="36" t="s">
        <v>36</v>
      </c>
      <c r="I1" s="32" t="s">
        <v>37</v>
      </c>
      <c r="J1" s="34" t="s">
        <v>38</v>
      </c>
      <c r="K1" s="32" t="s">
        <v>39</v>
      </c>
      <c r="L1" s="32" t="s">
        <v>41</v>
      </c>
      <c r="M1" s="32" t="s">
        <v>42</v>
      </c>
      <c r="N1" s="33" t="s">
        <v>43</v>
      </c>
      <c r="O1" s="32" t="s">
        <v>45</v>
      </c>
      <c r="P1" s="39" t="s">
        <v>46</v>
      </c>
      <c r="Q1" s="39" t="s">
        <v>47</v>
      </c>
      <c r="R1" s="41" t="s">
        <v>48</v>
      </c>
    </row>
    <row r="2" ht="22.5" hidden="1" customHeight="1">
      <c r="A2" s="52">
        <v>1.0</v>
      </c>
      <c r="B2" s="53" t="s">
        <v>58</v>
      </c>
      <c r="C2" s="53" t="s">
        <v>59</v>
      </c>
      <c r="D2" s="56" t="s">
        <v>60</v>
      </c>
      <c r="E2" s="53" t="str">
        <f t="shared" ref="E2:E433" si="1">B2&amp;C2</f>
        <v>ABAETETUBARADIO</v>
      </c>
      <c r="F2" s="57">
        <v>1.0</v>
      </c>
      <c r="G2" s="53" t="s">
        <v>61</v>
      </c>
      <c r="H2" s="59" t="str">
        <f t="array" ref="H2">XLOOKUP(B2,municipios,regiao!$D$6:$D$150,0)</f>
        <v>SIM</v>
      </c>
      <c r="I2" s="53" t="s">
        <v>63</v>
      </c>
      <c r="J2" s="60" t="s">
        <v>64</v>
      </c>
      <c r="K2" s="61">
        <v>15.65</v>
      </c>
      <c r="L2" s="70">
        <f>K2/(1-pconfig!$G$2-pconfig!$G$3-pconfig!$G$4)</f>
        <v>29.55060423</v>
      </c>
      <c r="M2" s="61">
        <v>138.285</v>
      </c>
      <c r="N2" s="61">
        <f>M2/(1-pconfig!$G$2-pconfig!$G$3-pconfig!$G$4)</f>
        <v>261.1121601</v>
      </c>
      <c r="O2" s="61">
        <f>((K2*F2)+M2)/(1-pconfig!$G$2-pconfig!$G$3-pconfig!$G$4)</f>
        <v>290.6627644</v>
      </c>
      <c r="P2" s="74">
        <f>K2*F2/(1-pconfig!$G$2-pconfig!$G$3-pconfig!$G$4)</f>
        <v>29.55060423</v>
      </c>
      <c r="Q2" s="74">
        <f>IFS(F2&lt;=pconfig!$B$12,P2*pconfig!$C$12,F2&lt;=pconfig!$B$13,P2*pconfig!$C$13,F2&lt;=pconfig!$B$14,P2*pconfig!$C$14,F2&lt;=pconfig!$B$15,P2*pconfig!$C$15,F2&lt;=pconfig!$B$16,P2*pconfig!$C$16,F2&lt;=pconfig!$B$17,P2*pconfig!$C$17,F2&lt;=pconfig!$B$18,P2*pconfig!$C$18,F2&lt;=pconfig!$B$19,P2*pconfig!$C$19,F2&lt;=pconfig!$B$20,P2*pconfig!$C$20,F2&lt;=pconfig!$B$21,P2*pconfig!$C$21)</f>
        <v>29.55060423</v>
      </c>
      <c r="R2" s="76">
        <f t="shared" ref="R2:R433" si="2">IF(Q2=0,P2+N2,Q2+N2)</f>
        <v>290.6627644</v>
      </c>
    </row>
    <row r="3" ht="22.5" hidden="1" customHeight="1">
      <c r="A3" s="78">
        <f t="shared" ref="A3:A433" si="3">A2+1</f>
        <v>2</v>
      </c>
      <c r="B3" s="79" t="s">
        <v>58</v>
      </c>
      <c r="C3" s="79" t="s">
        <v>50</v>
      </c>
      <c r="D3" s="80" t="s">
        <v>82</v>
      </c>
      <c r="E3" s="79" t="str">
        <f t="shared" si="1"/>
        <v>ABAETETUBAFIBRA</v>
      </c>
      <c r="F3" s="81">
        <v>1.0</v>
      </c>
      <c r="G3" s="79" t="s">
        <v>61</v>
      </c>
      <c r="H3" s="81" t="str">
        <f t="array" ref="H3">XLOOKUP(B3,municipios,regiao!$D$6:$D$150,0)</f>
        <v>SIM</v>
      </c>
      <c r="I3" s="79" t="s">
        <v>63</v>
      </c>
      <c r="J3" s="82" t="s">
        <v>64</v>
      </c>
      <c r="K3" s="83">
        <v>15.65</v>
      </c>
      <c r="L3" s="85">
        <f>K3/(1-pconfig!$G$2-pconfig!$G$3-pconfig!$G$4)</f>
        <v>29.55060423</v>
      </c>
      <c r="M3" s="83">
        <v>314.77</v>
      </c>
      <c r="N3" s="83">
        <f>M3/(1-pconfig!$G$2-pconfig!$G$3-pconfig!$G$4)</f>
        <v>594.3542296</v>
      </c>
      <c r="O3" s="83">
        <f>((K3*F3)+M3)/(1-pconfig!$G$2-pconfig!$G$3-pconfig!$G$4)</f>
        <v>623.9048338</v>
      </c>
      <c r="P3" s="86">
        <f>(K3*F3/(1-pconfig!$G$2-pconfig!$G$3-pconfig!$G$4))</f>
        <v>29.55060423</v>
      </c>
      <c r="Q3" s="86">
        <f>IFS(F3&lt;=pconfig!$B$12,P3*pconfig!$C$12,F3&lt;=pconfig!$B$13,P3*pconfig!$C$13,F3&lt;=pconfig!$B$14,P3*pconfig!$C$14,F3&lt;=pconfig!$B$15,P3*pconfig!$C$15,F3&lt;=pconfig!$B$16,P3*pconfig!$C$16,F3&lt;=pconfig!$B$17,P3*pconfig!$C$17,F3&lt;=pconfig!$B$18,P3*pconfig!$C$18,F3&lt;=pconfig!$B$19,P3*pconfig!$C$19,F3&lt;=pconfig!$B$20,P3*pconfig!$C$20,F3&lt;=pconfig!$B$21,P3*pconfig!$C$21)</f>
        <v>29.55060423</v>
      </c>
      <c r="R3" s="87">
        <f t="shared" si="2"/>
        <v>623.9048338</v>
      </c>
    </row>
    <row r="4" ht="22.5" hidden="1" customHeight="1">
      <c r="A4" s="52">
        <f t="shared" si="3"/>
        <v>3</v>
      </c>
      <c r="B4" s="53" t="s">
        <v>58</v>
      </c>
      <c r="C4" s="53" t="s">
        <v>101</v>
      </c>
      <c r="D4" s="56" t="s">
        <v>102</v>
      </c>
      <c r="E4" s="53" t="str">
        <f t="shared" si="1"/>
        <v>ABAETETUBASATELITE</v>
      </c>
      <c r="F4" s="59">
        <v>1.0</v>
      </c>
      <c r="G4" s="53" t="s">
        <v>61</v>
      </c>
      <c r="H4" s="59" t="str">
        <f t="array" ref="H4">XLOOKUP(B4,municipios,regiao!$D$6:$D$150,0)</f>
        <v>SIM</v>
      </c>
      <c r="I4" s="53" t="s">
        <v>63</v>
      </c>
      <c r="J4" s="60" t="s">
        <v>106</v>
      </c>
      <c r="K4" s="61">
        <v>4799.0</v>
      </c>
      <c r="L4" s="70">
        <f>K4/(1-pconfig!$G$2-pconfig!$G$3-pconfig!$G$4)</f>
        <v>9061.555891</v>
      </c>
      <c r="M4" s="61">
        <v>314.77</v>
      </c>
      <c r="N4" s="61">
        <f>M4/(1-pconfig!$G$2-pconfig!$G$3-pconfig!$G$4)</f>
        <v>594.3542296</v>
      </c>
      <c r="O4" s="61">
        <f>((K4*F4)+M4)/(1-pconfig!$G$2-pconfig!$G$3-pconfig!$G$4)</f>
        <v>9655.910121</v>
      </c>
      <c r="P4" s="74">
        <f>K4*F4/(1-pconfig!$G$2-pconfig!$G$3-pconfig!$G$4)</f>
        <v>9061.555891</v>
      </c>
      <c r="Q4" s="74">
        <f>IFS(F4&lt;=pconfig!$B$12,P4*pconfig!$C$12,F4&lt;=pconfig!$B$13,P4*pconfig!$C$13,F4&lt;=pconfig!$B$14,P4*pconfig!$C$14,F4&lt;=pconfig!$B$15,P4*pconfig!$C$15,F4&lt;=pconfig!$B$16,P4*pconfig!$C$16,F4&lt;=pconfig!$B$17,P4*pconfig!$C$17,F4&lt;=pconfig!$B$18,P4*pconfig!$C$18,F4&lt;=pconfig!$B$19,P4*pconfig!$C$19,F4&lt;=pconfig!$B$20,P4*pconfig!$C$20,F4&lt;=pconfig!$B$21,P4*pconfig!$C$21)</f>
        <v>9061.555891</v>
      </c>
      <c r="R4" s="76">
        <f t="shared" si="2"/>
        <v>9655.910121</v>
      </c>
    </row>
    <row r="5" ht="22.5" hidden="1" customHeight="1">
      <c r="A5" s="78">
        <f t="shared" si="3"/>
        <v>4</v>
      </c>
      <c r="B5" s="79" t="s">
        <v>111</v>
      </c>
      <c r="C5" s="79" t="s">
        <v>50</v>
      </c>
      <c r="D5" s="80" t="s">
        <v>82</v>
      </c>
      <c r="E5" s="79" t="str">
        <f t="shared" si="1"/>
        <v>ABEL FIGUEIREDOFIBRA</v>
      </c>
      <c r="F5" s="81">
        <v>1.0</v>
      </c>
      <c r="G5" s="79" t="s">
        <v>128</v>
      </c>
      <c r="H5" s="81" t="str">
        <f t="array" ref="H5">XLOOKUP(B5,municipios,regiao!$D$6:$D$150,0)</f>
        <v>NÃO</v>
      </c>
      <c r="I5" s="79" t="s">
        <v>132</v>
      </c>
      <c r="J5" s="82" t="s">
        <v>133</v>
      </c>
      <c r="K5" s="83">
        <v>29.29</v>
      </c>
      <c r="L5" s="85">
        <f>K5/(1-pconfig!$G$2-pconfig!$G$3-pconfig!$G$4)</f>
        <v>55.30589124</v>
      </c>
      <c r="M5" s="83">
        <v>63.39</v>
      </c>
      <c r="N5" s="83">
        <f>M5/(1-pconfig!$G$2-pconfig!$G$3-pconfig!$G$4)</f>
        <v>119.6941088</v>
      </c>
      <c r="O5" s="83">
        <f>((K5*F5)+M5)/(1-pconfig!$G$2-pconfig!$G$3-pconfig!$G$4)</f>
        <v>175</v>
      </c>
      <c r="P5" s="86">
        <f>K5*F5/(1-pconfig!$G$2-pconfig!$G$3-pconfig!$G$4)</f>
        <v>55.30589124</v>
      </c>
      <c r="Q5" s="86">
        <f>IFS(F5&lt;=pconfig!$B$12,P5*pconfig!$C$12,F5&lt;=pconfig!$B$13,P5*pconfig!$C$13,F5&lt;=pconfig!$B$14,P5*pconfig!$C$14,F5&lt;=pconfig!$B$15,P5*pconfig!$C$15,F5&lt;=pconfig!$B$16,P5*pconfig!$C$16,F5&lt;=pconfig!$B$17,P5*pconfig!$C$17,F5&lt;=pconfig!$B$18,P5*pconfig!$C$18,F5&lt;=pconfig!$B$19,P5*pconfig!$C$19,F5&lt;=pconfig!$B$20,P5*pconfig!$C$20,F5&lt;=pconfig!$B$21,P5*pconfig!$C$21)</f>
        <v>55.30589124</v>
      </c>
      <c r="R5" s="87">
        <f t="shared" si="2"/>
        <v>175</v>
      </c>
    </row>
    <row r="6" ht="22.5" hidden="1" customHeight="1">
      <c r="A6" s="52">
        <f t="shared" si="3"/>
        <v>5</v>
      </c>
      <c r="B6" s="53" t="s">
        <v>111</v>
      </c>
      <c r="C6" s="53" t="s">
        <v>101</v>
      </c>
      <c r="D6" s="56" t="s">
        <v>102</v>
      </c>
      <c r="E6" s="53" t="str">
        <f t="shared" si="1"/>
        <v>ABEL FIGUEIREDOSATELITE</v>
      </c>
      <c r="F6" s="59">
        <v>1.0</v>
      </c>
      <c r="G6" s="53" t="s">
        <v>128</v>
      </c>
      <c r="H6" s="59" t="str">
        <f t="array" ref="H6">XLOOKUP(B6,municipios,regiao!$D$6:$D$150,0)</f>
        <v>NÃO</v>
      </c>
      <c r="I6" s="53" t="s">
        <v>132</v>
      </c>
      <c r="J6" s="60" t="s">
        <v>106</v>
      </c>
      <c r="K6" s="61">
        <v>4799.0</v>
      </c>
      <c r="L6" s="70">
        <f>K6/(1-pconfig!$G$2-pconfig!$G$3-pconfig!$G$4)</f>
        <v>9061.555891</v>
      </c>
      <c r="M6" s="61">
        <v>63.39</v>
      </c>
      <c r="N6" s="61">
        <f>M6/(1-pconfig!$G$2-pconfig!$G$3-pconfig!$G$4)</f>
        <v>119.6941088</v>
      </c>
      <c r="O6" s="61">
        <f>((K6*F6)+M6)/(1-pconfig!$G$2-pconfig!$G$3-pconfig!$G$4)</f>
        <v>9181.25</v>
      </c>
      <c r="P6" s="74">
        <f>K6*F6/(1-pconfig!$G$2-pconfig!$G$3-pconfig!$G$4)</f>
        <v>9061.555891</v>
      </c>
      <c r="Q6" s="74">
        <f>IFS(F6&lt;=pconfig!$B$12,P6*pconfig!$C$12,F6&lt;=pconfig!$B$13,P6*pconfig!$C$13,F6&lt;=pconfig!$B$14,P6*pconfig!$C$14,F6&lt;=pconfig!$B$15,P6*pconfig!$C$15,F6&lt;=pconfig!$B$16,P6*pconfig!$C$16,F6&lt;=pconfig!$B$17,P6*pconfig!$C$17,F6&lt;=pconfig!$B$18,P6*pconfig!$C$18,F6&lt;=pconfig!$B$19,P6*pconfig!$C$19,F6&lt;=pconfig!$B$20,P6*pconfig!$C$20,F6&lt;=pconfig!$B$21,P6*pconfig!$C$21)</f>
        <v>9061.555891</v>
      </c>
      <c r="R6" s="76">
        <f t="shared" si="2"/>
        <v>9181.25</v>
      </c>
    </row>
    <row r="7" ht="22.5" hidden="1" customHeight="1">
      <c r="A7" s="78">
        <f t="shared" si="3"/>
        <v>6</v>
      </c>
      <c r="B7" s="79" t="s">
        <v>111</v>
      </c>
      <c r="C7" s="79" t="s">
        <v>59</v>
      </c>
      <c r="D7" s="80" t="s">
        <v>60</v>
      </c>
      <c r="E7" s="79" t="str">
        <f t="shared" si="1"/>
        <v>ABEL FIGUEIREDORADIO</v>
      </c>
      <c r="F7" s="81">
        <v>1.0</v>
      </c>
      <c r="G7" s="79" t="s">
        <v>128</v>
      </c>
      <c r="H7" s="81" t="str">
        <f t="array" ref="H7">XLOOKUP(B7,municipios,regiao!$D$6:$D$150,0)</f>
        <v>NÃO</v>
      </c>
      <c r="I7" s="79" t="s">
        <v>132</v>
      </c>
      <c r="J7" s="82" t="s">
        <v>133</v>
      </c>
      <c r="K7" s="83">
        <v>29.29</v>
      </c>
      <c r="L7" s="85">
        <f>K7/(1-pconfig!$G$2-pconfig!$G$3-pconfig!$G$4)</f>
        <v>55.30589124</v>
      </c>
      <c r="M7" s="83">
        <v>333.333333333333</v>
      </c>
      <c r="N7" s="83">
        <f>M7/(1-pconfig!$G$2-pconfig!$G$3-pconfig!$G$4)</f>
        <v>629.4058409</v>
      </c>
      <c r="O7" s="83">
        <f>((K7*F7)+M7)/(1-pconfig!$G$2-pconfig!$G$3-pconfig!$G$4)</f>
        <v>684.7117321</v>
      </c>
      <c r="P7" s="86">
        <f>K7*F7/(1-pconfig!$G$2-pconfig!$G$3-pconfig!$G$4)</f>
        <v>55.30589124</v>
      </c>
      <c r="Q7" s="86">
        <f>IFS(F7&lt;=pconfig!$B$12,P7*pconfig!$C$12,F7&lt;=pconfig!$B$13,P7*pconfig!$C$13,F7&lt;=pconfig!$B$14,P7*pconfig!$C$14,F7&lt;=pconfig!$B$15,P7*pconfig!$C$15,F7&lt;=pconfig!$B$16,P7*pconfig!$C$16,F7&lt;=pconfig!$B$17,P7*pconfig!$C$17,F7&lt;=pconfig!$B$18,P7*pconfig!$C$18,F7&lt;=pconfig!$B$19,P7*pconfig!$C$19,F7&lt;=pconfig!$B$20,P7*pconfig!$C$20,F7&lt;=pconfig!$B$21,P7*pconfig!$C$21)</f>
        <v>55.30589124</v>
      </c>
      <c r="R7" s="87">
        <f t="shared" si="2"/>
        <v>684.7117321</v>
      </c>
    </row>
    <row r="8" ht="22.5" hidden="1" customHeight="1">
      <c r="A8" s="52">
        <f t="shared" si="3"/>
        <v>7</v>
      </c>
      <c r="B8" s="53" t="s">
        <v>232</v>
      </c>
      <c r="C8" s="53" t="s">
        <v>59</v>
      </c>
      <c r="D8" s="56" t="s">
        <v>60</v>
      </c>
      <c r="E8" s="53" t="str">
        <f t="shared" si="1"/>
        <v>ACARARADIO</v>
      </c>
      <c r="F8" s="59">
        <v>1.0</v>
      </c>
      <c r="G8" s="53" t="s">
        <v>61</v>
      </c>
      <c r="H8" s="59" t="str">
        <f t="array" ref="H8">XLOOKUP(B8,municipios,regiao!$D$6:$D$150,0)</f>
        <v>NÃO</v>
      </c>
      <c r="I8" s="53" t="s">
        <v>63</v>
      </c>
      <c r="J8" s="60" t="s">
        <v>235</v>
      </c>
      <c r="K8" s="61">
        <v>20.69</v>
      </c>
      <c r="L8" s="70">
        <f>K8/(1-pconfig!$G$2-pconfig!$G$3-pconfig!$G$4)</f>
        <v>39.06722054</v>
      </c>
      <c r="M8" s="61">
        <v>138.285</v>
      </c>
      <c r="N8" s="61">
        <f>M8/(1-pconfig!$G$2-pconfig!$G$3-pconfig!$G$4)</f>
        <v>261.1121601</v>
      </c>
      <c r="O8" s="61">
        <f>((K8*F8)+M8)/(1-pconfig!$G$2-pconfig!$G$3-pconfig!$G$4)</f>
        <v>300.1793807</v>
      </c>
      <c r="P8" s="74">
        <f>K8*F8/(1-pconfig!$G$2-pconfig!$G$3-pconfig!$G$4)</f>
        <v>39.06722054</v>
      </c>
      <c r="Q8" s="74">
        <f>IFS(F8&lt;=pconfig!$B$12,P8*pconfig!$C$12,F8&lt;=pconfig!$B$13,P8*pconfig!$C$13,F8&lt;=pconfig!$B$14,P8*pconfig!$C$14,F8&lt;=pconfig!$B$15,P8*pconfig!$C$15,F8&lt;=pconfig!$B$16,P8*pconfig!$C$16,F8&lt;=pconfig!$B$17,P8*pconfig!$C$17,F8&lt;=pconfig!$B$18,P8*pconfig!$C$18,F8&lt;=pconfig!$B$19,P8*pconfig!$C$19,F8&lt;=pconfig!$B$20,P8*pconfig!$C$20,F8&lt;=pconfig!$B$21,P8*pconfig!$C$21)</f>
        <v>39.06722054</v>
      </c>
      <c r="R8" s="76">
        <f t="shared" si="2"/>
        <v>300.1793807</v>
      </c>
    </row>
    <row r="9" ht="22.5" hidden="1" customHeight="1">
      <c r="A9" s="78">
        <f t="shared" si="3"/>
        <v>8</v>
      </c>
      <c r="B9" s="153" t="s">
        <v>232</v>
      </c>
      <c r="C9" s="79" t="s">
        <v>50</v>
      </c>
      <c r="D9" s="80" t="s">
        <v>82</v>
      </c>
      <c r="E9" s="79" t="str">
        <f t="shared" si="1"/>
        <v>ACARAFIBRA</v>
      </c>
      <c r="F9" s="81">
        <v>1.0</v>
      </c>
      <c r="G9" s="79" t="s">
        <v>61</v>
      </c>
      <c r="H9" s="81" t="str">
        <f t="array" ref="H9">XLOOKUP(B9,municipios,regiao!$D$6:$D$150,0)</f>
        <v>NÃO</v>
      </c>
      <c r="I9" s="79" t="s">
        <v>63</v>
      </c>
      <c r="J9" s="82" t="s">
        <v>235</v>
      </c>
      <c r="K9" s="83">
        <v>20.69</v>
      </c>
      <c r="L9" s="85">
        <f>K9/(1-pconfig!$G$2-pconfig!$G$3-pconfig!$G$4)</f>
        <v>39.06722054</v>
      </c>
      <c r="M9" s="83">
        <v>314.77</v>
      </c>
      <c r="N9" s="83">
        <f>M9/(1-pconfig!$G$2-pconfig!$G$3-pconfig!$G$4)</f>
        <v>594.3542296</v>
      </c>
      <c r="O9" s="83">
        <f>((K9*F9)+M9)/(1-pconfig!$G$2-pconfig!$G$3-pconfig!$G$4)</f>
        <v>633.4214502</v>
      </c>
      <c r="P9" s="86">
        <f>K9*F9/(1-pconfig!$G$2-pconfig!$G$3-pconfig!$G$4)</f>
        <v>39.06722054</v>
      </c>
      <c r="Q9" s="86">
        <f>IFS(F9&lt;=pconfig!$B$12,P9*pconfig!$C$12,F9&lt;=pconfig!$B$13,P9*pconfig!$C$13,F9&lt;=pconfig!$B$14,P9*pconfig!$C$14,F9&lt;=pconfig!$B$15,P9*pconfig!$C$15,F9&lt;=pconfig!$B$16,P9*pconfig!$C$16,F9&lt;=pconfig!$B$17,P9*pconfig!$C$17,F9&lt;=pconfig!$B$18,P9*pconfig!$C$18,F9&lt;=pconfig!$B$19,P9*pconfig!$C$19,F9&lt;=pconfig!$B$20,P9*pconfig!$C$20,F9&lt;=pconfig!$B$21,P9*pconfig!$C$21)</f>
        <v>39.06722054</v>
      </c>
      <c r="R9" s="87">
        <f t="shared" si="2"/>
        <v>633.4214502</v>
      </c>
    </row>
    <row r="10" ht="22.5" hidden="1" customHeight="1">
      <c r="A10" s="52">
        <f t="shared" si="3"/>
        <v>9</v>
      </c>
      <c r="B10" s="53" t="s">
        <v>232</v>
      </c>
      <c r="C10" s="53" t="s">
        <v>101</v>
      </c>
      <c r="D10" s="56" t="s">
        <v>102</v>
      </c>
      <c r="E10" s="53" t="str">
        <f t="shared" si="1"/>
        <v>ACARASATELITE</v>
      </c>
      <c r="F10" s="59">
        <v>1.0</v>
      </c>
      <c r="G10" s="53" t="s">
        <v>61</v>
      </c>
      <c r="H10" s="59" t="str">
        <f t="array" ref="H10">XLOOKUP(B10,municipios,regiao!$D$6:$D$150,0)</f>
        <v>NÃO</v>
      </c>
      <c r="I10" s="53" t="s">
        <v>63</v>
      </c>
      <c r="J10" s="60" t="s">
        <v>106</v>
      </c>
      <c r="K10" s="61">
        <v>4799.0</v>
      </c>
      <c r="L10" s="70">
        <f>K10/(1-pconfig!$G$2-pconfig!$G$3-pconfig!$G$4)</f>
        <v>9061.555891</v>
      </c>
      <c r="M10" s="61">
        <v>314.77</v>
      </c>
      <c r="N10" s="61">
        <f>M10/(1-pconfig!$G$2-pconfig!$G$3-pconfig!$G$4)</f>
        <v>594.3542296</v>
      </c>
      <c r="O10" s="61">
        <f>((K10*F10)+M10)/(1-pconfig!$G$2-pconfig!$G$3-pconfig!$G$4)</f>
        <v>9655.910121</v>
      </c>
      <c r="P10" s="74">
        <f>K10*F10/(1-pconfig!$G$2-pconfig!$G$3-pconfig!$G$4)</f>
        <v>9061.555891</v>
      </c>
      <c r="Q10" s="74">
        <f>IFS(F10&lt;=pconfig!$B$12,P10*pconfig!$C$12,F10&lt;=pconfig!$B$13,P10*pconfig!$C$13,F10&lt;=pconfig!$B$14,P10*pconfig!$C$14,F10&lt;=pconfig!$B$15,P10*pconfig!$C$15,F10&lt;=pconfig!$B$16,P10*pconfig!$C$16,F10&lt;=pconfig!$B$17,P10*pconfig!$C$17,F10&lt;=pconfig!$B$18,P10*pconfig!$C$18,F10&lt;=pconfig!$B$19,P10*pconfig!$C$19,F10&lt;=pconfig!$B$20,P10*pconfig!$C$20,F10&lt;=pconfig!$B$21,P10*pconfig!$C$21)</f>
        <v>9061.555891</v>
      </c>
      <c r="R10" s="76">
        <f t="shared" si="2"/>
        <v>9655.910121</v>
      </c>
    </row>
    <row r="11" ht="22.5" hidden="1" customHeight="1">
      <c r="A11" s="78">
        <f t="shared" si="3"/>
        <v>10</v>
      </c>
      <c r="B11" s="79" t="s">
        <v>255</v>
      </c>
      <c r="C11" s="79" t="s">
        <v>59</v>
      </c>
      <c r="D11" s="80" t="s">
        <v>60</v>
      </c>
      <c r="E11" s="79" t="str">
        <f t="shared" si="1"/>
        <v>AFUARADIO</v>
      </c>
      <c r="F11" s="81">
        <v>1.0</v>
      </c>
      <c r="G11" s="79" t="s">
        <v>258</v>
      </c>
      <c r="H11" s="81" t="str">
        <f t="array" ref="H11">XLOOKUP(B11,municipios,regiao!$D$6:$D$150,0)</f>
        <v>NÃO</v>
      </c>
      <c r="I11" s="79" t="s">
        <v>258</v>
      </c>
      <c r="J11" s="82" t="s">
        <v>259</v>
      </c>
      <c r="K11" s="83">
        <v>35.73</v>
      </c>
      <c r="L11" s="85">
        <f>K11/(1-pconfig!$G$2-pconfig!$G$3-pconfig!$G$4)</f>
        <v>67.46601208</v>
      </c>
      <c r="M11" s="83">
        <v>106.693333333333</v>
      </c>
      <c r="N11" s="83">
        <f>M11/(1-pconfig!$G$2-pconfig!$G$3-pconfig!$G$4)</f>
        <v>201.4602216</v>
      </c>
      <c r="O11" s="83">
        <f>((K11*F11)+M11)/(1-pconfig!$G$2-pconfig!$G$3-pconfig!$G$4)</f>
        <v>268.9262336</v>
      </c>
      <c r="P11" s="86">
        <f>K11*F11/(1-pconfig!$G$2-pconfig!$G$3-pconfig!$G$4)</f>
        <v>67.46601208</v>
      </c>
      <c r="Q11" s="86">
        <f>IFS(F11&lt;=pconfig!$B$12,P11*pconfig!$C$12,F11&lt;=pconfig!$B$13,P11*pconfig!$C$13,F11&lt;=pconfig!$B$14,P11*pconfig!$C$14,F11&lt;=pconfig!$B$15,P11*pconfig!$C$15,F11&lt;=pconfig!$B$16,P11*pconfig!$C$16,F11&lt;=pconfig!$B$17,P11*pconfig!$C$17,F11&lt;=pconfig!$B$18,P11*pconfig!$C$18,F11&lt;=pconfig!$B$19,P11*pconfig!$C$19,F11&lt;=pconfig!$B$20,P11*pconfig!$C$20,F11&lt;=pconfig!$B$21,P11*pconfig!$C$21)</f>
        <v>67.46601208</v>
      </c>
      <c r="R11" s="87">
        <f t="shared" si="2"/>
        <v>268.9262336</v>
      </c>
    </row>
    <row r="12" ht="22.5" hidden="1" customHeight="1">
      <c r="A12" s="52">
        <f t="shared" si="3"/>
        <v>11</v>
      </c>
      <c r="B12" s="53" t="s">
        <v>255</v>
      </c>
      <c r="C12" s="53" t="s">
        <v>50</v>
      </c>
      <c r="D12" s="56" t="s">
        <v>82</v>
      </c>
      <c r="E12" s="53" t="str">
        <f t="shared" si="1"/>
        <v>AFUAFIBRA</v>
      </c>
      <c r="F12" s="59">
        <v>1.0</v>
      </c>
      <c r="G12" s="53" t="s">
        <v>258</v>
      </c>
      <c r="H12" s="59" t="str">
        <f t="array" ref="H12">XLOOKUP(B12,municipios,regiao!$D$6:$D$150,0)</f>
        <v>NÃO</v>
      </c>
      <c r="I12" s="53" t="s">
        <v>258</v>
      </c>
      <c r="J12" s="60" t="s">
        <v>259</v>
      </c>
      <c r="K12" s="61">
        <v>35.73</v>
      </c>
      <c r="L12" s="70">
        <f>K12/(1-pconfig!$G$2-pconfig!$G$3-pconfig!$G$4)</f>
        <v>67.46601208</v>
      </c>
      <c r="M12" s="61">
        <v>519.17</v>
      </c>
      <c r="N12" s="61">
        <f>M12/(1-pconfig!$G$2-pconfig!$G$3-pconfig!$G$4)</f>
        <v>980.3058912</v>
      </c>
      <c r="O12" s="61">
        <f>((K12*F12)+M12)/(1-pconfig!$G$2-pconfig!$G$3-pconfig!$G$4)</f>
        <v>1047.771903</v>
      </c>
      <c r="P12" s="74">
        <f>K12*F12/(1-pconfig!$G$2-pconfig!$G$3-pconfig!$G$4)</f>
        <v>67.46601208</v>
      </c>
      <c r="Q12" s="74">
        <f>IFS(F12&lt;=pconfig!$B$12,P12*pconfig!$C$12,F12&lt;=pconfig!$B$13,P12*pconfig!$C$13,F12&lt;=pconfig!$B$14,P12*pconfig!$C$14,F12&lt;=pconfig!$B$15,P12*pconfig!$C$15,F12&lt;=pconfig!$B$16,P12*pconfig!$C$16,F12&lt;=pconfig!$B$17,P12*pconfig!$C$17,F12&lt;=pconfig!$B$18,P12*pconfig!$C$18,F12&lt;=pconfig!$B$19,P12*pconfig!$C$19,F12&lt;=pconfig!$B$20,P12*pconfig!$C$20,F12&lt;=pconfig!$B$21,P12*pconfig!$C$21)</f>
        <v>67.46601208</v>
      </c>
      <c r="R12" s="76">
        <f t="shared" si="2"/>
        <v>1047.771903</v>
      </c>
    </row>
    <row r="13" ht="22.5" hidden="1" customHeight="1">
      <c r="A13" s="78">
        <f t="shared" si="3"/>
        <v>12</v>
      </c>
      <c r="B13" s="79" t="s">
        <v>255</v>
      </c>
      <c r="C13" s="79" t="s">
        <v>101</v>
      </c>
      <c r="D13" s="80" t="s">
        <v>102</v>
      </c>
      <c r="E13" s="79" t="str">
        <f t="shared" si="1"/>
        <v>AFUASATELITE</v>
      </c>
      <c r="F13" s="81">
        <v>1.0</v>
      </c>
      <c r="G13" s="79" t="s">
        <v>258</v>
      </c>
      <c r="H13" s="81" t="str">
        <f t="array" ref="H13">XLOOKUP(B13,municipios,regiao!$D$6:$D$150,0)</f>
        <v>NÃO</v>
      </c>
      <c r="I13" s="79" t="s">
        <v>258</v>
      </c>
      <c r="J13" s="82" t="s">
        <v>106</v>
      </c>
      <c r="K13" s="83">
        <v>4799.0</v>
      </c>
      <c r="L13" s="85">
        <f>K13/(1-pconfig!$G$2-pconfig!$G$3-pconfig!$G$4)</f>
        <v>9061.555891</v>
      </c>
      <c r="M13" s="83">
        <v>519.17</v>
      </c>
      <c r="N13" s="83">
        <f>M13/(1-pconfig!$G$2-pconfig!$G$3-pconfig!$G$4)</f>
        <v>980.3058912</v>
      </c>
      <c r="O13" s="83">
        <f>((K13*F13)+M13)/(1-pconfig!$G$2-pconfig!$G$3-pconfig!$G$4)</f>
        <v>10041.86178</v>
      </c>
      <c r="P13" s="86">
        <f>K13*F13/(1-pconfig!$G$2-pconfig!$G$3-pconfig!$G$4)</f>
        <v>9061.555891</v>
      </c>
      <c r="Q13" s="86">
        <f>IFS(F13&lt;=pconfig!$B$12,P13*pconfig!$C$12,F13&lt;=pconfig!$B$13,P13*pconfig!$C$13,F13&lt;=pconfig!$B$14,P13*pconfig!$C$14,F13&lt;=pconfig!$B$15,P13*pconfig!$C$15,F13&lt;=pconfig!$B$16,P13*pconfig!$C$16,F13&lt;=pconfig!$B$17,P13*pconfig!$C$17,F13&lt;=pconfig!$B$18,P13*pconfig!$C$18,F13&lt;=pconfig!$B$19,P13*pconfig!$C$19,F13&lt;=pconfig!$B$20,P13*pconfig!$C$20,F13&lt;=pconfig!$B$21,P13*pconfig!$C$21)</f>
        <v>9061.555891</v>
      </c>
      <c r="R13" s="87">
        <f t="shared" si="2"/>
        <v>10041.86178</v>
      </c>
    </row>
    <row r="14" ht="22.5" hidden="1" customHeight="1">
      <c r="A14" s="52">
        <f t="shared" si="3"/>
        <v>13</v>
      </c>
      <c r="B14" s="53" t="s">
        <v>278</v>
      </c>
      <c r="C14" s="53" t="s">
        <v>59</v>
      </c>
      <c r="D14" s="56" t="s">
        <v>60</v>
      </c>
      <c r="E14" s="53" t="str">
        <f t="shared" si="1"/>
        <v>AGUA AZUL DO NORTERADIO</v>
      </c>
      <c r="F14" s="59">
        <v>1.0</v>
      </c>
      <c r="G14" s="53" t="s">
        <v>128</v>
      </c>
      <c r="H14" s="59" t="str">
        <f t="array" ref="H14">XLOOKUP(B14,municipios,regiao!$D$6:$D$150,0)</f>
        <v>NÃO</v>
      </c>
      <c r="I14" s="53" t="s">
        <v>280</v>
      </c>
      <c r="J14" s="60" t="s">
        <v>133</v>
      </c>
      <c r="K14" s="61">
        <v>29.29</v>
      </c>
      <c r="L14" s="70">
        <f>K14/(1-pconfig!$G$2-pconfig!$G$3-pconfig!$G$4)</f>
        <v>55.30589124</v>
      </c>
      <c r="M14" s="61">
        <v>336.074166666667</v>
      </c>
      <c r="N14" s="61">
        <f>M14/(1-pconfig!$G$2-pconfig!$G$3-pconfig!$G$4)</f>
        <v>634.5811304</v>
      </c>
      <c r="O14" s="61">
        <f>((K14*F14)+M14)/(1-pconfig!$G$2-pconfig!$G$3-pconfig!$G$4)</f>
        <v>689.8870217</v>
      </c>
      <c r="P14" s="74">
        <f>K14*F14/(1-pconfig!$G$2-pconfig!$G$3-pconfig!$G$4)</f>
        <v>55.30589124</v>
      </c>
      <c r="Q14" s="74">
        <f>IFS(F14&lt;=pconfig!$B$12,P14*pconfig!$C$12,F14&lt;=pconfig!$B$13,P14*pconfig!$C$13,F14&lt;=pconfig!$B$14,P14*pconfig!$C$14,F14&lt;=pconfig!$B$15,P14*pconfig!$C$15,F14&lt;=pconfig!$B$16,P14*pconfig!$C$16,F14&lt;=pconfig!$B$17,P14*pconfig!$C$17,F14&lt;=pconfig!$B$18,P14*pconfig!$C$18,F14&lt;=pconfig!$B$19,P14*pconfig!$C$19,F14&lt;=pconfig!$B$20,P14*pconfig!$C$20,F14&lt;=pconfig!$B$21,P14*pconfig!$C$21)</f>
        <v>55.30589124</v>
      </c>
      <c r="R14" s="76">
        <f t="shared" si="2"/>
        <v>689.8870217</v>
      </c>
    </row>
    <row r="15" ht="22.5" hidden="1" customHeight="1">
      <c r="A15" s="78">
        <f t="shared" si="3"/>
        <v>14</v>
      </c>
      <c r="B15" s="79" t="s">
        <v>278</v>
      </c>
      <c r="C15" s="79" t="s">
        <v>50</v>
      </c>
      <c r="D15" s="80" t="s">
        <v>82</v>
      </c>
      <c r="E15" s="79" t="str">
        <f t="shared" si="1"/>
        <v>AGUA AZUL DO NORTEFIBRA</v>
      </c>
      <c r="F15" s="81">
        <v>1.0</v>
      </c>
      <c r="G15" s="79" t="s">
        <v>128</v>
      </c>
      <c r="H15" s="81" t="str">
        <f t="array" ref="H15">XLOOKUP(B15,municipios,regiao!$D$6:$D$150,0)</f>
        <v>NÃO</v>
      </c>
      <c r="I15" s="79" t="s">
        <v>280</v>
      </c>
      <c r="J15" s="82" t="s">
        <v>133</v>
      </c>
      <c r="K15" s="83">
        <v>29.29</v>
      </c>
      <c r="L15" s="85">
        <f>K15/(1-pconfig!$G$2-pconfig!$G$3-pconfig!$G$4)</f>
        <v>55.30589124</v>
      </c>
      <c r="M15" s="83">
        <v>447.5</v>
      </c>
      <c r="N15" s="83">
        <f>M15/(1-pconfig!$G$2-pconfig!$G$3-pconfig!$G$4)</f>
        <v>844.9773414</v>
      </c>
      <c r="O15" s="83">
        <f>((K15*F15)+M15)/(1-pconfig!$G$2-pconfig!$G$3-pconfig!$G$4)</f>
        <v>900.2832326</v>
      </c>
      <c r="P15" s="86">
        <f>K15*F15/(1-pconfig!$G$2-pconfig!$G$3-pconfig!$G$4)</f>
        <v>55.30589124</v>
      </c>
      <c r="Q15" s="86">
        <f>IFS(F15&lt;=pconfig!$B$12,P15*pconfig!$C$12,F15&lt;=pconfig!$B$13,P15*pconfig!$C$13,F15&lt;=pconfig!$B$14,P15*pconfig!$C$14,F15&lt;=pconfig!$B$15,P15*pconfig!$C$15,F15&lt;=pconfig!$B$16,P15*pconfig!$C$16,F15&lt;=pconfig!$B$17,P15*pconfig!$C$17,F15&lt;=pconfig!$B$18,P15*pconfig!$C$18,F15&lt;=pconfig!$B$19,P15*pconfig!$C$19,F15&lt;=pconfig!$B$20,P15*pconfig!$C$20,F15&lt;=pconfig!$B$21,P15*pconfig!$C$21)</f>
        <v>55.30589124</v>
      </c>
      <c r="R15" s="87">
        <f t="shared" si="2"/>
        <v>900.2832326</v>
      </c>
    </row>
    <row r="16" ht="22.5" hidden="1" customHeight="1">
      <c r="A16" s="52">
        <f t="shared" si="3"/>
        <v>15</v>
      </c>
      <c r="B16" s="53" t="s">
        <v>278</v>
      </c>
      <c r="C16" s="53" t="s">
        <v>101</v>
      </c>
      <c r="D16" s="56" t="s">
        <v>102</v>
      </c>
      <c r="E16" s="53" t="str">
        <f t="shared" si="1"/>
        <v>AGUA AZUL DO NORTESATELITE</v>
      </c>
      <c r="F16" s="59">
        <v>1.0</v>
      </c>
      <c r="G16" s="53" t="s">
        <v>128</v>
      </c>
      <c r="H16" s="59" t="str">
        <f t="array" ref="H16">XLOOKUP(B16,municipios,regiao!$D$6:$D$150,0)</f>
        <v>NÃO</v>
      </c>
      <c r="I16" s="53" t="s">
        <v>280</v>
      </c>
      <c r="J16" s="60" t="s">
        <v>106</v>
      </c>
      <c r="K16" s="61">
        <v>4799.0</v>
      </c>
      <c r="L16" s="70">
        <f>K16/(1-pconfig!$G$2-pconfig!$G$3-pconfig!$G$4)</f>
        <v>9061.555891</v>
      </c>
      <c r="M16" s="61">
        <v>447.5</v>
      </c>
      <c r="N16" s="61">
        <f>M16/(1-pconfig!$G$2-pconfig!$G$3-pconfig!$G$4)</f>
        <v>844.9773414</v>
      </c>
      <c r="O16" s="61">
        <f>((K16*F16)+M16)/(1-pconfig!$G$2-pconfig!$G$3-pconfig!$G$4)</f>
        <v>9906.533233</v>
      </c>
      <c r="P16" s="74">
        <f>K16*F16/(1-pconfig!$G$2-pconfig!$G$3-pconfig!$G$4)</f>
        <v>9061.555891</v>
      </c>
      <c r="Q16" s="74">
        <f>IFS(F16&lt;=pconfig!$B$12,P16*pconfig!$C$12,F16&lt;=pconfig!$B$13,P16*pconfig!$C$13,F16&lt;=pconfig!$B$14,P16*pconfig!$C$14,F16&lt;=pconfig!$B$15,P16*pconfig!$C$15,F16&lt;=pconfig!$B$16,P16*pconfig!$C$16,F16&lt;=pconfig!$B$17,P16*pconfig!$C$17,F16&lt;=pconfig!$B$18,P16*pconfig!$C$18,F16&lt;=pconfig!$B$19,P16*pconfig!$C$19,F16&lt;=pconfig!$B$20,P16*pconfig!$C$20,F16&lt;=pconfig!$B$21,P16*pconfig!$C$21)</f>
        <v>9061.555891</v>
      </c>
      <c r="R16" s="76">
        <f t="shared" si="2"/>
        <v>9906.533233</v>
      </c>
    </row>
    <row r="17" ht="22.5" hidden="1" customHeight="1">
      <c r="A17" s="78">
        <f t="shared" si="3"/>
        <v>16</v>
      </c>
      <c r="B17" s="79" t="s">
        <v>296</v>
      </c>
      <c r="C17" s="79" t="s">
        <v>50</v>
      </c>
      <c r="D17" s="80" t="s">
        <v>82</v>
      </c>
      <c r="E17" s="79" t="str">
        <f t="shared" si="1"/>
        <v>ALENQUERFIBRA</v>
      </c>
      <c r="F17" s="81">
        <v>1.0</v>
      </c>
      <c r="G17" s="79" t="s">
        <v>297</v>
      </c>
      <c r="H17" s="81" t="str">
        <f t="array" ref="H17">XLOOKUP(B17,municipios,regiao!$D$6:$D$150,0)</f>
        <v>SIM</v>
      </c>
      <c r="I17" s="79" t="s">
        <v>297</v>
      </c>
      <c r="J17" s="82" t="s">
        <v>259</v>
      </c>
      <c r="K17" s="83">
        <v>35.73</v>
      </c>
      <c r="L17" s="85">
        <f>K17/(1-pconfig!$G$2-pconfig!$G$3-pconfig!$G$4)</f>
        <v>67.46601208</v>
      </c>
      <c r="M17" s="83">
        <v>133.3</v>
      </c>
      <c r="N17" s="83">
        <f>M17/(1-pconfig!$G$2-pconfig!$G$3-pconfig!$G$4)</f>
        <v>251.6993958</v>
      </c>
      <c r="O17" s="83">
        <f>((K17*F17)+M17)/(1-pconfig!$G$2-pconfig!$G$3-pconfig!$G$4)</f>
        <v>319.1654079</v>
      </c>
      <c r="P17" s="86">
        <f>K17*F17/(1-pconfig!$G$2-pconfig!$G$3-pconfig!$G$4)</f>
        <v>67.46601208</v>
      </c>
      <c r="Q17" s="86">
        <f>IFS(F17&lt;=pconfig!$B$12,P17*pconfig!$C$12,F17&lt;=pconfig!$B$13,P17*pconfig!$C$13,F17&lt;=pconfig!$B$14,P17*pconfig!$C$14,F17&lt;=pconfig!$B$15,P17*pconfig!$C$15,F17&lt;=pconfig!$B$16,P17*pconfig!$C$16,F17&lt;=pconfig!$B$17,P17*pconfig!$C$17,F17&lt;=pconfig!$B$18,P17*pconfig!$C$18,F17&lt;=pconfig!$B$19,P17*pconfig!$C$19,F17&lt;=pconfig!$B$20,P17*pconfig!$C$20,F17&lt;=pconfig!$B$21,P17*pconfig!$C$21)</f>
        <v>67.46601208</v>
      </c>
      <c r="R17" s="87">
        <f t="shared" si="2"/>
        <v>319.1654079</v>
      </c>
    </row>
    <row r="18" ht="22.5" hidden="1" customHeight="1">
      <c r="A18" s="52">
        <f t="shared" si="3"/>
        <v>17</v>
      </c>
      <c r="B18" s="154" t="s">
        <v>296</v>
      </c>
      <c r="C18" s="53" t="s">
        <v>101</v>
      </c>
      <c r="D18" s="56" t="s">
        <v>102</v>
      </c>
      <c r="E18" s="53" t="str">
        <f t="shared" si="1"/>
        <v>ALENQUERSATELITE</v>
      </c>
      <c r="F18" s="59">
        <v>1.0</v>
      </c>
      <c r="G18" s="53" t="s">
        <v>297</v>
      </c>
      <c r="H18" s="59" t="str">
        <f t="array" ref="H18">XLOOKUP(B18,municipios,regiao!$D$6:$D$150,0)</f>
        <v>SIM</v>
      </c>
      <c r="I18" s="53" t="s">
        <v>297</v>
      </c>
      <c r="J18" s="60" t="s">
        <v>106</v>
      </c>
      <c r="K18" s="61">
        <v>4799.0</v>
      </c>
      <c r="L18" s="70">
        <f>K18/(1-pconfig!$G$2-pconfig!$G$3-pconfig!$G$4)</f>
        <v>9061.555891</v>
      </c>
      <c r="M18" s="61">
        <v>133.3</v>
      </c>
      <c r="N18" s="61">
        <f>M18/(1-pconfig!$G$2-pconfig!$G$3-pconfig!$G$4)</f>
        <v>251.6993958</v>
      </c>
      <c r="O18" s="61">
        <f>((K18*F18)+M18)/(1-pconfig!$G$2-pconfig!$G$3-pconfig!$G$4)</f>
        <v>9313.255287</v>
      </c>
      <c r="P18" s="74">
        <f>K18*F18/(1-pconfig!$G$2-pconfig!$G$3-pconfig!$G$4)</f>
        <v>9061.555891</v>
      </c>
      <c r="Q18" s="74">
        <f>IFS(F18&lt;=pconfig!$B$12,P18*pconfig!$C$12,F18&lt;=pconfig!$B$13,P18*pconfig!$C$13,F18&lt;=pconfig!$B$14,P18*pconfig!$C$14,F18&lt;=pconfig!$B$15,P18*pconfig!$C$15,F18&lt;=pconfig!$B$16,P18*pconfig!$C$16,F18&lt;=pconfig!$B$17,P18*pconfig!$C$17,F18&lt;=pconfig!$B$18,P18*pconfig!$C$18,F18&lt;=pconfig!$B$19,P18*pconfig!$C$19,F18&lt;=pconfig!$B$20,P18*pconfig!$C$20,F18&lt;=pconfig!$B$21,P18*pconfig!$C$21)</f>
        <v>9061.555891</v>
      </c>
      <c r="R18" s="76">
        <f t="shared" si="2"/>
        <v>9313.255287</v>
      </c>
    </row>
    <row r="19" ht="22.5" hidden="1" customHeight="1">
      <c r="A19" s="78">
        <f t="shared" si="3"/>
        <v>18</v>
      </c>
      <c r="B19" s="79" t="s">
        <v>296</v>
      </c>
      <c r="C19" s="79" t="s">
        <v>59</v>
      </c>
      <c r="D19" s="80" t="s">
        <v>60</v>
      </c>
      <c r="E19" s="79" t="str">
        <f t="shared" si="1"/>
        <v>ALENQUERRADIO</v>
      </c>
      <c r="F19" s="81">
        <v>1.0</v>
      </c>
      <c r="G19" s="79" t="s">
        <v>297</v>
      </c>
      <c r="H19" s="81" t="str">
        <f t="array" ref="H19">XLOOKUP(B19,municipios,regiao!$D$6:$D$150,0)</f>
        <v>SIM</v>
      </c>
      <c r="I19" s="79" t="s">
        <v>297</v>
      </c>
      <c r="J19" s="82" t="s">
        <v>259</v>
      </c>
      <c r="K19" s="83">
        <v>35.73</v>
      </c>
      <c r="L19" s="85">
        <f>K19/(1-pconfig!$G$2-pconfig!$G$3-pconfig!$G$4)</f>
        <v>67.46601208</v>
      </c>
      <c r="M19" s="83">
        <v>166.666666666667</v>
      </c>
      <c r="N19" s="83">
        <f>M19/(1-pconfig!$G$2-pconfig!$G$3-pconfig!$G$4)</f>
        <v>314.7029204</v>
      </c>
      <c r="O19" s="83">
        <f>((K19*F19)+M19)/(1-pconfig!$G$2-pconfig!$G$3-pconfig!$G$4)</f>
        <v>382.1689325</v>
      </c>
      <c r="P19" s="86">
        <f>K19*F19/(1-pconfig!$G$2-pconfig!$G$3-pconfig!$G$4)</f>
        <v>67.46601208</v>
      </c>
      <c r="Q19" s="86">
        <f>IFS(F19&lt;=pconfig!$B$12,P19*pconfig!$C$12,F19&lt;=pconfig!$B$13,P19*pconfig!$C$13,F19&lt;=pconfig!$B$14,P19*pconfig!$C$14,F19&lt;=pconfig!$B$15,P19*pconfig!$C$15,F19&lt;=pconfig!$B$16,P19*pconfig!$C$16,F19&lt;=pconfig!$B$17,P19*pconfig!$C$17,F19&lt;=pconfig!$B$18,P19*pconfig!$C$18,F19&lt;=pconfig!$B$19,P19*pconfig!$C$19,F19&lt;=pconfig!$B$20,P19*pconfig!$C$20,F19&lt;=pconfig!$B$21,P19*pconfig!$C$21)</f>
        <v>67.46601208</v>
      </c>
      <c r="R19" s="87">
        <f t="shared" si="2"/>
        <v>382.1689325</v>
      </c>
    </row>
    <row r="20" ht="22.5" hidden="1" customHeight="1">
      <c r="A20" s="52">
        <f t="shared" si="3"/>
        <v>19</v>
      </c>
      <c r="B20" s="53" t="s">
        <v>324</v>
      </c>
      <c r="C20" s="53" t="s">
        <v>50</v>
      </c>
      <c r="D20" s="56" t="s">
        <v>82</v>
      </c>
      <c r="E20" s="53" t="str">
        <f t="shared" si="1"/>
        <v>ALMEIRIMFIBRA</v>
      </c>
      <c r="F20" s="59">
        <v>1.0</v>
      </c>
      <c r="G20" s="53" t="s">
        <v>297</v>
      </c>
      <c r="H20" s="59" t="str">
        <f t="array" ref="H20">XLOOKUP(B20,municipios,regiao!$D$6:$D$150,0)</f>
        <v>SIM</v>
      </c>
      <c r="I20" s="53" t="s">
        <v>297</v>
      </c>
      <c r="J20" s="60" t="s">
        <v>337</v>
      </c>
      <c r="K20" s="61">
        <v>17.84</v>
      </c>
      <c r="L20" s="70">
        <f>K20/(1-pconfig!$G$2-pconfig!$G$3-pconfig!$G$4)</f>
        <v>33.6858006</v>
      </c>
      <c r="M20" s="61">
        <v>133.3</v>
      </c>
      <c r="N20" s="61">
        <f>M20/(1-pconfig!$G$2-pconfig!$G$3-pconfig!$G$4)</f>
        <v>251.6993958</v>
      </c>
      <c r="O20" s="61">
        <f>((K20*F20)+M20)/(1-pconfig!$G$2-pconfig!$G$3-pconfig!$G$4)</f>
        <v>285.3851964</v>
      </c>
      <c r="P20" s="74">
        <f>K20*F20/(1-pconfig!$G$2-pconfig!$G$3-pconfig!$G$4)</f>
        <v>33.6858006</v>
      </c>
      <c r="Q20" s="74">
        <f>IFS(F20&lt;=pconfig!$B$12,P20*pconfig!$C$12,F20&lt;=pconfig!$B$13,P20*pconfig!$C$13,F20&lt;=pconfig!$B$14,P20*pconfig!$C$14,F20&lt;=pconfig!$B$15,P20*pconfig!$C$15,F20&lt;=pconfig!$B$16,P20*pconfig!$C$16,F20&lt;=pconfig!$B$17,P20*pconfig!$C$17,F20&lt;=pconfig!$B$18,P20*pconfig!$C$18,F20&lt;=pconfig!$B$19,P20*pconfig!$C$19,F20&lt;=pconfig!$B$20,P20*pconfig!$C$20,F20&lt;=pconfig!$B$21,P20*pconfig!$C$21)</f>
        <v>33.6858006</v>
      </c>
      <c r="R20" s="76">
        <f t="shared" si="2"/>
        <v>285.3851964</v>
      </c>
    </row>
    <row r="21" ht="22.5" hidden="1" customHeight="1">
      <c r="A21" s="78">
        <f t="shared" si="3"/>
        <v>20</v>
      </c>
      <c r="B21" s="79" t="s">
        <v>324</v>
      </c>
      <c r="C21" s="79" t="s">
        <v>101</v>
      </c>
      <c r="D21" s="80" t="s">
        <v>102</v>
      </c>
      <c r="E21" s="79" t="str">
        <f t="shared" si="1"/>
        <v>ALMEIRIMSATELITE</v>
      </c>
      <c r="F21" s="81">
        <v>1.0</v>
      </c>
      <c r="G21" s="79" t="s">
        <v>297</v>
      </c>
      <c r="H21" s="81" t="str">
        <f t="array" ref="H21">XLOOKUP(B21,municipios,regiao!$D$6:$D$150,0)</f>
        <v>SIM</v>
      </c>
      <c r="I21" s="79" t="s">
        <v>297</v>
      </c>
      <c r="J21" s="82" t="s">
        <v>106</v>
      </c>
      <c r="K21" s="83">
        <v>4799.0</v>
      </c>
      <c r="L21" s="85">
        <f>K21/(1-pconfig!$G$2-pconfig!$G$3-pconfig!$G$4)</f>
        <v>9061.555891</v>
      </c>
      <c r="M21" s="83">
        <v>133.3</v>
      </c>
      <c r="N21" s="83">
        <f>M21/(1-pconfig!$G$2-pconfig!$G$3-pconfig!$G$4)</f>
        <v>251.6993958</v>
      </c>
      <c r="O21" s="83">
        <f>((K21*F21)+M21)/(1-pconfig!$G$2-pconfig!$G$3-pconfig!$G$4)</f>
        <v>9313.255287</v>
      </c>
      <c r="P21" s="86">
        <f>K21*F21/(1-pconfig!$G$2-pconfig!$G$3-pconfig!$G$4)</f>
        <v>9061.555891</v>
      </c>
      <c r="Q21" s="86">
        <f>IFS(F21&lt;=pconfig!$B$12,P21*pconfig!$C$12,F21&lt;=pconfig!$B$13,P21*pconfig!$C$13,F21&lt;=pconfig!$B$14,P21*pconfig!$C$14,F21&lt;=pconfig!$B$15,P21*pconfig!$C$15,F21&lt;=pconfig!$B$16,P21*pconfig!$C$16,F21&lt;=pconfig!$B$17,P21*pconfig!$C$17,F21&lt;=pconfig!$B$18,P21*pconfig!$C$18,F21&lt;=pconfig!$B$19,P21*pconfig!$C$19,F21&lt;=pconfig!$B$20,P21*pconfig!$C$20,F21&lt;=pconfig!$B$21,P21*pconfig!$C$21)</f>
        <v>9061.555891</v>
      </c>
      <c r="R21" s="87">
        <f t="shared" si="2"/>
        <v>9313.255287</v>
      </c>
    </row>
    <row r="22" ht="22.5" hidden="1" customHeight="1">
      <c r="A22" s="52">
        <f t="shared" si="3"/>
        <v>21</v>
      </c>
      <c r="B22" s="53" t="s">
        <v>324</v>
      </c>
      <c r="C22" s="53" t="s">
        <v>59</v>
      </c>
      <c r="D22" s="56" t="s">
        <v>60</v>
      </c>
      <c r="E22" s="53" t="str">
        <f t="shared" si="1"/>
        <v>ALMEIRIMRADIO</v>
      </c>
      <c r="F22" s="59">
        <v>1.0</v>
      </c>
      <c r="G22" s="53" t="s">
        <v>297</v>
      </c>
      <c r="H22" s="59" t="str">
        <f t="array" ref="H22">XLOOKUP(B22,municipios,regiao!$D$6:$D$150,0)</f>
        <v>SIM</v>
      </c>
      <c r="I22" s="53" t="s">
        <v>297</v>
      </c>
      <c r="J22" s="60" t="s">
        <v>337</v>
      </c>
      <c r="K22" s="61">
        <v>17.84</v>
      </c>
      <c r="L22" s="70">
        <f>K22/(1-pconfig!$G$2-pconfig!$G$3-pconfig!$G$4)</f>
        <v>33.6858006</v>
      </c>
      <c r="M22" s="61">
        <v>166.666666666667</v>
      </c>
      <c r="N22" s="61">
        <f>M22/(1-pconfig!$G$2-pconfig!$G$3-pconfig!$G$4)</f>
        <v>314.7029204</v>
      </c>
      <c r="O22" s="61">
        <f>((K22*F22)+M22)/(1-pconfig!$G$2-pconfig!$G$3-pconfig!$G$4)</f>
        <v>348.388721</v>
      </c>
      <c r="P22" s="74">
        <f>K22*F22/(1-pconfig!$G$2-pconfig!$G$3-pconfig!$G$4)</f>
        <v>33.6858006</v>
      </c>
      <c r="Q22" s="74">
        <f>IFS(F22&lt;=pconfig!$B$12,P22*pconfig!$C$12,F22&lt;=pconfig!$B$13,P22*pconfig!$C$13,F22&lt;=pconfig!$B$14,P22*pconfig!$C$14,F22&lt;=pconfig!$B$15,P22*pconfig!$C$15,F22&lt;=pconfig!$B$16,P22*pconfig!$C$16,F22&lt;=pconfig!$B$17,P22*pconfig!$C$17,F22&lt;=pconfig!$B$18,P22*pconfig!$C$18,F22&lt;=pconfig!$B$19,P22*pconfig!$C$19,F22&lt;=pconfig!$B$20,P22*pconfig!$C$20,F22&lt;=pconfig!$B$21,P22*pconfig!$C$21)</f>
        <v>33.6858006</v>
      </c>
      <c r="R22" s="76">
        <f t="shared" si="2"/>
        <v>348.388721</v>
      </c>
    </row>
    <row r="23" ht="22.5" hidden="1" customHeight="1">
      <c r="A23" s="78">
        <f t="shared" si="3"/>
        <v>22</v>
      </c>
      <c r="B23" s="79" t="s">
        <v>373</v>
      </c>
      <c r="C23" s="79" t="s">
        <v>50</v>
      </c>
      <c r="D23" s="80" t="s">
        <v>82</v>
      </c>
      <c r="E23" s="79" t="str">
        <f t="shared" si="1"/>
        <v>ALTAMIRAFIBRA</v>
      </c>
      <c r="F23" s="81">
        <v>1.0</v>
      </c>
      <c r="G23" s="79" t="s">
        <v>374</v>
      </c>
      <c r="H23" s="81" t="str">
        <f t="array" ref="H23">XLOOKUP(B23,municipios,regiao!$D$6:$D$150,0)</f>
        <v>SIM</v>
      </c>
      <c r="I23" s="79" t="s">
        <v>375</v>
      </c>
      <c r="J23" s="82" t="s">
        <v>64</v>
      </c>
      <c r="K23" s="83">
        <v>15.65</v>
      </c>
      <c r="L23" s="85">
        <f>K23/(1-pconfig!$G$2-pconfig!$G$3-pconfig!$G$4)</f>
        <v>29.55060423</v>
      </c>
      <c r="M23" s="83">
        <v>283.33</v>
      </c>
      <c r="N23" s="83">
        <f>M23/(1-pconfig!$G$2-pconfig!$G$3-pconfig!$G$4)</f>
        <v>534.9886707</v>
      </c>
      <c r="O23" s="83">
        <f>((K23*F23)+M23)/(1-pconfig!$G$2-pconfig!$G$3-pconfig!$G$4)</f>
        <v>564.5392749</v>
      </c>
      <c r="P23" s="86">
        <f>K23*F23/(1-pconfig!$G$2-pconfig!$G$3-pconfig!$G$4)</f>
        <v>29.55060423</v>
      </c>
      <c r="Q23" s="86">
        <f>IFS(F23&lt;=pconfig!$B$12,P23*pconfig!$C$12,F23&lt;=pconfig!$B$13,P23*pconfig!$C$13,F23&lt;=pconfig!$B$14,P23*pconfig!$C$14,F23&lt;=pconfig!$B$15,P23*pconfig!$C$15,F23&lt;=pconfig!$B$16,P23*pconfig!$C$16,F23&lt;=pconfig!$B$17,P23*pconfig!$C$17,F23&lt;=pconfig!$B$18,P23*pconfig!$C$18,F23&lt;=pconfig!$B$19,P23*pconfig!$C$19,F23&lt;=pconfig!$B$20,P23*pconfig!$C$20,F23&lt;=pconfig!$B$21,P23*pconfig!$C$21)</f>
        <v>29.55060423</v>
      </c>
      <c r="R23" s="87">
        <f t="shared" si="2"/>
        <v>564.5392749</v>
      </c>
    </row>
    <row r="24" ht="22.5" hidden="1" customHeight="1">
      <c r="A24" s="52">
        <f t="shared" si="3"/>
        <v>23</v>
      </c>
      <c r="B24" s="53" t="s">
        <v>373</v>
      </c>
      <c r="C24" s="53" t="s">
        <v>101</v>
      </c>
      <c r="D24" s="56" t="s">
        <v>102</v>
      </c>
      <c r="E24" s="53" t="str">
        <f t="shared" si="1"/>
        <v>ALTAMIRASATELITE</v>
      </c>
      <c r="F24" s="59">
        <v>1.0</v>
      </c>
      <c r="G24" s="53" t="s">
        <v>374</v>
      </c>
      <c r="H24" s="59" t="str">
        <f t="array" ref="H24">XLOOKUP(B24,municipios,regiao!$D$6:$D$150,0)</f>
        <v>SIM</v>
      </c>
      <c r="I24" s="53" t="s">
        <v>375</v>
      </c>
      <c r="J24" s="60" t="s">
        <v>106</v>
      </c>
      <c r="K24" s="61">
        <v>4799.0</v>
      </c>
      <c r="L24" s="70">
        <f>K24/(1-pconfig!$G$2-pconfig!$G$3-pconfig!$G$4)</f>
        <v>9061.555891</v>
      </c>
      <c r="M24" s="61">
        <v>283.33</v>
      </c>
      <c r="N24" s="61">
        <f>M24/(1-pconfig!$G$2-pconfig!$G$3-pconfig!$G$4)</f>
        <v>534.9886707</v>
      </c>
      <c r="O24" s="61">
        <f>((K24*F24)+M24)/(1-pconfig!$G$2-pconfig!$G$3-pconfig!$G$4)</f>
        <v>9596.544562</v>
      </c>
      <c r="P24" s="74">
        <f>K24*F24/(1-pconfig!$G$2-pconfig!$G$3-pconfig!$G$4)</f>
        <v>9061.555891</v>
      </c>
      <c r="Q24" s="74">
        <f>IFS(F24&lt;=pconfig!$B$12,P24*pconfig!$C$12,F24&lt;=pconfig!$B$13,P24*pconfig!$C$13,F24&lt;=pconfig!$B$14,P24*pconfig!$C$14,F24&lt;=pconfig!$B$15,P24*pconfig!$C$15,F24&lt;=pconfig!$B$16,P24*pconfig!$C$16,F24&lt;=pconfig!$B$17,P24*pconfig!$C$17,F24&lt;=pconfig!$B$18,P24*pconfig!$C$18,F24&lt;=pconfig!$B$19,P24*pconfig!$C$19,F24&lt;=pconfig!$B$20,P24*pconfig!$C$20,F24&lt;=pconfig!$B$21,P24*pconfig!$C$21)</f>
        <v>9061.555891</v>
      </c>
      <c r="R24" s="76">
        <f t="shared" si="2"/>
        <v>9596.544562</v>
      </c>
    </row>
    <row r="25" ht="22.5" hidden="1" customHeight="1">
      <c r="A25" s="78">
        <f t="shared" si="3"/>
        <v>24</v>
      </c>
      <c r="B25" s="79" t="s">
        <v>373</v>
      </c>
      <c r="C25" s="79" t="s">
        <v>59</v>
      </c>
      <c r="D25" s="80" t="s">
        <v>60</v>
      </c>
      <c r="E25" s="79" t="str">
        <f t="shared" si="1"/>
        <v>ALTAMIRARADIO</v>
      </c>
      <c r="F25" s="81">
        <v>1.0</v>
      </c>
      <c r="G25" s="79" t="s">
        <v>374</v>
      </c>
      <c r="H25" s="81" t="str">
        <f t="array" ref="H25">XLOOKUP(B25,municipios,regiao!$D$6:$D$150,0)</f>
        <v>SIM</v>
      </c>
      <c r="I25" s="79" t="s">
        <v>375</v>
      </c>
      <c r="J25" s="82" t="s">
        <v>64</v>
      </c>
      <c r="K25" s="83">
        <v>15.65</v>
      </c>
      <c r="L25" s="85">
        <f>K25/(1-pconfig!$G$2-pconfig!$G$3-pconfig!$G$4)</f>
        <v>29.55060423</v>
      </c>
      <c r="M25" s="83">
        <v>416.666666666667</v>
      </c>
      <c r="N25" s="83">
        <f>M25/(1-pconfig!$G$2-pconfig!$G$3-pconfig!$G$4)</f>
        <v>786.7573011</v>
      </c>
      <c r="O25" s="83">
        <f>((K25*F25)+M25)/(1-pconfig!$G$2-pconfig!$G$3-pconfig!$G$4)</f>
        <v>816.3079053</v>
      </c>
      <c r="P25" s="86">
        <f>K25*F25/(1-pconfig!$G$2-pconfig!$G$3-pconfig!$G$4)</f>
        <v>29.55060423</v>
      </c>
      <c r="Q25" s="86">
        <f>IFS(F25&lt;=pconfig!$B$12,P25*pconfig!$C$12,F25&lt;=pconfig!$B$13,P25*pconfig!$C$13,F25&lt;=pconfig!$B$14,P25*pconfig!$C$14,F25&lt;=pconfig!$B$15,P25*pconfig!$C$15,F25&lt;=pconfig!$B$16,P25*pconfig!$C$16,F25&lt;=pconfig!$B$17,P25*pconfig!$C$17,F25&lt;=pconfig!$B$18,P25*pconfig!$C$18,F25&lt;=pconfig!$B$19,P25*pconfig!$C$19,F25&lt;=pconfig!$B$20,P25*pconfig!$C$20,F25&lt;=pconfig!$B$21,P25*pconfig!$C$21)</f>
        <v>29.55060423</v>
      </c>
      <c r="R25" s="87">
        <f t="shared" si="2"/>
        <v>816.3079053</v>
      </c>
    </row>
    <row r="26" ht="22.5" hidden="1" customHeight="1">
      <c r="A26" s="52">
        <f t="shared" si="3"/>
        <v>25</v>
      </c>
      <c r="B26" s="53" t="s">
        <v>391</v>
      </c>
      <c r="C26" s="53" t="s">
        <v>59</v>
      </c>
      <c r="D26" s="56" t="s">
        <v>60</v>
      </c>
      <c r="E26" s="53" t="str">
        <f t="shared" si="1"/>
        <v>ANAJASRADIO</v>
      </c>
      <c r="F26" s="59">
        <v>1.0</v>
      </c>
      <c r="G26" s="53" t="s">
        <v>258</v>
      </c>
      <c r="H26" s="59" t="str">
        <f t="array" ref="H26">XLOOKUP(B26,municipios,regiao!$D$6:$D$150,0)</f>
        <v>NÃO</v>
      </c>
      <c r="I26" s="53" t="s">
        <v>258</v>
      </c>
      <c r="J26" s="60" t="s">
        <v>259</v>
      </c>
      <c r="K26" s="61">
        <v>35.73</v>
      </c>
      <c r="L26" s="70">
        <f>K26/(1-pconfig!$G$2-pconfig!$G$3-pconfig!$G$4)</f>
        <v>67.46601208</v>
      </c>
      <c r="M26" s="61">
        <v>106.693333333333</v>
      </c>
      <c r="N26" s="61">
        <f>M26/(1-pconfig!$G$2-pconfig!$G$3-pconfig!$G$4)</f>
        <v>201.4602216</v>
      </c>
      <c r="O26" s="61">
        <f>((K26*F26)+M26)/(1-pconfig!$G$2-pconfig!$G$3-pconfig!$G$4)</f>
        <v>268.9262336</v>
      </c>
      <c r="P26" s="74">
        <f>K26*F26/(1-pconfig!$G$2-pconfig!$G$3-pconfig!$G$4)</f>
        <v>67.46601208</v>
      </c>
      <c r="Q26" s="74">
        <f>IFS(F26&lt;=pconfig!$B$12,P26*pconfig!$C$12,F26&lt;=pconfig!$B$13,P26*pconfig!$C$13,F26&lt;=pconfig!$B$14,P26*pconfig!$C$14,F26&lt;=pconfig!$B$15,P26*pconfig!$C$15,F26&lt;=pconfig!$B$16,P26*pconfig!$C$16,F26&lt;=pconfig!$B$17,P26*pconfig!$C$17,F26&lt;=pconfig!$B$18,P26*pconfig!$C$18,F26&lt;=pconfig!$B$19,P26*pconfig!$C$19,F26&lt;=pconfig!$B$20,P26*pconfig!$C$20,F26&lt;=pconfig!$B$21,P26*pconfig!$C$21)</f>
        <v>67.46601208</v>
      </c>
      <c r="R26" s="76">
        <f t="shared" si="2"/>
        <v>268.9262336</v>
      </c>
    </row>
    <row r="27" ht="22.5" hidden="1" customHeight="1">
      <c r="A27" s="78">
        <f t="shared" si="3"/>
        <v>26</v>
      </c>
      <c r="B27" s="79" t="s">
        <v>391</v>
      </c>
      <c r="C27" s="79" t="s">
        <v>50</v>
      </c>
      <c r="D27" s="80" t="s">
        <v>82</v>
      </c>
      <c r="E27" s="79" t="str">
        <f t="shared" si="1"/>
        <v>ANAJASFIBRA</v>
      </c>
      <c r="F27" s="81">
        <v>1.0</v>
      </c>
      <c r="G27" s="79" t="s">
        <v>258</v>
      </c>
      <c r="H27" s="81" t="str">
        <f t="array" ref="H27">XLOOKUP(B27,municipios,regiao!$D$6:$D$150,0)</f>
        <v>NÃO</v>
      </c>
      <c r="I27" s="79" t="s">
        <v>258</v>
      </c>
      <c r="J27" s="82" t="s">
        <v>259</v>
      </c>
      <c r="K27" s="83">
        <v>35.73</v>
      </c>
      <c r="L27" s="85">
        <f>K27/(1-pconfig!$G$2-pconfig!$G$3-pconfig!$G$4)</f>
        <v>67.46601208</v>
      </c>
      <c r="M27" s="83">
        <v>519.17</v>
      </c>
      <c r="N27" s="83">
        <f>M27/(1-pconfig!$G$2-pconfig!$G$3-pconfig!$G$4)</f>
        <v>980.3058912</v>
      </c>
      <c r="O27" s="83">
        <f>((K27*F27)+M27)/(1-pconfig!$G$2-pconfig!$G$3-pconfig!$G$4)</f>
        <v>1047.771903</v>
      </c>
      <c r="P27" s="86">
        <f>K27*F27/(1-pconfig!$G$2-pconfig!$G$3-pconfig!$G$4)</f>
        <v>67.46601208</v>
      </c>
      <c r="Q27" s="86">
        <f>IFS(F27&lt;=pconfig!$B$12,P27*pconfig!$C$12,F27&lt;=pconfig!$B$13,P27*pconfig!$C$13,F27&lt;=pconfig!$B$14,P27*pconfig!$C$14,F27&lt;=pconfig!$B$15,P27*pconfig!$C$15,F27&lt;=pconfig!$B$16,P27*pconfig!$C$16,F27&lt;=pconfig!$B$17,P27*pconfig!$C$17,F27&lt;=pconfig!$B$18,P27*pconfig!$C$18,F27&lt;=pconfig!$B$19,P27*pconfig!$C$19,F27&lt;=pconfig!$B$20,P27*pconfig!$C$20,F27&lt;=pconfig!$B$21,P27*pconfig!$C$21)</f>
        <v>67.46601208</v>
      </c>
      <c r="R27" s="87">
        <f t="shared" si="2"/>
        <v>1047.771903</v>
      </c>
    </row>
    <row r="28" ht="22.5" hidden="1" customHeight="1">
      <c r="A28" s="52">
        <f t="shared" si="3"/>
        <v>27</v>
      </c>
      <c r="B28" s="53" t="s">
        <v>391</v>
      </c>
      <c r="C28" s="53" t="s">
        <v>101</v>
      </c>
      <c r="D28" s="56" t="s">
        <v>102</v>
      </c>
      <c r="E28" s="53" t="str">
        <f t="shared" si="1"/>
        <v>ANAJASSATELITE</v>
      </c>
      <c r="F28" s="59">
        <v>1.0</v>
      </c>
      <c r="G28" s="53" t="s">
        <v>258</v>
      </c>
      <c r="H28" s="59" t="str">
        <f t="array" ref="H28">XLOOKUP(B28,municipios,regiao!$D$6:$D$150,0)</f>
        <v>NÃO</v>
      </c>
      <c r="I28" s="53" t="s">
        <v>258</v>
      </c>
      <c r="J28" s="60" t="s">
        <v>106</v>
      </c>
      <c r="K28" s="61">
        <v>4799.0</v>
      </c>
      <c r="L28" s="70">
        <f>K28/(1-pconfig!$G$2-pconfig!$G$3-pconfig!$G$4)</f>
        <v>9061.555891</v>
      </c>
      <c r="M28" s="61">
        <v>519.17</v>
      </c>
      <c r="N28" s="61">
        <f>M28/(1-pconfig!$G$2-pconfig!$G$3-pconfig!$G$4)</f>
        <v>980.3058912</v>
      </c>
      <c r="O28" s="61">
        <f>((K28*F28)+M28)/(1-pconfig!$G$2-pconfig!$G$3-pconfig!$G$4)</f>
        <v>10041.86178</v>
      </c>
      <c r="P28" s="74">
        <f>K28*F28/(1-pconfig!$G$2-pconfig!$G$3-pconfig!$G$4)</f>
        <v>9061.555891</v>
      </c>
      <c r="Q28" s="74">
        <f>IFS(F28&lt;=pconfig!$B$12,P28*pconfig!$C$12,F28&lt;=pconfig!$B$13,P28*pconfig!$C$13,F28&lt;=pconfig!$B$14,P28*pconfig!$C$14,F28&lt;=pconfig!$B$15,P28*pconfig!$C$15,F28&lt;=pconfig!$B$16,P28*pconfig!$C$16,F28&lt;=pconfig!$B$17,P28*pconfig!$C$17,F28&lt;=pconfig!$B$18,P28*pconfig!$C$18,F28&lt;=pconfig!$B$19,P28*pconfig!$C$19,F28&lt;=pconfig!$B$20,P28*pconfig!$C$20,F28&lt;=pconfig!$B$21,P28*pconfig!$C$21)</f>
        <v>9061.555891</v>
      </c>
      <c r="R28" s="76">
        <f t="shared" si="2"/>
        <v>10041.86178</v>
      </c>
    </row>
    <row r="29" ht="22.5" hidden="1" customHeight="1">
      <c r="A29" s="78">
        <f t="shared" si="3"/>
        <v>28</v>
      </c>
      <c r="B29" s="79" t="s">
        <v>134</v>
      </c>
      <c r="C29" s="79" t="s">
        <v>59</v>
      </c>
      <c r="D29" s="80" t="s">
        <v>60</v>
      </c>
      <c r="E29" s="79" t="str">
        <f t="shared" si="1"/>
        <v>ANANINDEUARADIO</v>
      </c>
      <c r="F29" s="81">
        <v>1.0</v>
      </c>
      <c r="G29" s="79" t="s">
        <v>411</v>
      </c>
      <c r="H29" s="81" t="str">
        <f t="array" ref="H29">XLOOKUP(B29,municipios,regiao!$D$6:$D$150,0)</f>
        <v>SIM</v>
      </c>
      <c r="I29" s="79" t="s">
        <v>414</v>
      </c>
      <c r="J29" s="82" t="s">
        <v>416</v>
      </c>
      <c r="K29" s="83">
        <v>13.97</v>
      </c>
      <c r="L29" s="85">
        <f>K29/(1-pconfig!$G$2-pconfig!$G$3-pconfig!$G$4)</f>
        <v>26.37839879</v>
      </c>
      <c r="M29" s="83">
        <v>89.8608333333333</v>
      </c>
      <c r="N29" s="83">
        <f>M29/(1-pconfig!$G$2-pconfig!$G$3-pconfig!$G$4)</f>
        <v>169.6768001</v>
      </c>
      <c r="O29" s="83">
        <f>((K29*F29)+M29)/(1-pconfig!$G$2-pconfig!$G$3-pconfig!$G$4)</f>
        <v>196.0551989</v>
      </c>
      <c r="P29" s="86">
        <f>K29*F29/(1-pconfig!$G$2-pconfig!$G$3-pconfig!$G$4)</f>
        <v>26.37839879</v>
      </c>
      <c r="Q29" s="86">
        <f>IFS(F29&lt;=pconfig!$B$12,P29*pconfig!$C$12,F29&lt;=pconfig!$B$13,P29*pconfig!$C$13,F29&lt;=pconfig!$B$14,P29*pconfig!$C$14,F29&lt;=pconfig!$B$15,P29*pconfig!$C$15,F29&lt;=pconfig!$B$16,P29*pconfig!$C$16,F29&lt;=pconfig!$B$17,P29*pconfig!$C$17,F29&lt;=pconfig!$B$18,P29*pconfig!$C$18,F29&lt;=pconfig!$B$19,P29*pconfig!$C$19,F29&lt;=pconfig!$B$20,P29*pconfig!$C$20,F29&lt;=pconfig!$B$21,P29*pconfig!$C$21)</f>
        <v>26.37839879</v>
      </c>
      <c r="R29" s="87">
        <f t="shared" si="2"/>
        <v>196.0551989</v>
      </c>
    </row>
    <row r="30" ht="22.5" hidden="1" customHeight="1">
      <c r="A30" s="52">
        <f t="shared" si="3"/>
        <v>29</v>
      </c>
      <c r="B30" s="53" t="s">
        <v>134</v>
      </c>
      <c r="C30" s="53" t="s">
        <v>50</v>
      </c>
      <c r="D30" s="56" t="s">
        <v>82</v>
      </c>
      <c r="E30" s="53" t="str">
        <f t="shared" si="1"/>
        <v>ANANINDEUAFIBRA</v>
      </c>
      <c r="F30" s="59">
        <v>1.0</v>
      </c>
      <c r="G30" s="53" t="s">
        <v>411</v>
      </c>
      <c r="H30" s="59" t="str">
        <f t="array" ref="H30">XLOOKUP(B30,municipios,regiao!$D$6:$D$150,0)</f>
        <v>SIM</v>
      </c>
      <c r="I30" s="53" t="s">
        <v>414</v>
      </c>
      <c r="J30" s="60" t="s">
        <v>416</v>
      </c>
      <c r="K30" s="61">
        <v>13.97</v>
      </c>
      <c r="L30" s="70">
        <f>K30/(1-pconfig!$G$2-pconfig!$G$3-pconfig!$G$4)</f>
        <v>26.37839879</v>
      </c>
      <c r="M30" s="61">
        <v>94.7</v>
      </c>
      <c r="N30" s="61">
        <f>M30/(1-pconfig!$G$2-pconfig!$G$3-pconfig!$G$4)</f>
        <v>178.8141994</v>
      </c>
      <c r="O30" s="61">
        <f>((K30*F30)+M30)/(1-pconfig!$G$2-pconfig!$G$3-pconfig!$G$4)</f>
        <v>205.1925982</v>
      </c>
      <c r="P30" s="74">
        <f>K30*F30/(1-pconfig!$G$2-pconfig!$G$3-pconfig!$G$4)</f>
        <v>26.37839879</v>
      </c>
      <c r="Q30" s="74">
        <f>IFS(F30&lt;=pconfig!$B$12,P30*pconfig!$C$12,F30&lt;=pconfig!$B$13,P30*pconfig!$C$13,F30&lt;=pconfig!$B$14,P30*pconfig!$C$14,F30&lt;=pconfig!$B$15,P30*pconfig!$C$15,F30&lt;=pconfig!$B$16,P30*pconfig!$C$16,F30&lt;=pconfig!$B$17,P30*pconfig!$C$17,F30&lt;=pconfig!$B$18,P30*pconfig!$C$18,F30&lt;=pconfig!$B$19,P30*pconfig!$C$19,F30&lt;=pconfig!$B$20,P30*pconfig!$C$20,F30&lt;=pconfig!$B$21,P30*pconfig!$C$21)</f>
        <v>26.37839879</v>
      </c>
      <c r="R30" s="76">
        <f t="shared" si="2"/>
        <v>205.1925982</v>
      </c>
    </row>
    <row r="31" ht="22.5" hidden="1" customHeight="1">
      <c r="A31" s="78">
        <f t="shared" si="3"/>
        <v>30</v>
      </c>
      <c r="B31" s="79" t="s">
        <v>134</v>
      </c>
      <c r="C31" s="79" t="s">
        <v>101</v>
      </c>
      <c r="D31" s="80" t="s">
        <v>102</v>
      </c>
      <c r="E31" s="79" t="str">
        <f t="shared" si="1"/>
        <v>ANANINDEUASATELITE</v>
      </c>
      <c r="F31" s="81">
        <v>1.0</v>
      </c>
      <c r="G31" s="79" t="s">
        <v>411</v>
      </c>
      <c r="H31" s="81" t="str">
        <f t="array" ref="H31">XLOOKUP(B31,municipios,regiao!$D$6:$D$150,0)</f>
        <v>SIM</v>
      </c>
      <c r="I31" s="79" t="s">
        <v>414</v>
      </c>
      <c r="J31" s="82" t="s">
        <v>106</v>
      </c>
      <c r="K31" s="83">
        <v>4799.0</v>
      </c>
      <c r="L31" s="85">
        <f>K31/(1-pconfig!$G$2-pconfig!$G$3-pconfig!$G$4)</f>
        <v>9061.555891</v>
      </c>
      <c r="M31" s="83">
        <v>94.7</v>
      </c>
      <c r="N31" s="83">
        <f>M31/(1-pconfig!$G$2-pconfig!$G$3-pconfig!$G$4)</f>
        <v>178.8141994</v>
      </c>
      <c r="O31" s="83">
        <f>((K31*F31)+M31)/(1-pconfig!$G$2-pconfig!$G$3-pconfig!$G$4)</f>
        <v>9240.370091</v>
      </c>
      <c r="P31" s="86">
        <f>K31*F31/(1-pconfig!$G$2-pconfig!$G$3-pconfig!$G$4)</f>
        <v>9061.555891</v>
      </c>
      <c r="Q31" s="86">
        <f>IFS(F31&lt;=pconfig!$B$12,P31*pconfig!$C$12,F31&lt;=pconfig!$B$13,P31*pconfig!$C$13,F31&lt;=pconfig!$B$14,P31*pconfig!$C$14,F31&lt;=pconfig!$B$15,P31*pconfig!$C$15,F31&lt;=pconfig!$B$16,P31*pconfig!$C$16,F31&lt;=pconfig!$B$17,P31*pconfig!$C$17,F31&lt;=pconfig!$B$18,P31*pconfig!$C$18,F31&lt;=pconfig!$B$19,P31*pconfig!$C$19,F31&lt;=pconfig!$B$20,P31*pconfig!$C$20,F31&lt;=pconfig!$B$21,P31*pconfig!$C$21)</f>
        <v>9061.555891</v>
      </c>
      <c r="R31" s="87">
        <f t="shared" si="2"/>
        <v>9240.370091</v>
      </c>
    </row>
    <row r="32" ht="22.5" hidden="1" customHeight="1">
      <c r="A32" s="52">
        <f t="shared" si="3"/>
        <v>31</v>
      </c>
      <c r="B32" s="53" t="s">
        <v>431</v>
      </c>
      <c r="C32" s="53" t="s">
        <v>50</v>
      </c>
      <c r="D32" s="56" t="s">
        <v>82</v>
      </c>
      <c r="E32" s="53" t="str">
        <f t="shared" si="1"/>
        <v>ANAPUFIBRA</v>
      </c>
      <c r="F32" s="59">
        <v>1.0</v>
      </c>
      <c r="G32" s="53" t="s">
        <v>374</v>
      </c>
      <c r="H32" s="59" t="str">
        <f t="array" ref="H32">XLOOKUP(B32,municipios,regiao!$D$6:$D$150,0)</f>
        <v>SIM</v>
      </c>
      <c r="I32" s="53" t="s">
        <v>375</v>
      </c>
      <c r="J32" s="60" t="s">
        <v>337</v>
      </c>
      <c r="K32" s="61">
        <v>17.84</v>
      </c>
      <c r="L32" s="70">
        <f>K32/(1-pconfig!$G$2-pconfig!$G$3-pconfig!$G$4)</f>
        <v>33.6858006</v>
      </c>
      <c r="M32" s="61">
        <v>283.33</v>
      </c>
      <c r="N32" s="61">
        <f>M32/(1-pconfig!$G$2-pconfig!$G$3-pconfig!$G$4)</f>
        <v>534.9886707</v>
      </c>
      <c r="O32" s="61">
        <f>((K32*F32)+M32)/(1-pconfig!$G$2-pconfig!$G$3-pconfig!$G$4)</f>
        <v>568.6744713</v>
      </c>
      <c r="P32" s="74">
        <f>K32*F32/(1-pconfig!$G$2-pconfig!$G$3-pconfig!$G$4)</f>
        <v>33.6858006</v>
      </c>
      <c r="Q32" s="74">
        <f>IFS(F32&lt;=pconfig!$B$12,P32*pconfig!$C$12,F32&lt;=pconfig!$B$13,P32*pconfig!$C$13,F32&lt;=pconfig!$B$14,P32*pconfig!$C$14,F32&lt;=pconfig!$B$15,P32*pconfig!$C$15,F32&lt;=pconfig!$B$16,P32*pconfig!$C$16,F32&lt;=pconfig!$B$17,P32*pconfig!$C$17,F32&lt;=pconfig!$B$18,P32*pconfig!$C$18,F32&lt;=pconfig!$B$19,P32*pconfig!$C$19,F32&lt;=pconfig!$B$20,P32*pconfig!$C$20,F32&lt;=pconfig!$B$21,P32*pconfig!$C$21)</f>
        <v>33.6858006</v>
      </c>
      <c r="R32" s="76">
        <f t="shared" si="2"/>
        <v>568.6744713</v>
      </c>
    </row>
    <row r="33" ht="22.5" hidden="1" customHeight="1">
      <c r="A33" s="78">
        <f t="shared" si="3"/>
        <v>32</v>
      </c>
      <c r="B33" s="79" t="s">
        <v>431</v>
      </c>
      <c r="C33" s="79" t="s">
        <v>101</v>
      </c>
      <c r="D33" s="80" t="s">
        <v>102</v>
      </c>
      <c r="E33" s="79" t="str">
        <f t="shared" si="1"/>
        <v>ANAPUSATELITE</v>
      </c>
      <c r="F33" s="81">
        <v>1.0</v>
      </c>
      <c r="G33" s="79" t="s">
        <v>374</v>
      </c>
      <c r="H33" s="81" t="str">
        <f t="array" ref="H33">XLOOKUP(B33,municipios,regiao!$D$6:$D$150,0)</f>
        <v>SIM</v>
      </c>
      <c r="I33" s="79" t="s">
        <v>375</v>
      </c>
      <c r="J33" s="82" t="s">
        <v>106</v>
      </c>
      <c r="K33" s="83">
        <v>4799.0</v>
      </c>
      <c r="L33" s="85">
        <f>K33/(1-pconfig!$G$2-pconfig!$G$3-pconfig!$G$4)</f>
        <v>9061.555891</v>
      </c>
      <c r="M33" s="83">
        <v>283.33</v>
      </c>
      <c r="N33" s="83">
        <f>M33/(1-pconfig!$G$2-pconfig!$G$3-pconfig!$G$4)</f>
        <v>534.9886707</v>
      </c>
      <c r="O33" s="83">
        <f>((K33*F33)+M33)/(1-pconfig!$G$2-pconfig!$G$3-pconfig!$G$4)</f>
        <v>9596.544562</v>
      </c>
      <c r="P33" s="86">
        <f>K33*F33/(1-pconfig!$G$2-pconfig!$G$3-pconfig!$G$4)</f>
        <v>9061.555891</v>
      </c>
      <c r="Q33" s="86">
        <f>IFS(F33&lt;=pconfig!$B$12,P33*pconfig!$C$12,F33&lt;=pconfig!$B$13,P33*pconfig!$C$13,F33&lt;=pconfig!$B$14,P33*pconfig!$C$14,F33&lt;=pconfig!$B$15,P33*pconfig!$C$15,F33&lt;=pconfig!$B$16,P33*pconfig!$C$16,F33&lt;=pconfig!$B$17,P33*pconfig!$C$17,F33&lt;=pconfig!$B$18,P33*pconfig!$C$18,F33&lt;=pconfig!$B$19,P33*pconfig!$C$19,F33&lt;=pconfig!$B$20,P33*pconfig!$C$20,F33&lt;=pconfig!$B$21,P33*pconfig!$C$21)</f>
        <v>9061.555891</v>
      </c>
      <c r="R33" s="87">
        <f t="shared" si="2"/>
        <v>9596.544562</v>
      </c>
    </row>
    <row r="34" ht="22.5" hidden="1" customHeight="1">
      <c r="A34" s="52">
        <f t="shared" si="3"/>
        <v>33</v>
      </c>
      <c r="B34" s="53" t="s">
        <v>431</v>
      </c>
      <c r="C34" s="53" t="s">
        <v>59</v>
      </c>
      <c r="D34" s="56" t="s">
        <v>60</v>
      </c>
      <c r="E34" s="53" t="str">
        <f t="shared" si="1"/>
        <v>ANAPURADIO</v>
      </c>
      <c r="F34" s="59">
        <v>1.0</v>
      </c>
      <c r="G34" s="53" t="s">
        <v>374</v>
      </c>
      <c r="H34" s="59" t="str">
        <f t="array" ref="H34">XLOOKUP(B34,municipios,regiao!$D$6:$D$150,0)</f>
        <v>SIM</v>
      </c>
      <c r="I34" s="53" t="s">
        <v>375</v>
      </c>
      <c r="J34" s="60" t="s">
        <v>337</v>
      </c>
      <c r="K34" s="61">
        <v>17.84</v>
      </c>
      <c r="L34" s="70">
        <f>K34/(1-pconfig!$G$2-pconfig!$G$3-pconfig!$G$4)</f>
        <v>33.6858006</v>
      </c>
      <c r="M34" s="61">
        <v>416.666666666667</v>
      </c>
      <c r="N34" s="61">
        <f>M34/(1-pconfig!$G$2-pconfig!$G$3-pconfig!$G$4)</f>
        <v>786.7573011</v>
      </c>
      <c r="O34" s="61">
        <f>((K34*F34)+M34)/(1-pconfig!$G$2-pconfig!$G$3-pconfig!$G$4)</f>
        <v>820.4431017</v>
      </c>
      <c r="P34" s="74">
        <f>K34*F34/(1-pconfig!$G$2-pconfig!$G$3-pconfig!$G$4)</f>
        <v>33.6858006</v>
      </c>
      <c r="Q34" s="74">
        <f>IFS(F34&lt;=pconfig!$B$12,P34*pconfig!$C$12,F34&lt;=pconfig!$B$13,P34*pconfig!$C$13,F34&lt;=pconfig!$B$14,P34*pconfig!$C$14,F34&lt;=pconfig!$B$15,P34*pconfig!$C$15,F34&lt;=pconfig!$B$16,P34*pconfig!$C$16,F34&lt;=pconfig!$B$17,P34*pconfig!$C$17,F34&lt;=pconfig!$B$18,P34*pconfig!$C$18,F34&lt;=pconfig!$B$19,P34*pconfig!$C$19,F34&lt;=pconfig!$B$20,P34*pconfig!$C$20,F34&lt;=pconfig!$B$21,P34*pconfig!$C$21)</f>
        <v>33.6858006</v>
      </c>
      <c r="R34" s="76">
        <f t="shared" si="2"/>
        <v>820.4431017</v>
      </c>
    </row>
    <row r="35" ht="22.5" hidden="1" customHeight="1">
      <c r="A35" s="78">
        <f t="shared" si="3"/>
        <v>34</v>
      </c>
      <c r="B35" s="79" t="s">
        <v>494</v>
      </c>
      <c r="C35" s="79" t="s">
        <v>59</v>
      </c>
      <c r="D35" s="80" t="s">
        <v>60</v>
      </c>
      <c r="E35" s="79" t="str">
        <f t="shared" si="1"/>
        <v>AUGUSTO CORREARADIO</v>
      </c>
      <c r="F35" s="81">
        <v>1.0</v>
      </c>
      <c r="G35" s="79" t="s">
        <v>61</v>
      </c>
      <c r="H35" s="81" t="str">
        <f t="array" ref="H35">XLOOKUP(B35,municipios,regiao!$D$6:$D$150,0)</f>
        <v>SIM</v>
      </c>
      <c r="I35" s="79" t="s">
        <v>496</v>
      </c>
      <c r="J35" s="82" t="s">
        <v>337</v>
      </c>
      <c r="K35" s="83">
        <v>17.84</v>
      </c>
      <c r="L35" s="85">
        <f>K35/(1-pconfig!$G$2-pconfig!$G$3-pconfig!$G$4)</f>
        <v>33.6858006</v>
      </c>
      <c r="M35" s="83">
        <v>137.604166666667</v>
      </c>
      <c r="N35" s="83">
        <f>M35/(1-pconfig!$G$2-pconfig!$G$3-pconfig!$G$4)</f>
        <v>259.8265987</v>
      </c>
      <c r="O35" s="83">
        <f>((K35*F35)+M35)/(1-pconfig!$G$2-pconfig!$G$3-pconfig!$G$4)</f>
        <v>293.5123993</v>
      </c>
      <c r="P35" s="86">
        <f>K35*F35/(1-pconfig!$G$2-pconfig!$G$3-pconfig!$G$4)</f>
        <v>33.6858006</v>
      </c>
      <c r="Q35" s="86">
        <f>IFS(F35&lt;=pconfig!$B$12,P35*pconfig!$C$12,F35&lt;=pconfig!$B$13,P35*pconfig!$C$13,F35&lt;=pconfig!$B$14,P35*pconfig!$C$14,F35&lt;=pconfig!$B$15,P35*pconfig!$C$15,F35&lt;=pconfig!$B$16,P35*pconfig!$C$16,F35&lt;=pconfig!$B$17,P35*pconfig!$C$17,F35&lt;=pconfig!$B$18,P35*pconfig!$C$18,F35&lt;=pconfig!$B$19,P35*pconfig!$C$19,F35&lt;=pconfig!$B$20,P35*pconfig!$C$20,F35&lt;=pconfig!$B$21,P35*pconfig!$C$21)</f>
        <v>33.6858006</v>
      </c>
      <c r="R35" s="87">
        <f t="shared" si="2"/>
        <v>293.5123993</v>
      </c>
    </row>
    <row r="36" ht="22.5" hidden="1" customHeight="1">
      <c r="A36" s="52">
        <f t="shared" si="3"/>
        <v>35</v>
      </c>
      <c r="B36" s="53" t="s">
        <v>494</v>
      </c>
      <c r="C36" s="53" t="s">
        <v>50</v>
      </c>
      <c r="D36" s="56" t="s">
        <v>82</v>
      </c>
      <c r="E36" s="53" t="str">
        <f t="shared" si="1"/>
        <v>AUGUSTO CORREAFIBRA</v>
      </c>
      <c r="F36" s="59">
        <v>1.0</v>
      </c>
      <c r="G36" s="53" t="s">
        <v>61</v>
      </c>
      <c r="H36" s="59" t="str">
        <f t="array" ref="H36">XLOOKUP(B36,municipios,regiao!$D$6:$D$150,0)</f>
        <v>SIM</v>
      </c>
      <c r="I36" s="53" t="s">
        <v>496</v>
      </c>
      <c r="J36" s="60" t="s">
        <v>337</v>
      </c>
      <c r="K36" s="61">
        <v>17.84</v>
      </c>
      <c r="L36" s="70">
        <f>K36/(1-pconfig!$G$2-pconfig!$G$3-pconfig!$G$4)</f>
        <v>33.6858006</v>
      </c>
      <c r="M36" s="61">
        <v>406.12</v>
      </c>
      <c r="N36" s="61">
        <f>M36/(1-pconfig!$G$2-pconfig!$G$3-pconfig!$G$4)</f>
        <v>766.8429003</v>
      </c>
      <c r="O36" s="61">
        <f>((K36*F36)+M36)/(1-pconfig!$G$2-pconfig!$G$3-pconfig!$G$4)</f>
        <v>800.5287009</v>
      </c>
      <c r="P36" s="74">
        <f>K36*F36/(1-pconfig!$G$2-pconfig!$G$3-pconfig!$G$4)</f>
        <v>33.6858006</v>
      </c>
      <c r="Q36" s="74">
        <f>IFS(F36&lt;=pconfig!$B$12,P36*pconfig!$C$12,F36&lt;=pconfig!$B$13,P36*pconfig!$C$13,F36&lt;=pconfig!$B$14,P36*pconfig!$C$14,F36&lt;=pconfig!$B$15,P36*pconfig!$C$15,F36&lt;=pconfig!$B$16,P36*pconfig!$C$16,F36&lt;=pconfig!$B$17,P36*pconfig!$C$17,F36&lt;=pconfig!$B$18,P36*pconfig!$C$18,F36&lt;=pconfig!$B$19,P36*pconfig!$C$19,F36&lt;=pconfig!$B$20,P36*pconfig!$C$20,F36&lt;=pconfig!$B$21,P36*pconfig!$C$21)</f>
        <v>33.6858006</v>
      </c>
      <c r="R36" s="76">
        <f t="shared" si="2"/>
        <v>800.5287009</v>
      </c>
    </row>
    <row r="37" ht="22.5" hidden="1" customHeight="1">
      <c r="A37" s="78">
        <f t="shared" si="3"/>
        <v>36</v>
      </c>
      <c r="B37" s="79" t="s">
        <v>494</v>
      </c>
      <c r="C37" s="79" t="s">
        <v>101</v>
      </c>
      <c r="D37" s="80" t="s">
        <v>102</v>
      </c>
      <c r="E37" s="79" t="str">
        <f t="shared" si="1"/>
        <v>AUGUSTO CORREASATELITE</v>
      </c>
      <c r="F37" s="81">
        <v>1.0</v>
      </c>
      <c r="G37" s="79" t="s">
        <v>61</v>
      </c>
      <c r="H37" s="81" t="str">
        <f t="array" ref="H37">XLOOKUP(B37,municipios,regiao!$D$6:$D$150,0)</f>
        <v>SIM</v>
      </c>
      <c r="I37" s="79" t="s">
        <v>496</v>
      </c>
      <c r="J37" s="82" t="s">
        <v>106</v>
      </c>
      <c r="K37" s="83">
        <v>4799.0</v>
      </c>
      <c r="L37" s="85">
        <f>K37/(1-pconfig!$G$2-pconfig!$G$3-pconfig!$G$4)</f>
        <v>9061.555891</v>
      </c>
      <c r="M37" s="83">
        <v>406.12</v>
      </c>
      <c r="N37" s="83">
        <f>M37/(1-pconfig!$G$2-pconfig!$G$3-pconfig!$G$4)</f>
        <v>766.8429003</v>
      </c>
      <c r="O37" s="83">
        <f>((K37*F37)+M37)/(1-pconfig!$G$2-pconfig!$G$3-pconfig!$G$4)</f>
        <v>9828.398792</v>
      </c>
      <c r="P37" s="86">
        <f>K37*F37/(1-pconfig!$G$2-pconfig!$G$3-pconfig!$G$4)</f>
        <v>9061.555891</v>
      </c>
      <c r="Q37" s="86">
        <f>IFS(F37&lt;=pconfig!$B$12,P37*pconfig!$C$12,F37&lt;=pconfig!$B$13,P37*pconfig!$C$13,F37&lt;=pconfig!$B$14,P37*pconfig!$C$14,F37&lt;=pconfig!$B$15,P37*pconfig!$C$15,F37&lt;=pconfig!$B$16,P37*pconfig!$C$16,F37&lt;=pconfig!$B$17,P37*pconfig!$C$17,F37&lt;=pconfig!$B$18,P37*pconfig!$C$18,F37&lt;=pconfig!$B$19,P37*pconfig!$C$19,F37&lt;=pconfig!$B$20,P37*pconfig!$C$20,F37&lt;=pconfig!$B$21,P37*pconfig!$C$21)</f>
        <v>9061.555891</v>
      </c>
      <c r="R37" s="87">
        <f t="shared" si="2"/>
        <v>9828.398792</v>
      </c>
    </row>
    <row r="38" ht="22.5" hidden="1" customHeight="1">
      <c r="A38" s="52">
        <f t="shared" si="3"/>
        <v>37</v>
      </c>
      <c r="B38" s="53" t="s">
        <v>515</v>
      </c>
      <c r="C38" s="53" t="s">
        <v>50</v>
      </c>
      <c r="D38" s="56" t="s">
        <v>82</v>
      </c>
      <c r="E38" s="53" t="str">
        <f t="shared" si="1"/>
        <v>AURORA DO PARAFIBRA</v>
      </c>
      <c r="F38" s="59">
        <v>1.0</v>
      </c>
      <c r="G38" s="53" t="s">
        <v>61</v>
      </c>
      <c r="H38" s="59" t="str">
        <f t="array" ref="H38">XLOOKUP(B38,municipios,regiao!$D$6:$D$150,0)</f>
        <v>SIM</v>
      </c>
      <c r="I38" s="53" t="s">
        <v>132</v>
      </c>
      <c r="J38" s="60" t="s">
        <v>337</v>
      </c>
      <c r="K38" s="61">
        <v>17.84</v>
      </c>
      <c r="L38" s="70">
        <f>K38/(1-pconfig!$G$2-pconfig!$G$3-pconfig!$G$4)</f>
        <v>33.6858006</v>
      </c>
      <c r="M38" s="61">
        <v>63.39</v>
      </c>
      <c r="N38" s="61">
        <f>M38/(1-pconfig!$G$2-pconfig!$G$3-pconfig!$G$4)</f>
        <v>119.6941088</v>
      </c>
      <c r="O38" s="61">
        <f>((K38*F38)+M38)/(1-pconfig!$G$2-pconfig!$G$3-pconfig!$G$4)</f>
        <v>153.3799094</v>
      </c>
      <c r="P38" s="74">
        <f>K38*F38/(1-pconfig!$G$2-pconfig!$G$3-pconfig!$G$4)</f>
        <v>33.6858006</v>
      </c>
      <c r="Q38" s="74">
        <f>IFS(F38&lt;=pconfig!$B$12,P38*pconfig!$C$12,F38&lt;=pconfig!$B$13,P38*pconfig!$C$13,F38&lt;=pconfig!$B$14,P38*pconfig!$C$14,F38&lt;=pconfig!$B$15,P38*pconfig!$C$15,F38&lt;=pconfig!$B$16,P38*pconfig!$C$16,F38&lt;=pconfig!$B$17,P38*pconfig!$C$17,F38&lt;=pconfig!$B$18,P38*pconfig!$C$18,F38&lt;=pconfig!$B$19,P38*pconfig!$C$19,F38&lt;=pconfig!$B$20,P38*pconfig!$C$20,F38&lt;=pconfig!$B$21,P38*pconfig!$C$21)</f>
        <v>33.6858006</v>
      </c>
      <c r="R38" s="76">
        <f t="shared" si="2"/>
        <v>153.3799094</v>
      </c>
    </row>
    <row r="39" ht="22.5" hidden="1" customHeight="1">
      <c r="A39" s="78">
        <f t="shared" si="3"/>
        <v>38</v>
      </c>
      <c r="B39" s="153" t="s">
        <v>515</v>
      </c>
      <c r="C39" s="79" t="s">
        <v>101</v>
      </c>
      <c r="D39" s="80" t="s">
        <v>102</v>
      </c>
      <c r="E39" s="79" t="str">
        <f t="shared" si="1"/>
        <v>AURORA DO PARASATELITE</v>
      </c>
      <c r="F39" s="81">
        <v>1.0</v>
      </c>
      <c r="G39" s="79" t="s">
        <v>61</v>
      </c>
      <c r="H39" s="81" t="str">
        <f t="array" ref="H39">XLOOKUP(B39,municipios,regiao!$D$6:$D$150,0)</f>
        <v>SIM</v>
      </c>
      <c r="I39" s="79" t="s">
        <v>132</v>
      </c>
      <c r="J39" s="82" t="s">
        <v>106</v>
      </c>
      <c r="K39" s="83">
        <v>4799.0</v>
      </c>
      <c r="L39" s="85">
        <f>K39/(1-pconfig!$G$2-pconfig!$G$3-pconfig!$G$4)</f>
        <v>9061.555891</v>
      </c>
      <c r="M39" s="83">
        <v>63.39</v>
      </c>
      <c r="N39" s="83">
        <f>M39/(1-pconfig!$G$2-pconfig!$G$3-pconfig!$G$4)</f>
        <v>119.6941088</v>
      </c>
      <c r="O39" s="83">
        <f>((K39*F39)+M39)/(1-pconfig!$G$2-pconfig!$G$3-pconfig!$G$4)</f>
        <v>9181.25</v>
      </c>
      <c r="P39" s="86">
        <f>K39*F39/(1-pconfig!$G$2-pconfig!$G$3-pconfig!$G$4)</f>
        <v>9061.555891</v>
      </c>
      <c r="Q39" s="86">
        <f>IFS(F39&lt;=pconfig!$B$12,P39*pconfig!$C$12,F39&lt;=pconfig!$B$13,P39*pconfig!$C$13,F39&lt;=pconfig!$B$14,P39*pconfig!$C$14,F39&lt;=pconfig!$B$15,P39*pconfig!$C$15,F39&lt;=pconfig!$B$16,P39*pconfig!$C$16,F39&lt;=pconfig!$B$17,P39*pconfig!$C$17,F39&lt;=pconfig!$B$18,P39*pconfig!$C$18,F39&lt;=pconfig!$B$19,P39*pconfig!$C$19,F39&lt;=pconfig!$B$20,P39*pconfig!$C$20,F39&lt;=pconfig!$B$21,P39*pconfig!$C$21)</f>
        <v>9061.555891</v>
      </c>
      <c r="R39" s="87">
        <f t="shared" si="2"/>
        <v>9181.25</v>
      </c>
    </row>
    <row r="40" ht="22.5" hidden="1" customHeight="1">
      <c r="A40" s="52">
        <f t="shared" si="3"/>
        <v>39</v>
      </c>
      <c r="B40" s="53" t="s">
        <v>515</v>
      </c>
      <c r="C40" s="53" t="s">
        <v>59</v>
      </c>
      <c r="D40" s="56" t="s">
        <v>60</v>
      </c>
      <c r="E40" s="53" t="str">
        <f t="shared" si="1"/>
        <v>AURORA DO PARARADIO</v>
      </c>
      <c r="F40" s="59">
        <v>1.0</v>
      </c>
      <c r="G40" s="53" t="s">
        <v>61</v>
      </c>
      <c r="H40" s="59" t="str">
        <f t="array" ref="H40">XLOOKUP(B40,municipios,regiao!$D$6:$D$150,0)</f>
        <v>SIM</v>
      </c>
      <c r="I40" s="53" t="s">
        <v>132</v>
      </c>
      <c r="J40" s="60" t="s">
        <v>337</v>
      </c>
      <c r="K40" s="61">
        <v>17.84</v>
      </c>
      <c r="L40" s="70">
        <f>K40/(1-pconfig!$G$2-pconfig!$G$3-pconfig!$G$4)</f>
        <v>33.6858006</v>
      </c>
      <c r="M40" s="61">
        <v>130.6225</v>
      </c>
      <c r="N40" s="61">
        <f>M40/(1-pconfig!$G$2-pconfig!$G$3-pconfig!$G$4)</f>
        <v>246.6436934</v>
      </c>
      <c r="O40" s="61">
        <f>((K40*F40)+M40)/(1-pconfig!$G$2-pconfig!$G$3-pconfig!$G$4)</f>
        <v>280.329494</v>
      </c>
      <c r="P40" s="74">
        <f>K40*F40/(1-pconfig!$G$2-pconfig!$G$3-pconfig!$G$4)</f>
        <v>33.6858006</v>
      </c>
      <c r="Q40" s="74">
        <f>IFS(F40&lt;=pconfig!$B$12,P40*pconfig!$C$12,F40&lt;=pconfig!$B$13,P40*pconfig!$C$13,F40&lt;=pconfig!$B$14,P40*pconfig!$C$14,F40&lt;=pconfig!$B$15,P40*pconfig!$C$15,F40&lt;=pconfig!$B$16,P40*pconfig!$C$16,F40&lt;=pconfig!$B$17,P40*pconfig!$C$17,F40&lt;=pconfig!$B$18,P40*pconfig!$C$18,F40&lt;=pconfig!$B$19,P40*pconfig!$C$19,F40&lt;=pconfig!$B$20,P40*pconfig!$C$20,F40&lt;=pconfig!$B$21,P40*pconfig!$C$21)</f>
        <v>33.6858006</v>
      </c>
      <c r="R40" s="76">
        <f t="shared" si="2"/>
        <v>280.329494</v>
      </c>
    </row>
    <row r="41" ht="22.5" hidden="1" customHeight="1">
      <c r="A41" s="78">
        <f t="shared" si="3"/>
        <v>40</v>
      </c>
      <c r="B41" s="79" t="s">
        <v>551</v>
      </c>
      <c r="C41" s="79" t="s">
        <v>59</v>
      </c>
      <c r="D41" s="80" t="s">
        <v>60</v>
      </c>
      <c r="E41" s="79" t="str">
        <f t="shared" si="1"/>
        <v>AVEIRORADIO</v>
      </c>
      <c r="F41" s="81">
        <v>1.0</v>
      </c>
      <c r="G41" s="79" t="s">
        <v>374</v>
      </c>
      <c r="H41" s="81" t="str">
        <f t="array" ref="H41">XLOOKUP(B41,municipios,regiao!$D$6:$D$150,0)</f>
        <v>NÃO</v>
      </c>
      <c r="I41" s="79" t="s">
        <v>555</v>
      </c>
      <c r="J41" s="82" t="s">
        <v>259</v>
      </c>
      <c r="K41" s="83">
        <v>35.73</v>
      </c>
      <c r="L41" s="85">
        <f>K41/(1-pconfig!$G$2-pconfig!$G$3-pconfig!$G$4)</f>
        <v>67.46601208</v>
      </c>
      <c r="M41" s="83">
        <v>166.666666666667</v>
      </c>
      <c r="N41" s="83">
        <f>M41/(1-pconfig!$G$2-pconfig!$G$3-pconfig!$G$4)</f>
        <v>314.7029204</v>
      </c>
      <c r="O41" s="83">
        <f>((K41*F41)+M41)/(1-pconfig!$G$2-pconfig!$G$3-pconfig!$G$4)</f>
        <v>382.1689325</v>
      </c>
      <c r="P41" s="86">
        <f>K41*F41/(1-pconfig!$G$2-pconfig!$G$3-pconfig!$G$4)</f>
        <v>67.46601208</v>
      </c>
      <c r="Q41" s="86">
        <f>IFS(F41&lt;=pconfig!$B$12,P41*pconfig!$C$12,F41&lt;=pconfig!$B$13,P41*pconfig!$C$13,F41&lt;=pconfig!$B$14,P41*pconfig!$C$14,F41&lt;=pconfig!$B$15,P41*pconfig!$C$15,F41&lt;=pconfig!$B$16,P41*pconfig!$C$16,F41&lt;=pconfig!$B$17,P41*pconfig!$C$17,F41&lt;=pconfig!$B$18,P41*pconfig!$C$18,F41&lt;=pconfig!$B$19,P41*pconfig!$C$19,F41&lt;=pconfig!$B$20,P41*pconfig!$C$20,F41&lt;=pconfig!$B$21,P41*pconfig!$C$21)</f>
        <v>67.46601208</v>
      </c>
      <c r="R41" s="87">
        <f t="shared" si="2"/>
        <v>382.1689325</v>
      </c>
    </row>
    <row r="42" ht="22.5" hidden="1" customHeight="1">
      <c r="A42" s="52">
        <f t="shared" si="3"/>
        <v>41</v>
      </c>
      <c r="B42" s="53" t="s">
        <v>551</v>
      </c>
      <c r="C42" s="53" t="s">
        <v>50</v>
      </c>
      <c r="D42" s="56" t="s">
        <v>82</v>
      </c>
      <c r="E42" s="53" t="str">
        <f t="shared" si="1"/>
        <v>AVEIROFIBRA</v>
      </c>
      <c r="F42" s="59">
        <v>1.0</v>
      </c>
      <c r="G42" s="53" t="s">
        <v>374</v>
      </c>
      <c r="H42" s="59" t="str">
        <f t="array" ref="H42">XLOOKUP(B42,municipios,regiao!$D$6:$D$150,0)</f>
        <v>NÃO</v>
      </c>
      <c r="I42" s="53" t="s">
        <v>555</v>
      </c>
      <c r="J42" s="60" t="s">
        <v>259</v>
      </c>
      <c r="K42" s="61">
        <v>35.73</v>
      </c>
      <c r="L42" s="70">
        <f>K42/(1-pconfig!$G$2-pconfig!$G$3-pconfig!$G$4)</f>
        <v>67.46601208</v>
      </c>
      <c r="M42" s="61">
        <v>407.5</v>
      </c>
      <c r="N42" s="61">
        <f>M42/(1-pconfig!$G$2-pconfig!$G$3-pconfig!$G$4)</f>
        <v>769.4486405</v>
      </c>
      <c r="O42" s="61">
        <f>((K42*F42)+M42)/(1-pconfig!$G$2-pconfig!$G$3-pconfig!$G$4)</f>
        <v>836.9146526</v>
      </c>
      <c r="P42" s="74">
        <f>K42*F42/(1-pconfig!$G$2-pconfig!$G$3-pconfig!$G$4)</f>
        <v>67.46601208</v>
      </c>
      <c r="Q42" s="74">
        <f>IFS(F42&lt;=pconfig!$B$12,P42*pconfig!$C$12,F42&lt;=pconfig!$B$13,P42*pconfig!$C$13,F42&lt;=pconfig!$B$14,P42*pconfig!$C$14,F42&lt;=pconfig!$B$15,P42*pconfig!$C$15,F42&lt;=pconfig!$B$16,P42*pconfig!$C$16,F42&lt;=pconfig!$B$17,P42*pconfig!$C$17,F42&lt;=pconfig!$B$18,P42*pconfig!$C$18,F42&lt;=pconfig!$B$19,P42*pconfig!$C$19,F42&lt;=pconfig!$B$20,P42*pconfig!$C$20,F42&lt;=pconfig!$B$21,P42*pconfig!$C$21)</f>
        <v>67.46601208</v>
      </c>
      <c r="R42" s="76">
        <f t="shared" si="2"/>
        <v>836.9146526</v>
      </c>
    </row>
    <row r="43" ht="22.5" hidden="1" customHeight="1">
      <c r="A43" s="78">
        <f t="shared" si="3"/>
        <v>42</v>
      </c>
      <c r="B43" s="79" t="s">
        <v>551</v>
      </c>
      <c r="C43" s="79" t="s">
        <v>101</v>
      </c>
      <c r="D43" s="80" t="s">
        <v>102</v>
      </c>
      <c r="E43" s="79" t="str">
        <f t="shared" si="1"/>
        <v>AVEIROSATELITE</v>
      </c>
      <c r="F43" s="81">
        <v>1.0</v>
      </c>
      <c r="G43" s="79" t="s">
        <v>374</v>
      </c>
      <c r="H43" s="81" t="str">
        <f t="array" ref="H43">XLOOKUP(B43,municipios,regiao!$D$6:$D$150,0)</f>
        <v>NÃO</v>
      </c>
      <c r="I43" s="79" t="s">
        <v>555</v>
      </c>
      <c r="J43" s="82" t="s">
        <v>106</v>
      </c>
      <c r="K43" s="83">
        <v>4799.0</v>
      </c>
      <c r="L43" s="85">
        <f>K43/(1-pconfig!$G$2-pconfig!$G$3-pconfig!$G$4)</f>
        <v>9061.555891</v>
      </c>
      <c r="M43" s="83">
        <v>407.5</v>
      </c>
      <c r="N43" s="83">
        <f>M43/(1-pconfig!$G$2-pconfig!$G$3-pconfig!$G$4)</f>
        <v>769.4486405</v>
      </c>
      <c r="O43" s="83">
        <f>((K43*F43)+M43)/(1-pconfig!$G$2-pconfig!$G$3-pconfig!$G$4)</f>
        <v>9831.004532</v>
      </c>
      <c r="P43" s="86">
        <f>K43*F43/(1-pconfig!$G$2-pconfig!$G$3-pconfig!$G$4)</f>
        <v>9061.555891</v>
      </c>
      <c r="Q43" s="86">
        <f>IFS(F43&lt;=pconfig!$B$12,P43*pconfig!$C$12,F43&lt;=pconfig!$B$13,P43*pconfig!$C$13,F43&lt;=pconfig!$B$14,P43*pconfig!$C$14,F43&lt;=pconfig!$B$15,P43*pconfig!$C$15,F43&lt;=pconfig!$B$16,P43*pconfig!$C$16,F43&lt;=pconfig!$B$17,P43*pconfig!$C$17,F43&lt;=pconfig!$B$18,P43*pconfig!$C$18,F43&lt;=pconfig!$B$19,P43*pconfig!$C$19,F43&lt;=pconfig!$B$20,P43*pconfig!$C$20,F43&lt;=pconfig!$B$21,P43*pconfig!$C$21)</f>
        <v>9061.555891</v>
      </c>
      <c r="R43" s="87">
        <f t="shared" si="2"/>
        <v>9831.004532</v>
      </c>
    </row>
    <row r="44" ht="22.5" hidden="1" customHeight="1">
      <c r="A44" s="52">
        <f t="shared" si="3"/>
        <v>43</v>
      </c>
      <c r="B44" s="53" t="s">
        <v>577</v>
      </c>
      <c r="C44" s="53" t="s">
        <v>59</v>
      </c>
      <c r="D44" s="56" t="s">
        <v>60</v>
      </c>
      <c r="E44" s="53" t="str">
        <f t="shared" si="1"/>
        <v>BAGRERADIO</v>
      </c>
      <c r="F44" s="59">
        <v>1.0</v>
      </c>
      <c r="G44" s="53" t="s">
        <v>258</v>
      </c>
      <c r="H44" s="59" t="str">
        <f t="array" ref="H44">XLOOKUP(B44,municipios,regiao!$D$6:$D$150,0)</f>
        <v>SIM</v>
      </c>
      <c r="I44" s="53" t="s">
        <v>258</v>
      </c>
      <c r="J44" s="60" t="s">
        <v>259</v>
      </c>
      <c r="K44" s="61">
        <v>35.73</v>
      </c>
      <c r="L44" s="70">
        <f>K44/(1-pconfig!$G$2-pconfig!$G$3-pconfig!$G$4)</f>
        <v>67.46601208</v>
      </c>
      <c r="M44" s="61">
        <v>106.693333333333</v>
      </c>
      <c r="N44" s="61">
        <f>M44/(1-pconfig!$G$2-pconfig!$G$3-pconfig!$G$4)</f>
        <v>201.4602216</v>
      </c>
      <c r="O44" s="61">
        <f>((K44*F44)+M44)/(1-pconfig!$G$2-pconfig!$G$3-pconfig!$G$4)</f>
        <v>268.9262336</v>
      </c>
      <c r="P44" s="74">
        <f>K44*F44/(1-pconfig!$G$2-pconfig!$G$3-pconfig!$G$4)</f>
        <v>67.46601208</v>
      </c>
      <c r="Q44" s="74">
        <f>IFS(F44&lt;=pconfig!$B$12,P44*pconfig!$C$12,F44&lt;=pconfig!$B$13,P44*pconfig!$C$13,F44&lt;=pconfig!$B$14,P44*pconfig!$C$14,F44&lt;=pconfig!$B$15,P44*pconfig!$C$15,F44&lt;=pconfig!$B$16,P44*pconfig!$C$16,F44&lt;=pconfig!$B$17,P44*pconfig!$C$17,F44&lt;=pconfig!$B$18,P44*pconfig!$C$18,F44&lt;=pconfig!$B$19,P44*pconfig!$C$19,F44&lt;=pconfig!$B$20,P44*pconfig!$C$20,F44&lt;=pconfig!$B$21,P44*pconfig!$C$21)</f>
        <v>67.46601208</v>
      </c>
      <c r="R44" s="76">
        <f t="shared" si="2"/>
        <v>268.9262336</v>
      </c>
    </row>
    <row r="45" ht="22.5" hidden="1" customHeight="1">
      <c r="A45" s="78">
        <f t="shared" si="3"/>
        <v>44</v>
      </c>
      <c r="B45" s="79" t="s">
        <v>577</v>
      </c>
      <c r="C45" s="79" t="s">
        <v>50</v>
      </c>
      <c r="D45" s="80" t="s">
        <v>82</v>
      </c>
      <c r="E45" s="79" t="str">
        <f t="shared" si="1"/>
        <v>BAGREFIBRA</v>
      </c>
      <c r="F45" s="81">
        <v>1.0</v>
      </c>
      <c r="G45" s="79" t="s">
        <v>258</v>
      </c>
      <c r="H45" s="81" t="str">
        <f t="array" ref="H45">XLOOKUP(B45,municipios,regiao!$D$6:$D$150,0)</f>
        <v>SIM</v>
      </c>
      <c r="I45" s="79" t="s">
        <v>258</v>
      </c>
      <c r="J45" s="82" t="s">
        <v>259</v>
      </c>
      <c r="K45" s="83">
        <v>35.73</v>
      </c>
      <c r="L45" s="85">
        <f>K45/(1-pconfig!$G$2-pconfig!$G$3-pconfig!$G$4)</f>
        <v>67.46601208</v>
      </c>
      <c r="M45" s="83">
        <v>519.17</v>
      </c>
      <c r="N45" s="83">
        <f>M45/(1-pconfig!$G$2-pconfig!$G$3-pconfig!$G$4)</f>
        <v>980.3058912</v>
      </c>
      <c r="O45" s="83">
        <f>((K45*F45)+M45)/(1-pconfig!$G$2-pconfig!$G$3-pconfig!$G$4)</f>
        <v>1047.771903</v>
      </c>
      <c r="P45" s="86">
        <f>K45*F45/(1-pconfig!$G$2-pconfig!$G$3-pconfig!$G$4)</f>
        <v>67.46601208</v>
      </c>
      <c r="Q45" s="86">
        <f>IFS(F45&lt;=pconfig!$B$12,P45*pconfig!$C$12,F45&lt;=pconfig!$B$13,P45*pconfig!$C$13,F45&lt;=pconfig!$B$14,P45*pconfig!$C$14,F45&lt;=pconfig!$B$15,P45*pconfig!$C$15,F45&lt;=pconfig!$B$16,P45*pconfig!$C$16,F45&lt;=pconfig!$B$17,P45*pconfig!$C$17,F45&lt;=pconfig!$B$18,P45*pconfig!$C$18,F45&lt;=pconfig!$B$19,P45*pconfig!$C$19,F45&lt;=pconfig!$B$20,P45*pconfig!$C$20,F45&lt;=pconfig!$B$21,P45*pconfig!$C$21)</f>
        <v>67.46601208</v>
      </c>
      <c r="R45" s="87">
        <f t="shared" si="2"/>
        <v>1047.771903</v>
      </c>
    </row>
    <row r="46" ht="22.5" hidden="1" customHeight="1">
      <c r="A46" s="52">
        <f t="shared" si="3"/>
        <v>45</v>
      </c>
      <c r="B46" s="53" t="s">
        <v>577</v>
      </c>
      <c r="C46" s="53" t="s">
        <v>101</v>
      </c>
      <c r="D46" s="56" t="s">
        <v>102</v>
      </c>
      <c r="E46" s="53" t="str">
        <f t="shared" si="1"/>
        <v>BAGRESATELITE</v>
      </c>
      <c r="F46" s="59">
        <v>1.0</v>
      </c>
      <c r="G46" s="53" t="s">
        <v>258</v>
      </c>
      <c r="H46" s="59" t="str">
        <f t="array" ref="H46">XLOOKUP(B46,municipios,regiao!$D$6:$D$150,0)</f>
        <v>SIM</v>
      </c>
      <c r="I46" s="53" t="s">
        <v>258</v>
      </c>
      <c r="J46" s="60" t="s">
        <v>106</v>
      </c>
      <c r="K46" s="61">
        <v>4799.0</v>
      </c>
      <c r="L46" s="70">
        <f>K46/(1-pconfig!$G$2-pconfig!$G$3-pconfig!$G$4)</f>
        <v>9061.555891</v>
      </c>
      <c r="M46" s="61">
        <v>519.17</v>
      </c>
      <c r="N46" s="61">
        <f>M46/(1-pconfig!$G$2-pconfig!$G$3-pconfig!$G$4)</f>
        <v>980.3058912</v>
      </c>
      <c r="O46" s="61">
        <f>((K46*F46)+M46)/(1-pconfig!$G$2-pconfig!$G$3-pconfig!$G$4)</f>
        <v>10041.86178</v>
      </c>
      <c r="P46" s="74">
        <f>K46*F46/(1-pconfig!$G$2-pconfig!$G$3-pconfig!$G$4)</f>
        <v>9061.555891</v>
      </c>
      <c r="Q46" s="74">
        <f>IFS(F46&lt;=pconfig!$B$12,P46*pconfig!$C$12,F46&lt;=pconfig!$B$13,P46*pconfig!$C$13,F46&lt;=pconfig!$B$14,P46*pconfig!$C$14,F46&lt;=pconfig!$B$15,P46*pconfig!$C$15,F46&lt;=pconfig!$B$16,P46*pconfig!$C$16,F46&lt;=pconfig!$B$17,P46*pconfig!$C$17,F46&lt;=pconfig!$B$18,P46*pconfig!$C$18,F46&lt;=pconfig!$B$19,P46*pconfig!$C$19,F46&lt;=pconfig!$B$20,P46*pconfig!$C$20,F46&lt;=pconfig!$B$21,P46*pconfig!$C$21)</f>
        <v>9061.555891</v>
      </c>
      <c r="R46" s="76">
        <f t="shared" si="2"/>
        <v>10041.86178</v>
      </c>
    </row>
    <row r="47" ht="22.5" hidden="1" customHeight="1">
      <c r="A47" s="78">
        <f t="shared" si="3"/>
        <v>46</v>
      </c>
      <c r="B47" s="79" t="s">
        <v>619</v>
      </c>
      <c r="C47" s="79" t="s">
        <v>59</v>
      </c>
      <c r="D47" s="80" t="s">
        <v>60</v>
      </c>
      <c r="E47" s="79" t="str">
        <f t="shared" si="1"/>
        <v>BAIAORADIO</v>
      </c>
      <c r="F47" s="81">
        <v>1.0</v>
      </c>
      <c r="G47" s="79" t="s">
        <v>61</v>
      </c>
      <c r="H47" s="81" t="str">
        <f t="array" ref="H47">XLOOKUP(B47,municipios,regiao!$D$6:$D$150,0)</f>
        <v>SIM</v>
      </c>
      <c r="I47" s="79" t="s">
        <v>63</v>
      </c>
      <c r="J47" s="82" t="s">
        <v>624</v>
      </c>
      <c r="K47" s="83">
        <v>24.41</v>
      </c>
      <c r="L47" s="85">
        <f>K47/(1-pconfig!$G$2-pconfig!$G$3-pconfig!$G$4)</f>
        <v>46.09138973</v>
      </c>
      <c r="M47" s="83">
        <v>138.285</v>
      </c>
      <c r="N47" s="83">
        <f>M47/(1-pconfig!$G$2-pconfig!$G$3-pconfig!$G$4)</f>
        <v>261.1121601</v>
      </c>
      <c r="O47" s="83">
        <f>((K47*F47)+M47)/(1-pconfig!$G$2-pconfig!$G$3-pconfig!$G$4)</f>
        <v>307.2035498</v>
      </c>
      <c r="P47" s="86">
        <f>K47*F47/(1-pconfig!$G$2-pconfig!$G$3-pconfig!$G$4)</f>
        <v>46.09138973</v>
      </c>
      <c r="Q47" s="86">
        <f>IFS(F47&lt;=pconfig!$B$12,P47*pconfig!$C$12,F47&lt;=pconfig!$B$13,P47*pconfig!$C$13,F47&lt;=pconfig!$B$14,P47*pconfig!$C$14,F47&lt;=pconfig!$B$15,P47*pconfig!$C$15,F47&lt;=pconfig!$B$16,P47*pconfig!$C$16,F47&lt;=pconfig!$B$17,P47*pconfig!$C$17,F47&lt;=pconfig!$B$18,P47*pconfig!$C$18,F47&lt;=pconfig!$B$19,P47*pconfig!$C$19,F47&lt;=pconfig!$B$20,P47*pconfig!$C$20,F47&lt;=pconfig!$B$21,P47*pconfig!$C$21)</f>
        <v>46.09138973</v>
      </c>
      <c r="R47" s="87">
        <f t="shared" si="2"/>
        <v>307.2035498</v>
      </c>
    </row>
    <row r="48" ht="22.5" hidden="1" customHeight="1">
      <c r="A48" s="52">
        <f t="shared" si="3"/>
        <v>47</v>
      </c>
      <c r="B48" s="53" t="s">
        <v>619</v>
      </c>
      <c r="C48" s="53" t="s">
        <v>50</v>
      </c>
      <c r="D48" s="56" t="s">
        <v>82</v>
      </c>
      <c r="E48" s="53" t="str">
        <f t="shared" si="1"/>
        <v>BAIAOFIBRA</v>
      </c>
      <c r="F48" s="59">
        <v>1.0</v>
      </c>
      <c r="G48" s="53" t="s">
        <v>61</v>
      </c>
      <c r="H48" s="59" t="str">
        <f t="array" ref="H48">XLOOKUP(B48,municipios,regiao!$D$6:$D$150,0)</f>
        <v>SIM</v>
      </c>
      <c r="I48" s="53" t="s">
        <v>63</v>
      </c>
      <c r="J48" s="60" t="s">
        <v>624</v>
      </c>
      <c r="K48" s="61">
        <v>24.41</v>
      </c>
      <c r="L48" s="70">
        <f>K48/(1-pconfig!$G$2-pconfig!$G$3-pconfig!$G$4)</f>
        <v>46.09138973</v>
      </c>
      <c r="M48" s="61">
        <v>314.77</v>
      </c>
      <c r="N48" s="61">
        <f>M48/(1-pconfig!$G$2-pconfig!$G$3-pconfig!$G$4)</f>
        <v>594.3542296</v>
      </c>
      <c r="O48" s="61">
        <f>((K48*F48)+M48)/(1-pconfig!$G$2-pconfig!$G$3-pconfig!$G$4)</f>
        <v>640.4456193</v>
      </c>
      <c r="P48" s="74">
        <f>K48*F48/(1-pconfig!$G$2-pconfig!$G$3-pconfig!$G$4)</f>
        <v>46.09138973</v>
      </c>
      <c r="Q48" s="74">
        <f>IFS(F48&lt;=pconfig!$B$12,P48*pconfig!$C$12,F48&lt;=pconfig!$B$13,P48*pconfig!$C$13,F48&lt;=pconfig!$B$14,P48*pconfig!$C$14,F48&lt;=pconfig!$B$15,P48*pconfig!$C$15,F48&lt;=pconfig!$B$16,P48*pconfig!$C$16,F48&lt;=pconfig!$B$17,P48*pconfig!$C$17,F48&lt;=pconfig!$B$18,P48*pconfig!$C$18,F48&lt;=pconfig!$B$19,P48*pconfig!$C$19,F48&lt;=pconfig!$B$20,P48*pconfig!$C$20,F48&lt;=pconfig!$B$21,P48*pconfig!$C$21)</f>
        <v>46.09138973</v>
      </c>
      <c r="R48" s="76">
        <f t="shared" si="2"/>
        <v>640.4456193</v>
      </c>
    </row>
    <row r="49" ht="22.5" hidden="1" customHeight="1">
      <c r="A49" s="78">
        <f t="shared" si="3"/>
        <v>48</v>
      </c>
      <c r="B49" s="79" t="s">
        <v>619</v>
      </c>
      <c r="C49" s="79" t="s">
        <v>101</v>
      </c>
      <c r="D49" s="80" t="s">
        <v>102</v>
      </c>
      <c r="E49" s="79" t="str">
        <f t="shared" si="1"/>
        <v>BAIAOSATELITE</v>
      </c>
      <c r="F49" s="81">
        <v>1.0</v>
      </c>
      <c r="G49" s="79" t="s">
        <v>61</v>
      </c>
      <c r="H49" s="81" t="str">
        <f t="array" ref="H49">XLOOKUP(B49,municipios,regiao!$D$6:$D$150,0)</f>
        <v>SIM</v>
      </c>
      <c r="I49" s="79" t="s">
        <v>63</v>
      </c>
      <c r="J49" s="82" t="s">
        <v>106</v>
      </c>
      <c r="K49" s="83">
        <v>4799.0</v>
      </c>
      <c r="L49" s="85">
        <f>K49/(1-pconfig!$G$2-pconfig!$G$3-pconfig!$G$4)</f>
        <v>9061.555891</v>
      </c>
      <c r="M49" s="83">
        <v>314.77</v>
      </c>
      <c r="N49" s="83">
        <f>M49/(1-pconfig!$G$2-pconfig!$G$3-pconfig!$G$4)</f>
        <v>594.3542296</v>
      </c>
      <c r="O49" s="83">
        <f>((K49*F49)+M49)/(1-pconfig!$G$2-pconfig!$G$3-pconfig!$G$4)</f>
        <v>9655.910121</v>
      </c>
      <c r="P49" s="86">
        <f>K49*F49/(1-pconfig!$G$2-pconfig!$G$3-pconfig!$G$4)</f>
        <v>9061.555891</v>
      </c>
      <c r="Q49" s="86">
        <f>IFS(F49&lt;=pconfig!$B$12,P49*pconfig!$C$12,F49&lt;=pconfig!$B$13,P49*pconfig!$C$13,F49&lt;=pconfig!$B$14,P49*pconfig!$C$14,F49&lt;=pconfig!$B$15,P49*pconfig!$C$15,F49&lt;=pconfig!$B$16,P49*pconfig!$C$16,F49&lt;=pconfig!$B$17,P49*pconfig!$C$17,F49&lt;=pconfig!$B$18,P49*pconfig!$C$18,F49&lt;=pconfig!$B$19,P49*pconfig!$C$19,F49&lt;=pconfig!$B$20,P49*pconfig!$C$20,F49&lt;=pconfig!$B$21,P49*pconfig!$C$21)</f>
        <v>9061.555891</v>
      </c>
      <c r="R49" s="87">
        <f t="shared" si="2"/>
        <v>9655.910121</v>
      </c>
    </row>
    <row r="50" ht="22.5" hidden="1" customHeight="1">
      <c r="A50" s="52">
        <f t="shared" si="3"/>
        <v>49</v>
      </c>
      <c r="B50" s="53" t="s">
        <v>646</v>
      </c>
      <c r="C50" s="53" t="s">
        <v>59</v>
      </c>
      <c r="D50" s="56" t="s">
        <v>60</v>
      </c>
      <c r="E50" s="53" t="str">
        <f t="shared" si="1"/>
        <v>BANNACHRADIO</v>
      </c>
      <c r="F50" s="59">
        <v>1.0</v>
      </c>
      <c r="G50" s="53" t="s">
        <v>128</v>
      </c>
      <c r="H50" s="59" t="str">
        <f t="array" ref="H50">XLOOKUP(B50,municipios,regiao!$D$6:$D$150,0)</f>
        <v>NÃO</v>
      </c>
      <c r="I50" s="53" t="s">
        <v>280</v>
      </c>
      <c r="J50" s="60" t="s">
        <v>133</v>
      </c>
      <c r="K50" s="61">
        <v>29.29</v>
      </c>
      <c r="L50" s="70">
        <f>K50/(1-pconfig!$G$2-pconfig!$G$3-pconfig!$G$4)</f>
        <v>55.30589124</v>
      </c>
      <c r="M50" s="61">
        <v>336.074166666667</v>
      </c>
      <c r="N50" s="61">
        <f>M50/(1-pconfig!$G$2-pconfig!$G$3-pconfig!$G$4)</f>
        <v>634.5811304</v>
      </c>
      <c r="O50" s="61">
        <f>((K50*F50)+M50)/(1-pconfig!$G$2-pconfig!$G$3-pconfig!$G$4)</f>
        <v>689.8870217</v>
      </c>
      <c r="P50" s="74">
        <f>K50*F50/(1-pconfig!$G$2-pconfig!$G$3-pconfig!$G$4)</f>
        <v>55.30589124</v>
      </c>
      <c r="Q50" s="74">
        <f>IFS(F50&lt;=pconfig!$B$12,P50*pconfig!$C$12,F50&lt;=pconfig!$B$13,P50*pconfig!$C$13,F50&lt;=pconfig!$B$14,P50*pconfig!$C$14,F50&lt;=pconfig!$B$15,P50*pconfig!$C$15,F50&lt;=pconfig!$B$16,P50*pconfig!$C$16,F50&lt;=pconfig!$B$17,P50*pconfig!$C$17,F50&lt;=pconfig!$B$18,P50*pconfig!$C$18,F50&lt;=pconfig!$B$19,P50*pconfig!$C$19,F50&lt;=pconfig!$B$20,P50*pconfig!$C$20,F50&lt;=pconfig!$B$21,P50*pconfig!$C$21)</f>
        <v>55.30589124</v>
      </c>
      <c r="R50" s="76">
        <f t="shared" si="2"/>
        <v>689.8870217</v>
      </c>
    </row>
    <row r="51" ht="22.5" hidden="1" customHeight="1">
      <c r="A51" s="78">
        <f t="shared" si="3"/>
        <v>50</v>
      </c>
      <c r="B51" s="79" t="s">
        <v>646</v>
      </c>
      <c r="C51" s="79" t="s">
        <v>50</v>
      </c>
      <c r="D51" s="80" t="s">
        <v>82</v>
      </c>
      <c r="E51" s="79" t="str">
        <f t="shared" si="1"/>
        <v>BANNACHFIBRA</v>
      </c>
      <c r="F51" s="81">
        <v>1.0</v>
      </c>
      <c r="G51" s="79" t="s">
        <v>128</v>
      </c>
      <c r="H51" s="81" t="str">
        <f t="array" ref="H51">XLOOKUP(B51,municipios,regiao!$D$6:$D$150,0)</f>
        <v>NÃO</v>
      </c>
      <c r="I51" s="79" t="s">
        <v>280</v>
      </c>
      <c r="J51" s="82" t="s">
        <v>133</v>
      </c>
      <c r="K51" s="83">
        <v>29.29</v>
      </c>
      <c r="L51" s="85">
        <f>K51/(1-pconfig!$G$2-pconfig!$G$3-pconfig!$G$4)</f>
        <v>55.30589124</v>
      </c>
      <c r="M51" s="83">
        <v>447.5</v>
      </c>
      <c r="N51" s="83">
        <f>M51/(1-pconfig!$G$2-pconfig!$G$3-pconfig!$G$4)</f>
        <v>844.9773414</v>
      </c>
      <c r="O51" s="83">
        <f>((K51*F51)+M51)/(1-pconfig!$G$2-pconfig!$G$3-pconfig!$G$4)</f>
        <v>900.2832326</v>
      </c>
      <c r="P51" s="86">
        <f>K51*F51/(1-pconfig!$G$2-pconfig!$G$3-pconfig!$G$4)</f>
        <v>55.30589124</v>
      </c>
      <c r="Q51" s="86">
        <f>IFS(F51&lt;=pconfig!$B$12,P51*pconfig!$C$12,F51&lt;=pconfig!$B$13,P51*pconfig!$C$13,F51&lt;=pconfig!$B$14,P51*pconfig!$C$14,F51&lt;=pconfig!$B$15,P51*pconfig!$C$15,F51&lt;=pconfig!$B$16,P51*pconfig!$C$16,F51&lt;=pconfig!$B$17,P51*pconfig!$C$17,F51&lt;=pconfig!$B$18,P51*pconfig!$C$18,F51&lt;=pconfig!$B$19,P51*pconfig!$C$19,F51&lt;=pconfig!$B$20,P51*pconfig!$C$20,F51&lt;=pconfig!$B$21,P51*pconfig!$C$21)</f>
        <v>55.30589124</v>
      </c>
      <c r="R51" s="87">
        <f t="shared" si="2"/>
        <v>900.2832326</v>
      </c>
    </row>
    <row r="52" ht="22.5" hidden="1" customHeight="1">
      <c r="A52" s="52">
        <f t="shared" si="3"/>
        <v>51</v>
      </c>
      <c r="B52" s="53" t="s">
        <v>646</v>
      </c>
      <c r="C52" s="53" t="s">
        <v>101</v>
      </c>
      <c r="D52" s="56" t="s">
        <v>102</v>
      </c>
      <c r="E52" s="53" t="str">
        <f t="shared" si="1"/>
        <v>BANNACHSATELITE</v>
      </c>
      <c r="F52" s="59">
        <v>1.0</v>
      </c>
      <c r="G52" s="53" t="s">
        <v>128</v>
      </c>
      <c r="H52" s="59" t="str">
        <f t="array" ref="H52">XLOOKUP(B52,municipios,regiao!$D$6:$D$150,0)</f>
        <v>NÃO</v>
      </c>
      <c r="I52" s="53" t="s">
        <v>280</v>
      </c>
      <c r="J52" s="60" t="s">
        <v>106</v>
      </c>
      <c r="K52" s="61">
        <v>4799.0</v>
      </c>
      <c r="L52" s="70">
        <f>K52/(1-pconfig!$G$2-pconfig!$G$3-pconfig!$G$4)</f>
        <v>9061.555891</v>
      </c>
      <c r="M52" s="61">
        <v>447.5</v>
      </c>
      <c r="N52" s="61">
        <f>M52/(1-pconfig!$G$2-pconfig!$G$3-pconfig!$G$4)</f>
        <v>844.9773414</v>
      </c>
      <c r="O52" s="61">
        <f>((K52*F52)+M52)/(1-pconfig!$G$2-pconfig!$G$3-pconfig!$G$4)</f>
        <v>9906.533233</v>
      </c>
      <c r="P52" s="74">
        <f>K52*F52/(1-pconfig!$G$2-pconfig!$G$3-pconfig!$G$4)</f>
        <v>9061.555891</v>
      </c>
      <c r="Q52" s="74">
        <f>IFS(F52&lt;=pconfig!$B$12,P52*pconfig!$C$12,F52&lt;=pconfig!$B$13,P52*pconfig!$C$13,F52&lt;=pconfig!$B$14,P52*pconfig!$C$14,F52&lt;=pconfig!$B$15,P52*pconfig!$C$15,F52&lt;=pconfig!$B$16,P52*pconfig!$C$16,F52&lt;=pconfig!$B$17,P52*pconfig!$C$17,F52&lt;=pconfig!$B$18,P52*pconfig!$C$18,F52&lt;=pconfig!$B$19,P52*pconfig!$C$19,F52&lt;=pconfig!$B$20,P52*pconfig!$C$20,F52&lt;=pconfig!$B$21,P52*pconfig!$C$21)</f>
        <v>9061.555891</v>
      </c>
      <c r="R52" s="76">
        <f t="shared" si="2"/>
        <v>9906.533233</v>
      </c>
    </row>
    <row r="53" ht="22.5" hidden="1" customHeight="1">
      <c r="A53" s="78">
        <f t="shared" si="3"/>
        <v>52</v>
      </c>
      <c r="B53" s="153" t="s">
        <v>683</v>
      </c>
      <c r="C53" s="79" t="s">
        <v>59</v>
      </c>
      <c r="D53" s="80" t="s">
        <v>60</v>
      </c>
      <c r="E53" s="79" t="str">
        <f t="shared" si="1"/>
        <v>BARCARENARADIO</v>
      </c>
      <c r="F53" s="81">
        <v>1.0</v>
      </c>
      <c r="G53" s="79" t="s">
        <v>411</v>
      </c>
      <c r="H53" s="81" t="str">
        <f t="array" ref="H53">XLOOKUP(B53,municipios,regiao!$D$6:$D$150,0)</f>
        <v>SIM</v>
      </c>
      <c r="I53" s="79" t="s">
        <v>63</v>
      </c>
      <c r="J53" s="82" t="s">
        <v>64</v>
      </c>
      <c r="K53" s="83">
        <v>15.65</v>
      </c>
      <c r="L53" s="85">
        <f>K53/(1-pconfig!$G$2-pconfig!$G$3-pconfig!$G$4)</f>
        <v>29.55060423</v>
      </c>
      <c r="M53" s="83">
        <v>138.285</v>
      </c>
      <c r="N53" s="83">
        <f>M53/(1-pconfig!$G$2-pconfig!$G$3-pconfig!$G$4)</f>
        <v>261.1121601</v>
      </c>
      <c r="O53" s="83">
        <f>((K53*F53)+M53)/(1-pconfig!$G$2-pconfig!$G$3-pconfig!$G$4)</f>
        <v>290.6627644</v>
      </c>
      <c r="P53" s="86">
        <f>K53*F53/(1-pconfig!$G$2-pconfig!$G$3-pconfig!$G$4)</f>
        <v>29.55060423</v>
      </c>
      <c r="Q53" s="86">
        <f>IFS(F53&lt;=pconfig!$B$12,P53*pconfig!$C$12,F53&lt;=pconfig!$B$13,P53*pconfig!$C$13,F53&lt;=pconfig!$B$14,P53*pconfig!$C$14,F53&lt;=pconfig!$B$15,P53*pconfig!$C$15,F53&lt;=pconfig!$B$16,P53*pconfig!$C$16,F53&lt;=pconfig!$B$17,P53*pconfig!$C$17,F53&lt;=pconfig!$B$18,P53*pconfig!$C$18,F53&lt;=pconfig!$B$19,P53*pconfig!$C$19,F53&lt;=pconfig!$B$20,P53*pconfig!$C$20,F53&lt;=pconfig!$B$21,P53*pconfig!$C$21)</f>
        <v>29.55060423</v>
      </c>
      <c r="R53" s="87">
        <f t="shared" si="2"/>
        <v>290.6627644</v>
      </c>
    </row>
    <row r="54" ht="22.5" hidden="1" customHeight="1">
      <c r="A54" s="52">
        <f t="shared" si="3"/>
        <v>53</v>
      </c>
      <c r="B54" s="53" t="s">
        <v>683</v>
      </c>
      <c r="C54" s="53" t="s">
        <v>50</v>
      </c>
      <c r="D54" s="56" t="s">
        <v>82</v>
      </c>
      <c r="E54" s="53" t="str">
        <f t="shared" si="1"/>
        <v>BARCARENAFIBRA</v>
      </c>
      <c r="F54" s="59">
        <v>1.0</v>
      </c>
      <c r="G54" s="53" t="s">
        <v>411</v>
      </c>
      <c r="H54" s="59" t="str">
        <f t="array" ref="H54">XLOOKUP(B54,municipios,regiao!$D$6:$D$150,0)</f>
        <v>SIM</v>
      </c>
      <c r="I54" s="53" t="s">
        <v>63</v>
      </c>
      <c r="J54" s="60" t="s">
        <v>64</v>
      </c>
      <c r="K54" s="61">
        <v>15.65</v>
      </c>
      <c r="L54" s="70">
        <f>K54/(1-pconfig!$G$2-pconfig!$G$3-pconfig!$G$4)</f>
        <v>29.55060423</v>
      </c>
      <c r="M54" s="61">
        <v>314.77</v>
      </c>
      <c r="N54" s="61">
        <f>M54/(1-pconfig!$G$2-pconfig!$G$3-pconfig!$G$4)</f>
        <v>594.3542296</v>
      </c>
      <c r="O54" s="61">
        <f>((K54*F54)+M54)/(1-pconfig!$G$2-pconfig!$G$3-pconfig!$G$4)</f>
        <v>623.9048338</v>
      </c>
      <c r="P54" s="74">
        <f>K54*F54/(1-pconfig!$G$2-pconfig!$G$3-pconfig!$G$4)</f>
        <v>29.55060423</v>
      </c>
      <c r="Q54" s="74">
        <f>IFS(F54&lt;=pconfig!$B$12,P54*pconfig!$C$12,F54&lt;=pconfig!$B$13,P54*pconfig!$C$13,F54&lt;=pconfig!$B$14,P54*pconfig!$C$14,F54&lt;=pconfig!$B$15,P54*pconfig!$C$15,F54&lt;=pconfig!$B$16,P54*pconfig!$C$16,F54&lt;=pconfig!$B$17,P54*pconfig!$C$17,F54&lt;=pconfig!$B$18,P54*pconfig!$C$18,F54&lt;=pconfig!$B$19,P54*pconfig!$C$19,F54&lt;=pconfig!$B$20,P54*pconfig!$C$20,F54&lt;=pconfig!$B$21,P54*pconfig!$C$21)</f>
        <v>29.55060423</v>
      </c>
      <c r="R54" s="76">
        <f t="shared" si="2"/>
        <v>623.9048338</v>
      </c>
    </row>
    <row r="55" ht="22.5" hidden="1" customHeight="1">
      <c r="A55" s="78">
        <f t="shared" si="3"/>
        <v>54</v>
      </c>
      <c r="B55" s="79" t="s">
        <v>683</v>
      </c>
      <c r="C55" s="79" t="s">
        <v>101</v>
      </c>
      <c r="D55" s="80" t="s">
        <v>102</v>
      </c>
      <c r="E55" s="79" t="str">
        <f t="shared" si="1"/>
        <v>BARCARENASATELITE</v>
      </c>
      <c r="F55" s="81">
        <v>1.0</v>
      </c>
      <c r="G55" s="79" t="s">
        <v>411</v>
      </c>
      <c r="H55" s="81" t="str">
        <f t="array" ref="H55">XLOOKUP(B55,municipios,regiao!$D$6:$D$150,0)</f>
        <v>SIM</v>
      </c>
      <c r="I55" s="79" t="s">
        <v>63</v>
      </c>
      <c r="J55" s="82" t="s">
        <v>106</v>
      </c>
      <c r="K55" s="83">
        <v>4799.0</v>
      </c>
      <c r="L55" s="85">
        <f>K55/(1-pconfig!$G$2-pconfig!$G$3-pconfig!$G$4)</f>
        <v>9061.555891</v>
      </c>
      <c r="M55" s="83">
        <v>314.77</v>
      </c>
      <c r="N55" s="83">
        <f>M55/(1-pconfig!$G$2-pconfig!$G$3-pconfig!$G$4)</f>
        <v>594.3542296</v>
      </c>
      <c r="O55" s="83">
        <f>((K55*F55)+M55)/(1-pconfig!$G$2-pconfig!$G$3-pconfig!$G$4)</f>
        <v>9655.910121</v>
      </c>
      <c r="P55" s="86">
        <f>K55*F55/(1-pconfig!$G$2-pconfig!$G$3-pconfig!$G$4)</f>
        <v>9061.555891</v>
      </c>
      <c r="Q55" s="86">
        <f>IFS(F55&lt;=pconfig!$B$12,P55*pconfig!$C$12,F55&lt;=pconfig!$B$13,P55*pconfig!$C$13,F55&lt;=pconfig!$B$14,P55*pconfig!$C$14,F55&lt;=pconfig!$B$15,P55*pconfig!$C$15,F55&lt;=pconfig!$B$16,P55*pconfig!$C$16,F55&lt;=pconfig!$B$17,P55*pconfig!$C$17,F55&lt;=pconfig!$B$18,P55*pconfig!$C$18,F55&lt;=pconfig!$B$19,P55*pconfig!$C$19,F55&lt;=pconfig!$B$20,P55*pconfig!$C$20,F55&lt;=pconfig!$B$21,P55*pconfig!$C$21)</f>
        <v>9061.555891</v>
      </c>
      <c r="R55" s="87">
        <f t="shared" si="2"/>
        <v>9655.910121</v>
      </c>
    </row>
    <row r="56" ht="22.5" customHeight="1">
      <c r="A56" s="52">
        <f t="shared" si="3"/>
        <v>55</v>
      </c>
      <c r="B56" s="53" t="s">
        <v>173</v>
      </c>
      <c r="C56" s="53" t="s">
        <v>59</v>
      </c>
      <c r="D56" s="56" t="s">
        <v>60</v>
      </c>
      <c r="E56" s="53" t="str">
        <f t="shared" si="1"/>
        <v>BELEMRADIO</v>
      </c>
      <c r="F56" s="59">
        <v>1.0</v>
      </c>
      <c r="G56" s="53" t="s">
        <v>411</v>
      </c>
      <c r="H56" s="59" t="str">
        <f t="array" ref="H56">XLOOKUP(B56,municipios,regiao!$D$6:$D$150,0)</f>
        <v>SIM</v>
      </c>
      <c r="I56" s="53" t="s">
        <v>414</v>
      </c>
      <c r="J56" s="60" t="s">
        <v>730</v>
      </c>
      <c r="K56" s="61">
        <v>12.7</v>
      </c>
      <c r="L56" s="70">
        <f>K56/(1-pconfig!$G$2-pconfig!$G$3-pconfig!$G$4)</f>
        <v>23.98036254</v>
      </c>
      <c r="M56" s="61">
        <v>89.8608333333333</v>
      </c>
      <c r="N56" s="61">
        <f>M56/(1-pconfig!$G$2-pconfig!$G$3-pconfig!$G$4)</f>
        <v>169.6768001</v>
      </c>
      <c r="O56" s="61">
        <f>((K56*F56)+M56)/(1-pconfig!$G$2-pconfig!$G$3-pconfig!$G$4)</f>
        <v>193.6571626</v>
      </c>
      <c r="P56" s="74">
        <f>K56*F56/(1-pconfig!$G$2-pconfig!$G$3-pconfig!$G$4)</f>
        <v>23.98036254</v>
      </c>
      <c r="Q56" s="74">
        <f>IFS(F56&lt;=pconfig!$B$12,P56*pconfig!$C$12,F56&lt;=pconfig!$B$13,P56*pconfig!$C$13,F56&lt;=pconfig!$B$14,P56*pconfig!$C$14,F56&lt;=pconfig!$B$15,P56*pconfig!$C$15,F56&lt;=pconfig!$B$16,P56*pconfig!$C$16,F56&lt;=pconfig!$B$17,P56*pconfig!$C$17,F56&lt;=pconfig!$B$18,P56*pconfig!$C$18,F56&lt;=pconfig!$B$19,P56*pconfig!$C$19,F56&lt;=pconfig!$B$20,P56*pconfig!$C$20,F56&lt;=pconfig!$B$21,P56*pconfig!$C$21)</f>
        <v>23.98036254</v>
      </c>
      <c r="R56" s="76">
        <f t="shared" si="2"/>
        <v>193.6571626</v>
      </c>
    </row>
    <row r="57" ht="22.5" customHeight="1">
      <c r="A57" s="78">
        <f t="shared" si="3"/>
        <v>56</v>
      </c>
      <c r="B57" s="79" t="s">
        <v>173</v>
      </c>
      <c r="C57" s="79" t="s">
        <v>50</v>
      </c>
      <c r="D57" s="80" t="s">
        <v>82</v>
      </c>
      <c r="E57" s="79" t="str">
        <f t="shared" si="1"/>
        <v>BELEMFIBRA</v>
      </c>
      <c r="F57" s="81">
        <v>1.0</v>
      </c>
      <c r="G57" s="79" t="s">
        <v>411</v>
      </c>
      <c r="H57" s="81" t="str">
        <f t="array" ref="H57">XLOOKUP(B57,municipios,regiao!$D$6:$D$150,0)</f>
        <v>SIM</v>
      </c>
      <c r="I57" s="79" t="s">
        <v>414</v>
      </c>
      <c r="J57" s="82" t="s">
        <v>730</v>
      </c>
      <c r="K57" s="83">
        <v>12.7</v>
      </c>
      <c r="L57" s="85">
        <f>K57/(1-pconfig!$G$2-pconfig!$G$3-pconfig!$G$4)</f>
        <v>23.98036254</v>
      </c>
      <c r="M57" s="83">
        <v>94.7</v>
      </c>
      <c r="N57" s="83">
        <f>M57/(1-pconfig!$G$2-pconfig!$G$3-pconfig!$G$4)</f>
        <v>178.8141994</v>
      </c>
      <c r="O57" s="83">
        <f>((K57*F57)+M57)/(1-pconfig!$G$2-pconfig!$G$3-pconfig!$G$4)</f>
        <v>202.7945619</v>
      </c>
      <c r="P57" s="86">
        <f>K57*F57/(1-pconfig!$G$2-pconfig!$G$3-pconfig!$G$4)</f>
        <v>23.98036254</v>
      </c>
      <c r="Q57" s="86">
        <f>IFS(F57&lt;=pconfig!$B$12,P57*pconfig!$C$12,F57&lt;=pconfig!$B$13,P57*pconfig!$C$13,F57&lt;=pconfig!$B$14,P57*pconfig!$C$14,F57&lt;=pconfig!$B$15,P57*pconfig!$C$15,F57&lt;=pconfig!$B$16,P57*pconfig!$C$16,F57&lt;=pconfig!$B$17,P57*pconfig!$C$17,F57&lt;=pconfig!$B$18,P57*pconfig!$C$18,F57&lt;=pconfig!$B$19,P57*pconfig!$C$19,F57&lt;=pconfig!$B$20,P57*pconfig!$C$20,F57&lt;=pconfig!$B$21,P57*pconfig!$C$21)</f>
        <v>23.98036254</v>
      </c>
      <c r="R57" s="87">
        <f t="shared" si="2"/>
        <v>202.7945619</v>
      </c>
    </row>
    <row r="58" ht="22.5" customHeight="1">
      <c r="A58" s="52">
        <f t="shared" si="3"/>
        <v>57</v>
      </c>
      <c r="B58" s="53" t="s">
        <v>173</v>
      </c>
      <c r="C58" s="53" t="s">
        <v>101</v>
      </c>
      <c r="D58" s="56" t="s">
        <v>102</v>
      </c>
      <c r="E58" s="53" t="str">
        <f t="shared" si="1"/>
        <v>BELEMSATELITE</v>
      </c>
      <c r="F58" s="59">
        <v>1.0</v>
      </c>
      <c r="G58" s="53" t="s">
        <v>411</v>
      </c>
      <c r="H58" s="59" t="str">
        <f t="array" ref="H58">XLOOKUP(B58,municipios,regiao!$D$6:$D$150,0)</f>
        <v>SIM</v>
      </c>
      <c r="I58" s="53" t="s">
        <v>414</v>
      </c>
      <c r="J58" s="60" t="s">
        <v>106</v>
      </c>
      <c r="K58" s="61">
        <v>4799.0</v>
      </c>
      <c r="L58" s="70">
        <f>K58/(1-pconfig!$G$2-pconfig!$G$3-pconfig!$G$4)</f>
        <v>9061.555891</v>
      </c>
      <c r="M58" s="61">
        <v>94.7</v>
      </c>
      <c r="N58" s="61">
        <f>M58/(1-pconfig!$G$2-pconfig!$G$3-pconfig!$G$4)</f>
        <v>178.8141994</v>
      </c>
      <c r="O58" s="61">
        <f>((K58*F58)+M58)/(1-pconfig!$G$2-pconfig!$G$3-pconfig!$G$4)</f>
        <v>9240.370091</v>
      </c>
      <c r="P58" s="74">
        <f>K58*F58/(1-pconfig!$G$2-pconfig!$G$3-pconfig!$G$4)</f>
        <v>9061.555891</v>
      </c>
      <c r="Q58" s="74">
        <f>IFS(F58&lt;=pconfig!$B$12,P58*pconfig!$C$12,F58&lt;=pconfig!$B$13,P58*pconfig!$C$13,F58&lt;=pconfig!$B$14,P58*pconfig!$C$14,F58&lt;=pconfig!$B$15,P58*pconfig!$C$15,F58&lt;=pconfig!$B$16,P58*pconfig!$C$16,F58&lt;=pconfig!$B$17,P58*pconfig!$C$17,F58&lt;=pconfig!$B$18,P58*pconfig!$C$18,F58&lt;=pconfig!$B$19,P58*pconfig!$C$19,F58&lt;=pconfig!$B$20,P58*pconfig!$C$20,F58&lt;=pconfig!$B$21,P58*pconfig!$C$21)</f>
        <v>9061.555891</v>
      </c>
      <c r="R58" s="76">
        <f t="shared" si="2"/>
        <v>9240.370091</v>
      </c>
    </row>
    <row r="59" ht="22.5" hidden="1" customHeight="1">
      <c r="A59" s="78">
        <f t="shared" si="3"/>
        <v>58</v>
      </c>
      <c r="B59" s="79" t="s">
        <v>687</v>
      </c>
      <c r="C59" s="79" t="s">
        <v>50</v>
      </c>
      <c r="D59" s="80" t="s">
        <v>82</v>
      </c>
      <c r="E59" s="79" t="str">
        <f t="shared" si="1"/>
        <v>BELTERRAFIBRA</v>
      </c>
      <c r="F59" s="81">
        <v>1.0</v>
      </c>
      <c r="G59" s="79" t="s">
        <v>297</v>
      </c>
      <c r="H59" s="81" t="str">
        <f t="array" ref="H59">XLOOKUP(B59,municipios,regiao!$D$6:$D$150,0)</f>
        <v>SIM</v>
      </c>
      <c r="I59" s="79" t="s">
        <v>297</v>
      </c>
      <c r="J59" s="82" t="s">
        <v>259</v>
      </c>
      <c r="K59" s="83">
        <v>35.73</v>
      </c>
      <c r="L59" s="85">
        <f>K59/(1-pconfig!$G$2-pconfig!$G$3-pconfig!$G$4)</f>
        <v>67.46601208</v>
      </c>
      <c r="M59" s="83">
        <v>133.3</v>
      </c>
      <c r="N59" s="83">
        <f>M59/(1-pconfig!$G$2-pconfig!$G$3-pconfig!$G$4)</f>
        <v>251.6993958</v>
      </c>
      <c r="O59" s="83">
        <f>((K59*F59)+M59)/(1-pconfig!$G$2-pconfig!$G$3-pconfig!$G$4)</f>
        <v>319.1654079</v>
      </c>
      <c r="P59" s="86">
        <f>K59*F59/(1-pconfig!$G$2-pconfig!$G$3-pconfig!$G$4)</f>
        <v>67.46601208</v>
      </c>
      <c r="Q59" s="86">
        <f>IFS(F59&lt;=pconfig!$B$12,P59*pconfig!$C$12,F59&lt;=pconfig!$B$13,P59*pconfig!$C$13,F59&lt;=pconfig!$B$14,P59*pconfig!$C$14,F59&lt;=pconfig!$B$15,P59*pconfig!$C$15,F59&lt;=pconfig!$B$16,P59*pconfig!$C$16,F59&lt;=pconfig!$B$17,P59*pconfig!$C$17,F59&lt;=pconfig!$B$18,P59*pconfig!$C$18,F59&lt;=pconfig!$B$19,P59*pconfig!$C$19,F59&lt;=pconfig!$B$20,P59*pconfig!$C$20,F59&lt;=pconfig!$B$21,P59*pconfig!$C$21)</f>
        <v>67.46601208</v>
      </c>
      <c r="R59" s="87">
        <f t="shared" si="2"/>
        <v>319.1654079</v>
      </c>
    </row>
    <row r="60" ht="22.5" hidden="1" customHeight="1">
      <c r="A60" s="52">
        <f t="shared" si="3"/>
        <v>59</v>
      </c>
      <c r="B60" s="53" t="s">
        <v>687</v>
      </c>
      <c r="C60" s="53" t="s">
        <v>101</v>
      </c>
      <c r="D60" s="56" t="s">
        <v>102</v>
      </c>
      <c r="E60" s="53" t="str">
        <f t="shared" si="1"/>
        <v>BELTERRASATELITE</v>
      </c>
      <c r="F60" s="59">
        <v>1.0</v>
      </c>
      <c r="G60" s="53" t="s">
        <v>297</v>
      </c>
      <c r="H60" s="59" t="str">
        <f t="array" ref="H60">XLOOKUP(B60,municipios,regiao!$D$6:$D$150,0)</f>
        <v>SIM</v>
      </c>
      <c r="I60" s="53" t="s">
        <v>297</v>
      </c>
      <c r="J60" s="60" t="s">
        <v>106</v>
      </c>
      <c r="K60" s="61">
        <v>4799.0</v>
      </c>
      <c r="L60" s="70">
        <f>K60/(1-pconfig!$G$2-pconfig!$G$3-pconfig!$G$4)</f>
        <v>9061.555891</v>
      </c>
      <c r="M60" s="61">
        <v>133.3</v>
      </c>
      <c r="N60" s="61">
        <f>M60/(1-pconfig!$G$2-pconfig!$G$3-pconfig!$G$4)</f>
        <v>251.6993958</v>
      </c>
      <c r="O60" s="61">
        <f>((K60*F60)+M60)/(1-pconfig!$G$2-pconfig!$G$3-pconfig!$G$4)</f>
        <v>9313.255287</v>
      </c>
      <c r="P60" s="74">
        <f>K60*F60/(1-pconfig!$G$2-pconfig!$G$3-pconfig!$G$4)</f>
        <v>9061.555891</v>
      </c>
      <c r="Q60" s="74">
        <f>IFS(F60&lt;=pconfig!$B$12,P60*pconfig!$C$12,F60&lt;=pconfig!$B$13,P60*pconfig!$C$13,F60&lt;=pconfig!$B$14,P60*pconfig!$C$14,F60&lt;=pconfig!$B$15,P60*pconfig!$C$15,F60&lt;=pconfig!$B$16,P60*pconfig!$C$16,F60&lt;=pconfig!$B$17,P60*pconfig!$C$17,F60&lt;=pconfig!$B$18,P60*pconfig!$C$18,F60&lt;=pconfig!$B$19,P60*pconfig!$C$19,F60&lt;=pconfig!$B$20,P60*pconfig!$C$20,F60&lt;=pconfig!$B$21,P60*pconfig!$C$21)</f>
        <v>9061.555891</v>
      </c>
      <c r="R60" s="76">
        <f t="shared" si="2"/>
        <v>9313.255287</v>
      </c>
    </row>
    <row r="61" ht="22.5" hidden="1" customHeight="1">
      <c r="A61" s="78">
        <f t="shared" si="3"/>
        <v>60</v>
      </c>
      <c r="B61" s="79" t="s">
        <v>687</v>
      </c>
      <c r="C61" s="79" t="s">
        <v>59</v>
      </c>
      <c r="D61" s="80" t="s">
        <v>60</v>
      </c>
      <c r="E61" s="79" t="str">
        <f t="shared" si="1"/>
        <v>BELTERRARADIO</v>
      </c>
      <c r="F61" s="81">
        <v>1.0</v>
      </c>
      <c r="G61" s="79" t="s">
        <v>297</v>
      </c>
      <c r="H61" s="81" t="str">
        <f t="array" ref="H61">XLOOKUP(B61,municipios,regiao!$D$6:$D$150,0)</f>
        <v>SIM</v>
      </c>
      <c r="I61" s="79" t="s">
        <v>297</v>
      </c>
      <c r="J61" s="82" t="s">
        <v>259</v>
      </c>
      <c r="K61" s="83">
        <v>35.73</v>
      </c>
      <c r="L61" s="85">
        <f>K61/(1-pconfig!$G$2-pconfig!$G$3-pconfig!$G$4)</f>
        <v>67.46601208</v>
      </c>
      <c r="M61" s="83">
        <v>166.666666666667</v>
      </c>
      <c r="N61" s="83">
        <f>M61/(1-pconfig!$G$2-pconfig!$G$3-pconfig!$G$4)</f>
        <v>314.7029204</v>
      </c>
      <c r="O61" s="83">
        <f>((K61*F61)+M61)/(1-pconfig!$G$2-pconfig!$G$3-pconfig!$G$4)</f>
        <v>382.1689325</v>
      </c>
      <c r="P61" s="86">
        <f>K61*F61/(1-pconfig!$G$2-pconfig!$G$3-pconfig!$G$4)</f>
        <v>67.46601208</v>
      </c>
      <c r="Q61" s="86">
        <f>IFS(F61&lt;=pconfig!$B$12,P61*pconfig!$C$12,F61&lt;=pconfig!$B$13,P61*pconfig!$C$13,F61&lt;=pconfig!$B$14,P61*pconfig!$C$14,F61&lt;=pconfig!$B$15,P61*pconfig!$C$15,F61&lt;=pconfig!$B$16,P61*pconfig!$C$16,F61&lt;=pconfig!$B$17,P61*pconfig!$C$17,F61&lt;=pconfig!$B$18,P61*pconfig!$C$18,F61&lt;=pconfig!$B$19,P61*pconfig!$C$19,F61&lt;=pconfig!$B$20,P61*pconfig!$C$20,F61&lt;=pconfig!$B$21,P61*pconfig!$C$21)</f>
        <v>67.46601208</v>
      </c>
      <c r="R61" s="87">
        <f t="shared" si="2"/>
        <v>382.1689325</v>
      </c>
    </row>
    <row r="62" ht="22.5" hidden="1" customHeight="1">
      <c r="A62" s="52">
        <f t="shared" si="3"/>
        <v>61</v>
      </c>
      <c r="B62" s="53" t="s">
        <v>690</v>
      </c>
      <c r="C62" s="53" t="s">
        <v>59</v>
      </c>
      <c r="D62" s="56" t="s">
        <v>60</v>
      </c>
      <c r="E62" s="53" t="str">
        <f t="shared" si="1"/>
        <v>BENEVIDESRADIO</v>
      </c>
      <c r="F62" s="59">
        <v>1.0</v>
      </c>
      <c r="G62" s="53" t="s">
        <v>411</v>
      </c>
      <c r="H62" s="59" t="str">
        <f t="array" ref="H62">XLOOKUP(B62,municipios,regiao!$D$6:$D$150,0)</f>
        <v>SIM</v>
      </c>
      <c r="I62" s="53" t="s">
        <v>414</v>
      </c>
      <c r="J62" s="60" t="s">
        <v>416</v>
      </c>
      <c r="K62" s="61">
        <v>13.97</v>
      </c>
      <c r="L62" s="70">
        <f>K62/(1-pconfig!$G$2-pconfig!$G$3-pconfig!$G$4)</f>
        <v>26.37839879</v>
      </c>
      <c r="M62" s="61">
        <v>89.8608333333333</v>
      </c>
      <c r="N62" s="61">
        <f>M62/(1-pconfig!$G$2-pconfig!$G$3-pconfig!$G$4)</f>
        <v>169.6768001</v>
      </c>
      <c r="O62" s="61">
        <f>((K62*F62)+M62)/(1-pconfig!$G$2-pconfig!$G$3-pconfig!$G$4)</f>
        <v>196.0551989</v>
      </c>
      <c r="P62" s="74">
        <f>K62*F62/(1-pconfig!$G$2-pconfig!$G$3-pconfig!$G$4)</f>
        <v>26.37839879</v>
      </c>
      <c r="Q62" s="74">
        <f>IFS(F62&lt;=pconfig!$B$12,P62*pconfig!$C$12,F62&lt;=pconfig!$B$13,P62*pconfig!$C$13,F62&lt;=pconfig!$B$14,P62*pconfig!$C$14,F62&lt;=pconfig!$B$15,P62*pconfig!$C$15,F62&lt;=pconfig!$B$16,P62*pconfig!$C$16,F62&lt;=pconfig!$B$17,P62*pconfig!$C$17,F62&lt;=pconfig!$B$18,P62*pconfig!$C$18,F62&lt;=pconfig!$B$19,P62*pconfig!$C$19,F62&lt;=pconfig!$B$20,P62*pconfig!$C$20,F62&lt;=pconfig!$B$21,P62*pconfig!$C$21)</f>
        <v>26.37839879</v>
      </c>
      <c r="R62" s="76">
        <f t="shared" si="2"/>
        <v>196.0551989</v>
      </c>
    </row>
    <row r="63" ht="22.5" hidden="1" customHeight="1">
      <c r="A63" s="78">
        <f t="shared" si="3"/>
        <v>62</v>
      </c>
      <c r="B63" s="79" t="s">
        <v>690</v>
      </c>
      <c r="C63" s="79" t="s">
        <v>50</v>
      </c>
      <c r="D63" s="80" t="s">
        <v>82</v>
      </c>
      <c r="E63" s="79" t="str">
        <f t="shared" si="1"/>
        <v>BENEVIDESFIBRA</v>
      </c>
      <c r="F63" s="81">
        <v>1.0</v>
      </c>
      <c r="G63" s="79" t="s">
        <v>411</v>
      </c>
      <c r="H63" s="81" t="str">
        <f t="array" ref="H63">XLOOKUP(B63,municipios,regiao!$D$6:$D$150,0)</f>
        <v>SIM</v>
      </c>
      <c r="I63" s="79" t="s">
        <v>414</v>
      </c>
      <c r="J63" s="82" t="s">
        <v>416</v>
      </c>
      <c r="K63" s="83">
        <v>13.97</v>
      </c>
      <c r="L63" s="85">
        <f>K63/(1-pconfig!$G$2-pconfig!$G$3-pconfig!$G$4)</f>
        <v>26.37839879</v>
      </c>
      <c r="M63" s="83">
        <v>94.7</v>
      </c>
      <c r="N63" s="83">
        <f>M63/(1-pconfig!$G$2-pconfig!$G$3-pconfig!$G$4)</f>
        <v>178.8141994</v>
      </c>
      <c r="O63" s="83">
        <f>((K63*F63)+M63)/(1-pconfig!$G$2-pconfig!$G$3-pconfig!$G$4)</f>
        <v>205.1925982</v>
      </c>
      <c r="P63" s="86">
        <f>K63*F63/(1-pconfig!$G$2-pconfig!$G$3-pconfig!$G$4)</f>
        <v>26.37839879</v>
      </c>
      <c r="Q63" s="86">
        <f>IFS(F63&lt;=pconfig!$B$12,P63*pconfig!$C$12,F63&lt;=pconfig!$B$13,P63*pconfig!$C$13,F63&lt;=pconfig!$B$14,P63*pconfig!$C$14,F63&lt;=pconfig!$B$15,P63*pconfig!$C$15,F63&lt;=pconfig!$B$16,P63*pconfig!$C$16,F63&lt;=pconfig!$B$17,P63*pconfig!$C$17,F63&lt;=pconfig!$B$18,P63*pconfig!$C$18,F63&lt;=pconfig!$B$19,P63*pconfig!$C$19,F63&lt;=pconfig!$B$20,P63*pconfig!$C$20,F63&lt;=pconfig!$B$21,P63*pconfig!$C$21)</f>
        <v>26.37839879</v>
      </c>
      <c r="R63" s="87">
        <f t="shared" si="2"/>
        <v>205.1925982</v>
      </c>
    </row>
    <row r="64" ht="22.5" hidden="1" customHeight="1">
      <c r="A64" s="52">
        <f t="shared" si="3"/>
        <v>63</v>
      </c>
      <c r="B64" s="53" t="s">
        <v>690</v>
      </c>
      <c r="C64" s="53" t="s">
        <v>101</v>
      </c>
      <c r="D64" s="56" t="s">
        <v>102</v>
      </c>
      <c r="E64" s="53" t="str">
        <f t="shared" si="1"/>
        <v>BENEVIDESSATELITE</v>
      </c>
      <c r="F64" s="59">
        <v>1.0</v>
      </c>
      <c r="G64" s="53" t="s">
        <v>411</v>
      </c>
      <c r="H64" s="59" t="str">
        <f t="array" ref="H64">XLOOKUP(B64,municipios,regiao!$D$6:$D$150,0)</f>
        <v>SIM</v>
      </c>
      <c r="I64" s="53" t="s">
        <v>414</v>
      </c>
      <c r="J64" s="60" t="s">
        <v>106</v>
      </c>
      <c r="K64" s="61">
        <v>4799.0</v>
      </c>
      <c r="L64" s="70">
        <f>K64/(1-pconfig!$G$2-pconfig!$G$3-pconfig!$G$4)</f>
        <v>9061.555891</v>
      </c>
      <c r="M64" s="61">
        <v>94.7</v>
      </c>
      <c r="N64" s="61">
        <f>M64/(1-pconfig!$G$2-pconfig!$G$3-pconfig!$G$4)</f>
        <v>178.8141994</v>
      </c>
      <c r="O64" s="61">
        <f>((K64*F64)+M64)/(1-pconfig!$G$2-pconfig!$G$3-pconfig!$G$4)</f>
        <v>9240.370091</v>
      </c>
      <c r="P64" s="74">
        <f>K64*F64/(1-pconfig!$G$2-pconfig!$G$3-pconfig!$G$4)</f>
        <v>9061.555891</v>
      </c>
      <c r="Q64" s="74">
        <f>IFS(F64&lt;=pconfig!$B$12,P64*pconfig!$C$12,F64&lt;=pconfig!$B$13,P64*pconfig!$C$13,F64&lt;=pconfig!$B$14,P64*pconfig!$C$14,F64&lt;=pconfig!$B$15,P64*pconfig!$C$15,F64&lt;=pconfig!$B$16,P64*pconfig!$C$16,F64&lt;=pconfig!$B$17,P64*pconfig!$C$17,F64&lt;=pconfig!$B$18,P64*pconfig!$C$18,F64&lt;=pconfig!$B$19,P64*pconfig!$C$19,F64&lt;=pconfig!$B$20,P64*pconfig!$C$20,F64&lt;=pconfig!$B$21,P64*pconfig!$C$21)</f>
        <v>9061.555891</v>
      </c>
      <c r="R64" s="76">
        <f t="shared" si="2"/>
        <v>9240.370091</v>
      </c>
    </row>
    <row r="65" ht="22.5" hidden="1" customHeight="1">
      <c r="A65" s="78">
        <f t="shared" si="3"/>
        <v>64</v>
      </c>
      <c r="B65" s="79" t="s">
        <v>694</v>
      </c>
      <c r="C65" s="79" t="s">
        <v>50</v>
      </c>
      <c r="D65" s="80" t="s">
        <v>82</v>
      </c>
      <c r="E65" s="79" t="str">
        <f t="shared" si="1"/>
        <v>BOM JESUS DO TOCANTINSFIBRA</v>
      </c>
      <c r="F65" s="81">
        <v>1.0</v>
      </c>
      <c r="G65" s="79" t="s">
        <v>128</v>
      </c>
      <c r="H65" s="81" t="str">
        <f t="array" ref="H65">XLOOKUP(B65,municipios,regiao!$D$6:$D$150,0)</f>
        <v>NÃO</v>
      </c>
      <c r="I65" s="79" t="s">
        <v>695</v>
      </c>
      <c r="J65" s="82" t="s">
        <v>624</v>
      </c>
      <c r="K65" s="83">
        <v>24.41</v>
      </c>
      <c r="L65" s="85">
        <f>K65/(1-pconfig!$G$2-pconfig!$G$3-pconfig!$G$4)</f>
        <v>46.09138973</v>
      </c>
      <c r="M65" s="83">
        <v>56.88</v>
      </c>
      <c r="N65" s="83">
        <f>M65/(1-pconfig!$G$2-pconfig!$G$3-pconfig!$G$4)</f>
        <v>107.4018127</v>
      </c>
      <c r="O65" s="83">
        <f>((K65*F65)+M65)/(1-pconfig!$G$2-pconfig!$G$3-pconfig!$G$4)</f>
        <v>153.4932024</v>
      </c>
      <c r="P65" s="86">
        <f>K65*F65/(1-pconfig!$G$2-pconfig!$G$3-pconfig!$G$4)</f>
        <v>46.09138973</v>
      </c>
      <c r="Q65" s="86">
        <f>IFS(F65&lt;=pconfig!$B$12,P65*pconfig!$C$12,F65&lt;=pconfig!$B$13,P65*pconfig!$C$13,F65&lt;=pconfig!$B$14,P65*pconfig!$C$14,F65&lt;=pconfig!$B$15,P65*pconfig!$C$15,F65&lt;=pconfig!$B$16,P65*pconfig!$C$16,F65&lt;=pconfig!$B$17,P65*pconfig!$C$17,F65&lt;=pconfig!$B$18,P65*pconfig!$C$18,F65&lt;=pconfig!$B$19,P65*pconfig!$C$19,F65&lt;=pconfig!$B$20,P65*pconfig!$C$20,F65&lt;=pconfig!$B$21,P65*pconfig!$C$21)</f>
        <v>46.09138973</v>
      </c>
      <c r="R65" s="87">
        <f t="shared" si="2"/>
        <v>153.4932024</v>
      </c>
    </row>
    <row r="66" ht="22.5" hidden="1" customHeight="1">
      <c r="A66" s="52">
        <f t="shared" si="3"/>
        <v>65</v>
      </c>
      <c r="B66" s="53" t="s">
        <v>694</v>
      </c>
      <c r="C66" s="53" t="s">
        <v>101</v>
      </c>
      <c r="D66" s="56" t="s">
        <v>102</v>
      </c>
      <c r="E66" s="53" t="str">
        <f t="shared" si="1"/>
        <v>BOM JESUS DO TOCANTINSSATELITE</v>
      </c>
      <c r="F66" s="59">
        <v>1.0</v>
      </c>
      <c r="G66" s="53" t="s">
        <v>128</v>
      </c>
      <c r="H66" s="59" t="str">
        <f t="array" ref="H66">XLOOKUP(B66,municipios,regiao!$D$6:$D$150,0)</f>
        <v>NÃO</v>
      </c>
      <c r="I66" s="53" t="s">
        <v>695</v>
      </c>
      <c r="J66" s="60" t="s">
        <v>106</v>
      </c>
      <c r="K66" s="61">
        <v>4799.0</v>
      </c>
      <c r="L66" s="70">
        <f>K66/(1-pconfig!$G$2-pconfig!$G$3-pconfig!$G$4)</f>
        <v>9061.555891</v>
      </c>
      <c r="M66" s="61">
        <v>56.88</v>
      </c>
      <c r="N66" s="61">
        <f>M66/(1-pconfig!$G$2-pconfig!$G$3-pconfig!$G$4)</f>
        <v>107.4018127</v>
      </c>
      <c r="O66" s="61">
        <f>((K66*F66)+M66)/(1-pconfig!$G$2-pconfig!$G$3-pconfig!$G$4)</f>
        <v>9168.957704</v>
      </c>
      <c r="P66" s="74">
        <f>K66*F66/(1-pconfig!$G$2-pconfig!$G$3-pconfig!$G$4)</f>
        <v>9061.555891</v>
      </c>
      <c r="Q66" s="74">
        <f>IFS(F66&lt;=pconfig!$B$12,P66*pconfig!$C$12,F66&lt;=pconfig!$B$13,P66*pconfig!$C$13,F66&lt;=pconfig!$B$14,P66*pconfig!$C$14,F66&lt;=pconfig!$B$15,P66*pconfig!$C$15,F66&lt;=pconfig!$B$16,P66*pconfig!$C$16,F66&lt;=pconfig!$B$17,P66*pconfig!$C$17,F66&lt;=pconfig!$B$18,P66*pconfig!$C$18,F66&lt;=pconfig!$B$19,P66*pconfig!$C$19,F66&lt;=pconfig!$B$20,P66*pconfig!$C$20,F66&lt;=pconfig!$B$21,P66*pconfig!$C$21)</f>
        <v>9061.555891</v>
      </c>
      <c r="R66" s="76">
        <f t="shared" si="2"/>
        <v>9168.957704</v>
      </c>
    </row>
    <row r="67" ht="22.5" hidden="1" customHeight="1">
      <c r="A67" s="78">
        <f t="shared" si="3"/>
        <v>66</v>
      </c>
      <c r="B67" s="153" t="s">
        <v>694</v>
      </c>
      <c r="C67" s="79" t="s">
        <v>59</v>
      </c>
      <c r="D67" s="80" t="s">
        <v>60</v>
      </c>
      <c r="E67" s="79" t="str">
        <f t="shared" si="1"/>
        <v>BOM JESUS DO TOCANTINSRADIO</v>
      </c>
      <c r="F67" s="81">
        <v>1.0</v>
      </c>
      <c r="G67" s="79" t="s">
        <v>128</v>
      </c>
      <c r="H67" s="81" t="str">
        <f t="array" ref="H67">XLOOKUP(B67,municipios,regiao!$D$6:$D$150,0)</f>
        <v>NÃO</v>
      </c>
      <c r="I67" s="79" t="s">
        <v>695</v>
      </c>
      <c r="J67" s="82" t="s">
        <v>624</v>
      </c>
      <c r="K67" s="83">
        <v>24.41</v>
      </c>
      <c r="L67" s="85">
        <f>K67/(1-pconfig!$G$2-pconfig!$G$3-pconfig!$G$4)</f>
        <v>46.09138973</v>
      </c>
      <c r="M67" s="83">
        <v>333.333333333333</v>
      </c>
      <c r="N67" s="83">
        <f>M67/(1-pconfig!$G$2-pconfig!$G$3-pconfig!$G$4)</f>
        <v>629.4058409</v>
      </c>
      <c r="O67" s="83">
        <f>((K67*F67)+M67)/(1-pconfig!$G$2-pconfig!$G$3-pconfig!$G$4)</f>
        <v>675.4972306</v>
      </c>
      <c r="P67" s="86">
        <f>K67*F67/(1-pconfig!$G$2-pconfig!$G$3-pconfig!$G$4)</f>
        <v>46.09138973</v>
      </c>
      <c r="Q67" s="86">
        <f>IFS(F67&lt;=pconfig!$B$12,P67*pconfig!$C$12,F67&lt;=pconfig!$B$13,P67*pconfig!$C$13,F67&lt;=pconfig!$B$14,P67*pconfig!$C$14,F67&lt;=pconfig!$B$15,P67*pconfig!$C$15,F67&lt;=pconfig!$B$16,P67*pconfig!$C$16,F67&lt;=pconfig!$B$17,P67*pconfig!$C$17,F67&lt;=pconfig!$B$18,P67*pconfig!$C$18,F67&lt;=pconfig!$B$19,P67*pconfig!$C$19,F67&lt;=pconfig!$B$20,P67*pconfig!$C$20,F67&lt;=pconfig!$B$21,P67*pconfig!$C$21)</f>
        <v>46.09138973</v>
      </c>
      <c r="R67" s="87">
        <f t="shared" si="2"/>
        <v>675.4972306</v>
      </c>
    </row>
    <row r="68" ht="22.5" hidden="1" customHeight="1">
      <c r="A68" s="52">
        <f t="shared" si="3"/>
        <v>67</v>
      </c>
      <c r="B68" s="53" t="s">
        <v>699</v>
      </c>
      <c r="C68" s="53" t="s">
        <v>59</v>
      </c>
      <c r="D68" s="56" t="s">
        <v>60</v>
      </c>
      <c r="E68" s="53" t="str">
        <f t="shared" si="1"/>
        <v>BONITORADIO</v>
      </c>
      <c r="F68" s="59">
        <v>1.0</v>
      </c>
      <c r="G68" s="53" t="s">
        <v>61</v>
      </c>
      <c r="H68" s="59" t="str">
        <f t="array" ref="H68">XLOOKUP(B68,municipios,regiao!$D$6:$D$150,0)</f>
        <v>SIM</v>
      </c>
      <c r="I68" s="53" t="s">
        <v>496</v>
      </c>
      <c r="J68" s="60" t="s">
        <v>337</v>
      </c>
      <c r="K68" s="61">
        <v>17.84</v>
      </c>
      <c r="L68" s="70">
        <f>K68/(1-pconfig!$G$2-pconfig!$G$3-pconfig!$G$4)</f>
        <v>33.6858006</v>
      </c>
      <c r="M68" s="61">
        <v>137.604166666667</v>
      </c>
      <c r="N68" s="61">
        <f>M68/(1-pconfig!$G$2-pconfig!$G$3-pconfig!$G$4)</f>
        <v>259.8265987</v>
      </c>
      <c r="O68" s="61">
        <f>((K68*F68)+M68)/(1-pconfig!$G$2-pconfig!$G$3-pconfig!$G$4)</f>
        <v>293.5123993</v>
      </c>
      <c r="P68" s="74">
        <f>K68*F68/(1-pconfig!$G$2-pconfig!$G$3-pconfig!$G$4)</f>
        <v>33.6858006</v>
      </c>
      <c r="Q68" s="74">
        <f>IFS(F68&lt;=pconfig!$B$12,P68*pconfig!$C$12,F68&lt;=pconfig!$B$13,P68*pconfig!$C$13,F68&lt;=pconfig!$B$14,P68*pconfig!$C$14,F68&lt;=pconfig!$B$15,P68*pconfig!$C$15,F68&lt;=pconfig!$B$16,P68*pconfig!$C$16,F68&lt;=pconfig!$B$17,P68*pconfig!$C$17,F68&lt;=pconfig!$B$18,P68*pconfig!$C$18,F68&lt;=pconfig!$B$19,P68*pconfig!$C$19,F68&lt;=pconfig!$B$20,P68*pconfig!$C$20,F68&lt;=pconfig!$B$21,P68*pconfig!$C$21)</f>
        <v>33.6858006</v>
      </c>
      <c r="R68" s="76">
        <f t="shared" si="2"/>
        <v>293.5123993</v>
      </c>
    </row>
    <row r="69" ht="22.5" hidden="1" customHeight="1">
      <c r="A69" s="78">
        <f t="shared" si="3"/>
        <v>68</v>
      </c>
      <c r="B69" s="79" t="s">
        <v>699</v>
      </c>
      <c r="C69" s="79" t="s">
        <v>50</v>
      </c>
      <c r="D69" s="80" t="s">
        <v>82</v>
      </c>
      <c r="E69" s="79" t="str">
        <f t="shared" si="1"/>
        <v>BONITOFIBRA</v>
      </c>
      <c r="F69" s="81">
        <v>1.0</v>
      </c>
      <c r="G69" s="79" t="s">
        <v>61</v>
      </c>
      <c r="H69" s="81" t="str">
        <f t="array" ref="H69">XLOOKUP(B69,municipios,regiao!$D$6:$D$150,0)</f>
        <v>SIM</v>
      </c>
      <c r="I69" s="79" t="s">
        <v>496</v>
      </c>
      <c r="J69" s="82" t="s">
        <v>337</v>
      </c>
      <c r="K69" s="83">
        <v>17.84</v>
      </c>
      <c r="L69" s="85">
        <f>K69/(1-pconfig!$G$2-pconfig!$G$3-pconfig!$G$4)</f>
        <v>33.6858006</v>
      </c>
      <c r="M69" s="83">
        <v>406.12</v>
      </c>
      <c r="N69" s="83">
        <f>M69/(1-pconfig!$G$2-pconfig!$G$3-pconfig!$G$4)</f>
        <v>766.8429003</v>
      </c>
      <c r="O69" s="83">
        <f>((K69*F69)+M69)/(1-pconfig!$G$2-pconfig!$G$3-pconfig!$G$4)</f>
        <v>800.5287009</v>
      </c>
      <c r="P69" s="86">
        <f>K69*F69/(1-pconfig!$G$2-pconfig!$G$3-pconfig!$G$4)</f>
        <v>33.6858006</v>
      </c>
      <c r="Q69" s="86">
        <f>IFS(F69&lt;=pconfig!$B$12,P69*pconfig!$C$12,F69&lt;=pconfig!$B$13,P69*pconfig!$C$13,F69&lt;=pconfig!$B$14,P69*pconfig!$C$14,F69&lt;=pconfig!$B$15,P69*pconfig!$C$15,F69&lt;=pconfig!$B$16,P69*pconfig!$C$16,F69&lt;=pconfig!$B$17,P69*pconfig!$C$17,F69&lt;=pconfig!$B$18,P69*pconfig!$C$18,F69&lt;=pconfig!$B$19,P69*pconfig!$C$19,F69&lt;=pconfig!$B$20,P69*pconfig!$C$20,F69&lt;=pconfig!$B$21,P69*pconfig!$C$21)</f>
        <v>33.6858006</v>
      </c>
      <c r="R69" s="87">
        <f t="shared" si="2"/>
        <v>800.5287009</v>
      </c>
    </row>
    <row r="70" ht="22.5" hidden="1" customHeight="1">
      <c r="A70" s="52">
        <f t="shared" si="3"/>
        <v>69</v>
      </c>
      <c r="B70" s="53" t="s">
        <v>699</v>
      </c>
      <c r="C70" s="53" t="s">
        <v>101</v>
      </c>
      <c r="D70" s="56" t="s">
        <v>102</v>
      </c>
      <c r="E70" s="53" t="str">
        <f t="shared" si="1"/>
        <v>BONITOSATELITE</v>
      </c>
      <c r="F70" s="59">
        <v>1.0</v>
      </c>
      <c r="G70" s="53" t="s">
        <v>61</v>
      </c>
      <c r="H70" s="59" t="str">
        <f t="array" ref="H70">XLOOKUP(B70,municipios,regiao!$D$6:$D$150,0)</f>
        <v>SIM</v>
      </c>
      <c r="I70" s="53" t="s">
        <v>496</v>
      </c>
      <c r="J70" s="60" t="s">
        <v>106</v>
      </c>
      <c r="K70" s="61">
        <v>4799.0</v>
      </c>
      <c r="L70" s="70">
        <f>K70/(1-pconfig!$G$2-pconfig!$G$3-pconfig!$G$4)</f>
        <v>9061.555891</v>
      </c>
      <c r="M70" s="61">
        <v>406.12</v>
      </c>
      <c r="N70" s="61">
        <f>M70/(1-pconfig!$G$2-pconfig!$G$3-pconfig!$G$4)</f>
        <v>766.8429003</v>
      </c>
      <c r="O70" s="61">
        <f>((K70*F70)+M70)/(1-pconfig!$G$2-pconfig!$G$3-pconfig!$G$4)</f>
        <v>9828.398792</v>
      </c>
      <c r="P70" s="74">
        <f>K70*F70/(1-pconfig!$G$2-pconfig!$G$3-pconfig!$G$4)</f>
        <v>9061.555891</v>
      </c>
      <c r="Q70" s="74">
        <f>IFS(F70&lt;=pconfig!$B$12,P70*pconfig!$C$12,F70&lt;=pconfig!$B$13,P70*pconfig!$C$13,F70&lt;=pconfig!$B$14,P70*pconfig!$C$14,F70&lt;=pconfig!$B$15,P70*pconfig!$C$15,F70&lt;=pconfig!$B$16,P70*pconfig!$C$16,F70&lt;=pconfig!$B$17,P70*pconfig!$C$17,F70&lt;=pconfig!$B$18,P70*pconfig!$C$18,F70&lt;=pconfig!$B$19,P70*pconfig!$C$19,F70&lt;=pconfig!$B$20,P70*pconfig!$C$20,F70&lt;=pconfig!$B$21,P70*pconfig!$C$21)</f>
        <v>9061.555891</v>
      </c>
      <c r="R70" s="76">
        <f t="shared" si="2"/>
        <v>9828.398792</v>
      </c>
    </row>
    <row r="71" ht="22.5" hidden="1" customHeight="1">
      <c r="A71" s="78">
        <f t="shared" si="3"/>
        <v>70</v>
      </c>
      <c r="B71" s="79" t="s">
        <v>701</v>
      </c>
      <c r="C71" s="79" t="s">
        <v>59</v>
      </c>
      <c r="D71" s="80" t="s">
        <v>60</v>
      </c>
      <c r="E71" s="79" t="str">
        <f t="shared" si="1"/>
        <v>BRAGANCARADIO</v>
      </c>
      <c r="F71" s="81">
        <v>1.0</v>
      </c>
      <c r="G71" s="79" t="s">
        <v>61</v>
      </c>
      <c r="H71" s="81" t="str">
        <f t="array" ref="H71">XLOOKUP(B71,municipios,regiao!$D$6:$D$150,0)</f>
        <v>SIM</v>
      </c>
      <c r="I71" s="79" t="s">
        <v>496</v>
      </c>
      <c r="J71" s="82" t="s">
        <v>337</v>
      </c>
      <c r="K71" s="83">
        <v>17.84</v>
      </c>
      <c r="L71" s="85">
        <f>K71/(1-pconfig!$G$2-pconfig!$G$3-pconfig!$G$4)</f>
        <v>33.6858006</v>
      </c>
      <c r="M71" s="83">
        <v>137.604166666667</v>
      </c>
      <c r="N71" s="83">
        <f>M71/(1-pconfig!$G$2-pconfig!$G$3-pconfig!$G$4)</f>
        <v>259.8265987</v>
      </c>
      <c r="O71" s="83">
        <f>((K71*F71)+M71)/(1-pconfig!$G$2-pconfig!$G$3-pconfig!$G$4)</f>
        <v>293.5123993</v>
      </c>
      <c r="P71" s="86">
        <f>K71*F71/(1-pconfig!$G$2-pconfig!$G$3-pconfig!$G$4)</f>
        <v>33.6858006</v>
      </c>
      <c r="Q71" s="86">
        <f>IFS(F71&lt;=pconfig!$B$12,P71*pconfig!$C$12,F71&lt;=pconfig!$B$13,P71*pconfig!$C$13,F71&lt;=pconfig!$B$14,P71*pconfig!$C$14,F71&lt;=pconfig!$B$15,P71*pconfig!$C$15,F71&lt;=pconfig!$B$16,P71*pconfig!$C$16,F71&lt;=pconfig!$B$17,P71*pconfig!$C$17,F71&lt;=pconfig!$B$18,P71*pconfig!$C$18,F71&lt;=pconfig!$B$19,P71*pconfig!$C$19,F71&lt;=pconfig!$B$20,P71*pconfig!$C$20,F71&lt;=pconfig!$B$21,P71*pconfig!$C$21)</f>
        <v>33.6858006</v>
      </c>
      <c r="R71" s="87">
        <f t="shared" si="2"/>
        <v>293.5123993</v>
      </c>
    </row>
    <row r="72" ht="22.5" hidden="1" customHeight="1">
      <c r="A72" s="52">
        <f t="shared" si="3"/>
        <v>71</v>
      </c>
      <c r="B72" s="53" t="s">
        <v>701</v>
      </c>
      <c r="C72" s="53" t="s">
        <v>50</v>
      </c>
      <c r="D72" s="56" t="s">
        <v>82</v>
      </c>
      <c r="E72" s="53" t="str">
        <f t="shared" si="1"/>
        <v>BRAGANCAFIBRA</v>
      </c>
      <c r="F72" s="59">
        <v>1.0</v>
      </c>
      <c r="G72" s="53" t="s">
        <v>61</v>
      </c>
      <c r="H72" s="59" t="str">
        <f t="array" ref="H72">XLOOKUP(B72,municipios,regiao!$D$6:$D$150,0)</f>
        <v>SIM</v>
      </c>
      <c r="I72" s="53" t="s">
        <v>496</v>
      </c>
      <c r="J72" s="60" t="s">
        <v>337</v>
      </c>
      <c r="K72" s="61">
        <v>17.84</v>
      </c>
      <c r="L72" s="70">
        <f>K72/(1-pconfig!$G$2-pconfig!$G$3-pconfig!$G$4)</f>
        <v>33.6858006</v>
      </c>
      <c r="M72" s="61">
        <v>406.12</v>
      </c>
      <c r="N72" s="61">
        <f>M72/(1-pconfig!$G$2-pconfig!$G$3-pconfig!$G$4)</f>
        <v>766.8429003</v>
      </c>
      <c r="O72" s="61">
        <f>((K72*F72)+M72)/(1-pconfig!$G$2-pconfig!$G$3-pconfig!$G$4)</f>
        <v>800.5287009</v>
      </c>
      <c r="P72" s="74">
        <f>K72*F72/(1-pconfig!$G$2-pconfig!$G$3-pconfig!$G$4)</f>
        <v>33.6858006</v>
      </c>
      <c r="Q72" s="74">
        <f>IFS(F72&lt;=pconfig!$B$12,P72*pconfig!$C$12,F72&lt;=pconfig!$B$13,P72*pconfig!$C$13,F72&lt;=pconfig!$B$14,P72*pconfig!$C$14,F72&lt;=pconfig!$B$15,P72*pconfig!$C$15,F72&lt;=pconfig!$B$16,P72*pconfig!$C$16,F72&lt;=pconfig!$B$17,P72*pconfig!$C$17,F72&lt;=pconfig!$B$18,P72*pconfig!$C$18,F72&lt;=pconfig!$B$19,P72*pconfig!$C$19,F72&lt;=pconfig!$B$20,P72*pconfig!$C$20,F72&lt;=pconfig!$B$21,P72*pconfig!$C$21)</f>
        <v>33.6858006</v>
      </c>
      <c r="R72" s="76">
        <f t="shared" si="2"/>
        <v>800.5287009</v>
      </c>
    </row>
    <row r="73" ht="22.5" hidden="1" customHeight="1">
      <c r="A73" s="78">
        <f t="shared" si="3"/>
        <v>72</v>
      </c>
      <c r="B73" s="79" t="s">
        <v>701</v>
      </c>
      <c r="C73" s="79" t="s">
        <v>101</v>
      </c>
      <c r="D73" s="80" t="s">
        <v>102</v>
      </c>
      <c r="E73" s="79" t="str">
        <f t="shared" si="1"/>
        <v>BRAGANCASATELITE</v>
      </c>
      <c r="F73" s="81">
        <v>1.0</v>
      </c>
      <c r="G73" s="79" t="s">
        <v>61</v>
      </c>
      <c r="H73" s="81" t="str">
        <f t="array" ref="H73">XLOOKUP(B73,municipios,regiao!$D$6:$D$150,0)</f>
        <v>SIM</v>
      </c>
      <c r="I73" s="79" t="s">
        <v>496</v>
      </c>
      <c r="J73" s="82" t="s">
        <v>106</v>
      </c>
      <c r="K73" s="83">
        <v>4799.0</v>
      </c>
      <c r="L73" s="85">
        <f>K73/(1-pconfig!$G$2-pconfig!$G$3-pconfig!$G$4)</f>
        <v>9061.555891</v>
      </c>
      <c r="M73" s="83">
        <v>406.12</v>
      </c>
      <c r="N73" s="83">
        <f>M73/(1-pconfig!$G$2-pconfig!$G$3-pconfig!$G$4)</f>
        <v>766.8429003</v>
      </c>
      <c r="O73" s="83">
        <f>((K73*F73)+M73)/(1-pconfig!$G$2-pconfig!$G$3-pconfig!$G$4)</f>
        <v>9828.398792</v>
      </c>
      <c r="P73" s="86">
        <f>K73*F73/(1-pconfig!$G$2-pconfig!$G$3-pconfig!$G$4)</f>
        <v>9061.555891</v>
      </c>
      <c r="Q73" s="86">
        <f>IFS(F73&lt;=pconfig!$B$12,P73*pconfig!$C$12,F73&lt;=pconfig!$B$13,P73*pconfig!$C$13,F73&lt;=pconfig!$B$14,P73*pconfig!$C$14,F73&lt;=pconfig!$B$15,P73*pconfig!$C$15,F73&lt;=pconfig!$B$16,P73*pconfig!$C$16,F73&lt;=pconfig!$B$17,P73*pconfig!$C$17,F73&lt;=pconfig!$B$18,P73*pconfig!$C$18,F73&lt;=pconfig!$B$19,P73*pconfig!$C$19,F73&lt;=pconfig!$B$20,P73*pconfig!$C$20,F73&lt;=pconfig!$B$21,P73*pconfig!$C$21)</f>
        <v>9061.555891</v>
      </c>
      <c r="R73" s="87">
        <f t="shared" si="2"/>
        <v>9828.398792</v>
      </c>
    </row>
    <row r="74" ht="22.5" hidden="1" customHeight="1">
      <c r="A74" s="52">
        <f t="shared" si="3"/>
        <v>73</v>
      </c>
      <c r="B74" s="53" t="s">
        <v>706</v>
      </c>
      <c r="C74" s="53" t="s">
        <v>50</v>
      </c>
      <c r="D74" s="56" t="s">
        <v>82</v>
      </c>
      <c r="E74" s="53" t="str">
        <f t="shared" si="1"/>
        <v>BRASIL NOVOFIBRA</v>
      </c>
      <c r="F74" s="59">
        <v>1.0</v>
      </c>
      <c r="G74" s="53" t="s">
        <v>374</v>
      </c>
      <c r="H74" s="59" t="str">
        <f t="array" ref="H74">XLOOKUP(B74,municipios,regiao!$D$6:$D$150,0)</f>
        <v>SIM</v>
      </c>
      <c r="I74" s="53" t="s">
        <v>375</v>
      </c>
      <c r="J74" s="60" t="s">
        <v>64</v>
      </c>
      <c r="K74" s="61">
        <v>15.65</v>
      </c>
      <c r="L74" s="70">
        <f>K74/(1-pconfig!$G$2-pconfig!$G$3-pconfig!$G$4)</f>
        <v>29.55060423</v>
      </c>
      <c r="M74" s="61">
        <v>283.33</v>
      </c>
      <c r="N74" s="61">
        <f>M74/(1-pconfig!$G$2-pconfig!$G$3-pconfig!$G$4)</f>
        <v>534.9886707</v>
      </c>
      <c r="O74" s="61">
        <f>((K74*F74)+M74)/(1-pconfig!$G$2-pconfig!$G$3-pconfig!$G$4)</f>
        <v>564.5392749</v>
      </c>
      <c r="P74" s="74">
        <f>K74*F74/(1-pconfig!$G$2-pconfig!$G$3-pconfig!$G$4)</f>
        <v>29.55060423</v>
      </c>
      <c r="Q74" s="74">
        <f>IFS(F74&lt;=pconfig!$B$12,P74*pconfig!$C$12,F74&lt;=pconfig!$B$13,P74*pconfig!$C$13,F74&lt;=pconfig!$B$14,P74*pconfig!$C$14,F74&lt;=pconfig!$B$15,P74*pconfig!$C$15,F74&lt;=pconfig!$B$16,P74*pconfig!$C$16,F74&lt;=pconfig!$B$17,P74*pconfig!$C$17,F74&lt;=pconfig!$B$18,P74*pconfig!$C$18,F74&lt;=pconfig!$B$19,P74*pconfig!$C$19,F74&lt;=pconfig!$B$20,P74*pconfig!$C$20,F74&lt;=pconfig!$B$21,P74*pconfig!$C$21)</f>
        <v>29.55060423</v>
      </c>
      <c r="R74" s="76">
        <f t="shared" si="2"/>
        <v>564.5392749</v>
      </c>
    </row>
    <row r="75" ht="22.5" hidden="1" customHeight="1">
      <c r="A75" s="78">
        <f t="shared" si="3"/>
        <v>74</v>
      </c>
      <c r="B75" s="79" t="s">
        <v>706</v>
      </c>
      <c r="C75" s="79" t="s">
        <v>101</v>
      </c>
      <c r="D75" s="80" t="s">
        <v>102</v>
      </c>
      <c r="E75" s="79" t="str">
        <f t="shared" si="1"/>
        <v>BRASIL NOVOSATELITE</v>
      </c>
      <c r="F75" s="81">
        <v>1.0</v>
      </c>
      <c r="G75" s="79" t="s">
        <v>374</v>
      </c>
      <c r="H75" s="81" t="str">
        <f t="array" ref="H75">XLOOKUP(B75,municipios,regiao!$D$6:$D$150,0)</f>
        <v>SIM</v>
      </c>
      <c r="I75" s="79" t="s">
        <v>375</v>
      </c>
      <c r="J75" s="82" t="s">
        <v>106</v>
      </c>
      <c r="K75" s="83">
        <v>4799.0</v>
      </c>
      <c r="L75" s="85">
        <f>K75/(1-pconfig!$G$2-pconfig!$G$3-pconfig!$G$4)</f>
        <v>9061.555891</v>
      </c>
      <c r="M75" s="83">
        <v>283.33</v>
      </c>
      <c r="N75" s="83">
        <f>M75/(1-pconfig!$G$2-pconfig!$G$3-pconfig!$G$4)</f>
        <v>534.9886707</v>
      </c>
      <c r="O75" s="83">
        <f>((K75*F75)+M75)/(1-pconfig!$G$2-pconfig!$G$3-pconfig!$G$4)</f>
        <v>9596.544562</v>
      </c>
      <c r="P75" s="86">
        <f>K75*F75/(1-pconfig!$G$2-pconfig!$G$3-pconfig!$G$4)</f>
        <v>9061.555891</v>
      </c>
      <c r="Q75" s="86">
        <f>IFS(F75&lt;=pconfig!$B$12,P75*pconfig!$C$12,F75&lt;=pconfig!$B$13,P75*pconfig!$C$13,F75&lt;=pconfig!$B$14,P75*pconfig!$C$14,F75&lt;=pconfig!$B$15,P75*pconfig!$C$15,F75&lt;=pconfig!$B$16,P75*pconfig!$C$16,F75&lt;=pconfig!$B$17,P75*pconfig!$C$17,F75&lt;=pconfig!$B$18,P75*pconfig!$C$18,F75&lt;=pconfig!$B$19,P75*pconfig!$C$19,F75&lt;=pconfig!$B$20,P75*pconfig!$C$20,F75&lt;=pconfig!$B$21,P75*pconfig!$C$21)</f>
        <v>9061.555891</v>
      </c>
      <c r="R75" s="87">
        <f t="shared" si="2"/>
        <v>9596.544562</v>
      </c>
    </row>
    <row r="76" ht="22.5" hidden="1" customHeight="1">
      <c r="A76" s="52">
        <f t="shared" si="3"/>
        <v>75</v>
      </c>
      <c r="B76" s="53" t="s">
        <v>706</v>
      </c>
      <c r="C76" s="53" t="s">
        <v>59</v>
      </c>
      <c r="D76" s="56" t="s">
        <v>60</v>
      </c>
      <c r="E76" s="53" t="str">
        <f t="shared" si="1"/>
        <v>BRASIL NOVORADIO</v>
      </c>
      <c r="F76" s="59">
        <v>1.0</v>
      </c>
      <c r="G76" s="53" t="s">
        <v>374</v>
      </c>
      <c r="H76" s="59" t="str">
        <f t="array" ref="H76">XLOOKUP(B76,municipios,regiao!$D$6:$D$150,0)</f>
        <v>SIM</v>
      </c>
      <c r="I76" s="53" t="s">
        <v>375</v>
      </c>
      <c r="J76" s="60" t="s">
        <v>64</v>
      </c>
      <c r="K76" s="61">
        <v>15.65</v>
      </c>
      <c r="L76" s="70">
        <f>K76/(1-pconfig!$G$2-pconfig!$G$3-pconfig!$G$4)</f>
        <v>29.55060423</v>
      </c>
      <c r="M76" s="61">
        <v>416.666666666667</v>
      </c>
      <c r="N76" s="61">
        <f>M76/(1-pconfig!$G$2-pconfig!$G$3-pconfig!$G$4)</f>
        <v>786.7573011</v>
      </c>
      <c r="O76" s="61">
        <f>((K76*F76)+M76)/(1-pconfig!$G$2-pconfig!$G$3-pconfig!$G$4)</f>
        <v>816.3079053</v>
      </c>
      <c r="P76" s="74">
        <f>K76*F76/(1-pconfig!$G$2-pconfig!$G$3-pconfig!$G$4)</f>
        <v>29.55060423</v>
      </c>
      <c r="Q76" s="74">
        <f>IFS(F76&lt;=pconfig!$B$12,P76*pconfig!$C$12,F76&lt;=pconfig!$B$13,P76*pconfig!$C$13,F76&lt;=pconfig!$B$14,P76*pconfig!$C$14,F76&lt;=pconfig!$B$15,P76*pconfig!$C$15,F76&lt;=pconfig!$B$16,P76*pconfig!$C$16,F76&lt;=pconfig!$B$17,P76*pconfig!$C$17,F76&lt;=pconfig!$B$18,P76*pconfig!$C$18,F76&lt;=pconfig!$B$19,P76*pconfig!$C$19,F76&lt;=pconfig!$B$20,P76*pconfig!$C$20,F76&lt;=pconfig!$B$21,P76*pconfig!$C$21)</f>
        <v>29.55060423</v>
      </c>
      <c r="R76" s="76">
        <f t="shared" si="2"/>
        <v>816.3079053</v>
      </c>
    </row>
    <row r="77" ht="22.5" hidden="1" customHeight="1">
      <c r="A77" s="78">
        <f t="shared" si="3"/>
        <v>76</v>
      </c>
      <c r="B77" s="79" t="s">
        <v>712</v>
      </c>
      <c r="C77" s="79" t="s">
        <v>50</v>
      </c>
      <c r="D77" s="80" t="s">
        <v>82</v>
      </c>
      <c r="E77" s="79" t="str">
        <f t="shared" si="1"/>
        <v>BREJO GRANDE DO ARAGUAIAFIBRA</v>
      </c>
      <c r="F77" s="81">
        <v>1.0</v>
      </c>
      <c r="G77" s="79" t="s">
        <v>128</v>
      </c>
      <c r="H77" s="81" t="str">
        <f t="array" ref="H77">XLOOKUP(B77,municipios,regiao!$D$6:$D$150,0)</f>
        <v>NÃO</v>
      </c>
      <c r="I77" s="79" t="s">
        <v>695</v>
      </c>
      <c r="J77" s="82" t="s">
        <v>624</v>
      </c>
      <c r="K77" s="83">
        <v>24.41</v>
      </c>
      <c r="L77" s="85">
        <f>K77/(1-pconfig!$G$2-pconfig!$G$3-pconfig!$G$4)</f>
        <v>46.09138973</v>
      </c>
      <c r="M77" s="83">
        <v>56.88</v>
      </c>
      <c r="N77" s="83">
        <f>M77/(1-pconfig!$G$2-pconfig!$G$3-pconfig!$G$4)</f>
        <v>107.4018127</v>
      </c>
      <c r="O77" s="83">
        <f>((K77*F77)+M77)/(1-pconfig!$G$2-pconfig!$G$3-pconfig!$G$4)</f>
        <v>153.4932024</v>
      </c>
      <c r="P77" s="86">
        <f>K77*F77/(1-pconfig!$G$2-pconfig!$G$3-pconfig!$G$4)</f>
        <v>46.09138973</v>
      </c>
      <c r="Q77" s="86">
        <f>IFS(F77&lt;=pconfig!$B$12,P77*pconfig!$C$12,F77&lt;=pconfig!$B$13,P77*pconfig!$C$13,F77&lt;=pconfig!$B$14,P77*pconfig!$C$14,F77&lt;=pconfig!$B$15,P77*pconfig!$C$15,F77&lt;=pconfig!$B$16,P77*pconfig!$C$16,F77&lt;=pconfig!$B$17,P77*pconfig!$C$17,F77&lt;=pconfig!$B$18,P77*pconfig!$C$18,F77&lt;=pconfig!$B$19,P77*pconfig!$C$19,F77&lt;=pconfig!$B$20,P77*pconfig!$C$20,F77&lt;=pconfig!$B$21,P77*pconfig!$C$21)</f>
        <v>46.09138973</v>
      </c>
      <c r="R77" s="87">
        <f t="shared" si="2"/>
        <v>153.4932024</v>
      </c>
    </row>
    <row r="78" ht="22.5" hidden="1" customHeight="1">
      <c r="A78" s="52">
        <f t="shared" si="3"/>
        <v>77</v>
      </c>
      <c r="B78" s="53" t="s">
        <v>712</v>
      </c>
      <c r="C78" s="53" t="s">
        <v>101</v>
      </c>
      <c r="D78" s="56" t="s">
        <v>102</v>
      </c>
      <c r="E78" s="53" t="str">
        <f t="shared" si="1"/>
        <v>BREJO GRANDE DO ARAGUAIASATELITE</v>
      </c>
      <c r="F78" s="59">
        <v>1.0</v>
      </c>
      <c r="G78" s="53" t="s">
        <v>128</v>
      </c>
      <c r="H78" s="59" t="str">
        <f t="array" ref="H78">XLOOKUP(B78,municipios,regiao!$D$6:$D$150,0)</f>
        <v>NÃO</v>
      </c>
      <c r="I78" s="53" t="s">
        <v>695</v>
      </c>
      <c r="J78" s="60" t="s">
        <v>106</v>
      </c>
      <c r="K78" s="61">
        <v>4799.0</v>
      </c>
      <c r="L78" s="70">
        <f>K78/(1-pconfig!$G$2-pconfig!$G$3-pconfig!$G$4)</f>
        <v>9061.555891</v>
      </c>
      <c r="M78" s="61">
        <v>56.88</v>
      </c>
      <c r="N78" s="61">
        <f>M78/(1-pconfig!$G$2-pconfig!$G$3-pconfig!$G$4)</f>
        <v>107.4018127</v>
      </c>
      <c r="O78" s="61">
        <f>((K78*F78)+M78)/(1-pconfig!$G$2-pconfig!$G$3-pconfig!$G$4)</f>
        <v>9168.957704</v>
      </c>
      <c r="P78" s="74">
        <f>K78*F78/(1-pconfig!$G$2-pconfig!$G$3-pconfig!$G$4)</f>
        <v>9061.555891</v>
      </c>
      <c r="Q78" s="74">
        <f>IFS(F78&lt;=pconfig!$B$12,P78*pconfig!$C$12,F78&lt;=pconfig!$B$13,P78*pconfig!$C$13,F78&lt;=pconfig!$B$14,P78*pconfig!$C$14,F78&lt;=pconfig!$B$15,P78*pconfig!$C$15,F78&lt;=pconfig!$B$16,P78*pconfig!$C$16,F78&lt;=pconfig!$B$17,P78*pconfig!$C$17,F78&lt;=pconfig!$B$18,P78*pconfig!$C$18,F78&lt;=pconfig!$B$19,P78*pconfig!$C$19,F78&lt;=pconfig!$B$20,P78*pconfig!$C$20,F78&lt;=pconfig!$B$21,P78*pconfig!$C$21)</f>
        <v>9061.555891</v>
      </c>
      <c r="R78" s="76">
        <f t="shared" si="2"/>
        <v>9168.957704</v>
      </c>
    </row>
    <row r="79" ht="22.5" hidden="1" customHeight="1">
      <c r="A79" s="78">
        <f t="shared" si="3"/>
        <v>78</v>
      </c>
      <c r="B79" s="79" t="s">
        <v>712</v>
      </c>
      <c r="C79" s="79" t="s">
        <v>59</v>
      </c>
      <c r="D79" s="80" t="s">
        <v>60</v>
      </c>
      <c r="E79" s="79" t="str">
        <f t="shared" si="1"/>
        <v>BREJO GRANDE DO ARAGUAIARADIO</v>
      </c>
      <c r="F79" s="81">
        <v>1.0</v>
      </c>
      <c r="G79" s="79" t="s">
        <v>128</v>
      </c>
      <c r="H79" s="81" t="str">
        <f t="array" ref="H79">XLOOKUP(B79,municipios,regiao!$D$6:$D$150,0)</f>
        <v>NÃO</v>
      </c>
      <c r="I79" s="79" t="s">
        <v>695</v>
      </c>
      <c r="J79" s="82" t="s">
        <v>624</v>
      </c>
      <c r="K79" s="83">
        <v>24.41</v>
      </c>
      <c r="L79" s="85">
        <f>K79/(1-pconfig!$G$2-pconfig!$G$3-pconfig!$G$4)</f>
        <v>46.09138973</v>
      </c>
      <c r="M79" s="83">
        <v>333.333333333333</v>
      </c>
      <c r="N79" s="83">
        <f>M79/(1-pconfig!$G$2-pconfig!$G$3-pconfig!$G$4)</f>
        <v>629.4058409</v>
      </c>
      <c r="O79" s="83">
        <f>((K79*F79)+M79)/(1-pconfig!$G$2-pconfig!$G$3-pconfig!$G$4)</f>
        <v>675.4972306</v>
      </c>
      <c r="P79" s="86">
        <f>K79*F79/(1-pconfig!$G$2-pconfig!$G$3-pconfig!$G$4)</f>
        <v>46.09138973</v>
      </c>
      <c r="Q79" s="86">
        <f>IFS(F79&lt;=pconfig!$B$12,P79*pconfig!$C$12,F79&lt;=pconfig!$B$13,P79*pconfig!$C$13,F79&lt;=pconfig!$B$14,P79*pconfig!$C$14,F79&lt;=pconfig!$B$15,P79*pconfig!$C$15,F79&lt;=pconfig!$B$16,P79*pconfig!$C$16,F79&lt;=pconfig!$B$17,P79*pconfig!$C$17,F79&lt;=pconfig!$B$18,P79*pconfig!$C$18,F79&lt;=pconfig!$B$19,P79*pconfig!$C$19,F79&lt;=pconfig!$B$20,P79*pconfig!$C$20,F79&lt;=pconfig!$B$21,P79*pconfig!$C$21)</f>
        <v>46.09138973</v>
      </c>
      <c r="R79" s="87">
        <f t="shared" si="2"/>
        <v>675.4972306</v>
      </c>
    </row>
    <row r="80" ht="22.5" hidden="1" customHeight="1">
      <c r="A80" s="52">
        <f t="shared" si="3"/>
        <v>79</v>
      </c>
      <c r="B80" s="53" t="s">
        <v>716</v>
      </c>
      <c r="C80" s="53" t="s">
        <v>50</v>
      </c>
      <c r="D80" s="56" t="s">
        <v>82</v>
      </c>
      <c r="E80" s="53" t="str">
        <f t="shared" si="1"/>
        <v>BREU BRANCOFIBRA</v>
      </c>
      <c r="F80" s="59">
        <v>1.0</v>
      </c>
      <c r="G80" s="53" t="s">
        <v>128</v>
      </c>
      <c r="H80" s="59" t="str">
        <f t="array" ref="H80">XLOOKUP(B80,municipios,regiao!$D$6:$D$150,0)</f>
        <v>NÃO</v>
      </c>
      <c r="I80" s="53" t="s">
        <v>717</v>
      </c>
      <c r="J80" s="60" t="s">
        <v>624</v>
      </c>
      <c r="K80" s="61">
        <v>24.41</v>
      </c>
      <c r="L80" s="70">
        <f>K80/(1-pconfig!$G$2-pconfig!$G$3-pconfig!$G$4)</f>
        <v>46.09138973</v>
      </c>
      <c r="M80" s="61">
        <v>204.76</v>
      </c>
      <c r="N80" s="61">
        <f>M80/(1-pconfig!$G$2-pconfig!$G$3-pconfig!$G$4)</f>
        <v>386.6314199</v>
      </c>
      <c r="O80" s="61">
        <f>((K80*F80)+M80)/(1-pconfig!$G$2-pconfig!$G$3-pconfig!$G$4)</f>
        <v>432.7228097</v>
      </c>
      <c r="P80" s="74">
        <f>K80*F80/(1-pconfig!$G$2-pconfig!$G$3-pconfig!$G$4)</f>
        <v>46.09138973</v>
      </c>
      <c r="Q80" s="74">
        <f>IFS(F80&lt;=pconfig!$B$12,P80*pconfig!$C$12,F80&lt;=pconfig!$B$13,P80*pconfig!$C$13,F80&lt;=pconfig!$B$14,P80*pconfig!$C$14,F80&lt;=pconfig!$B$15,P80*pconfig!$C$15,F80&lt;=pconfig!$B$16,P80*pconfig!$C$16,F80&lt;=pconfig!$B$17,P80*pconfig!$C$17,F80&lt;=pconfig!$B$18,P80*pconfig!$C$18,F80&lt;=pconfig!$B$19,P80*pconfig!$C$19,F80&lt;=pconfig!$B$20,P80*pconfig!$C$20,F80&lt;=pconfig!$B$21,P80*pconfig!$C$21)</f>
        <v>46.09138973</v>
      </c>
      <c r="R80" s="76">
        <f t="shared" si="2"/>
        <v>432.7228097</v>
      </c>
    </row>
    <row r="81" ht="22.5" hidden="1" customHeight="1">
      <c r="A81" s="78">
        <f t="shared" si="3"/>
        <v>80</v>
      </c>
      <c r="B81" s="79" t="s">
        <v>716</v>
      </c>
      <c r="C81" s="79" t="s">
        <v>101</v>
      </c>
      <c r="D81" s="80" t="s">
        <v>102</v>
      </c>
      <c r="E81" s="79" t="str">
        <f t="shared" si="1"/>
        <v>BREU BRANCOSATELITE</v>
      </c>
      <c r="F81" s="81">
        <v>1.0</v>
      </c>
      <c r="G81" s="79" t="s">
        <v>128</v>
      </c>
      <c r="H81" s="81" t="str">
        <f t="array" ref="H81">XLOOKUP(B81,municipios,regiao!$D$6:$D$150,0)</f>
        <v>NÃO</v>
      </c>
      <c r="I81" s="79" t="s">
        <v>717</v>
      </c>
      <c r="J81" s="82" t="s">
        <v>106</v>
      </c>
      <c r="K81" s="83">
        <v>4799.0</v>
      </c>
      <c r="L81" s="85">
        <f>K81/(1-pconfig!$G$2-pconfig!$G$3-pconfig!$G$4)</f>
        <v>9061.555891</v>
      </c>
      <c r="M81" s="83">
        <v>204.76</v>
      </c>
      <c r="N81" s="83">
        <f>M81/(1-pconfig!$G$2-pconfig!$G$3-pconfig!$G$4)</f>
        <v>386.6314199</v>
      </c>
      <c r="O81" s="83">
        <f>((K81*F81)+M81)/(1-pconfig!$G$2-pconfig!$G$3-pconfig!$G$4)</f>
        <v>9448.187311</v>
      </c>
      <c r="P81" s="86">
        <f>K81*F81/(1-pconfig!$G$2-pconfig!$G$3-pconfig!$G$4)</f>
        <v>9061.555891</v>
      </c>
      <c r="Q81" s="86">
        <f>IFS(F81&lt;=pconfig!$B$12,P81*pconfig!$C$12,F81&lt;=pconfig!$B$13,P81*pconfig!$C$13,F81&lt;=pconfig!$B$14,P81*pconfig!$C$14,F81&lt;=pconfig!$B$15,P81*pconfig!$C$15,F81&lt;=pconfig!$B$16,P81*pconfig!$C$16,F81&lt;=pconfig!$B$17,P81*pconfig!$C$17,F81&lt;=pconfig!$B$18,P81*pconfig!$C$18,F81&lt;=pconfig!$B$19,P81*pconfig!$C$19,F81&lt;=pconfig!$B$20,P81*pconfig!$C$20,F81&lt;=pconfig!$B$21,P81*pconfig!$C$21)</f>
        <v>9061.555891</v>
      </c>
      <c r="R81" s="87">
        <f t="shared" si="2"/>
        <v>9448.187311</v>
      </c>
    </row>
    <row r="82" ht="22.5" hidden="1" customHeight="1">
      <c r="A82" s="52">
        <f t="shared" si="3"/>
        <v>81</v>
      </c>
      <c r="B82" s="154" t="s">
        <v>716</v>
      </c>
      <c r="C82" s="53" t="s">
        <v>59</v>
      </c>
      <c r="D82" s="56" t="s">
        <v>60</v>
      </c>
      <c r="E82" s="53" t="str">
        <f t="shared" si="1"/>
        <v>BREU BRANCORADIO</v>
      </c>
      <c r="F82" s="59">
        <v>1.0</v>
      </c>
      <c r="G82" s="53" t="s">
        <v>128</v>
      </c>
      <c r="H82" s="59" t="str">
        <f t="array" ref="H82">XLOOKUP(B82,municipios,regiao!$D$6:$D$150,0)</f>
        <v>NÃO</v>
      </c>
      <c r="I82" s="53" t="s">
        <v>717</v>
      </c>
      <c r="J82" s="60" t="s">
        <v>624</v>
      </c>
      <c r="K82" s="61">
        <v>24.41</v>
      </c>
      <c r="L82" s="70">
        <f>K82/(1-pconfig!$G$2-pconfig!$G$3-pconfig!$G$4)</f>
        <v>46.09138973</v>
      </c>
      <c r="M82" s="61">
        <v>333.333333333333</v>
      </c>
      <c r="N82" s="61">
        <f>M82/(1-pconfig!$G$2-pconfig!$G$3-pconfig!$G$4)</f>
        <v>629.4058409</v>
      </c>
      <c r="O82" s="61">
        <f>((K82*F82)+M82)/(1-pconfig!$G$2-pconfig!$G$3-pconfig!$G$4)</f>
        <v>675.4972306</v>
      </c>
      <c r="P82" s="74">
        <f>K82*F82/(1-pconfig!$G$2-pconfig!$G$3-pconfig!$G$4)</f>
        <v>46.09138973</v>
      </c>
      <c r="Q82" s="74">
        <f>IFS(F82&lt;=pconfig!$B$12,P82*pconfig!$C$12,F82&lt;=pconfig!$B$13,P82*pconfig!$C$13,F82&lt;=pconfig!$B$14,P82*pconfig!$C$14,F82&lt;=pconfig!$B$15,P82*pconfig!$C$15,F82&lt;=pconfig!$B$16,P82*pconfig!$C$16,F82&lt;=pconfig!$B$17,P82*pconfig!$C$17,F82&lt;=pconfig!$B$18,P82*pconfig!$C$18,F82&lt;=pconfig!$B$19,P82*pconfig!$C$19,F82&lt;=pconfig!$B$20,P82*pconfig!$C$20,F82&lt;=pconfig!$B$21,P82*pconfig!$C$21)</f>
        <v>46.09138973</v>
      </c>
      <c r="R82" s="76">
        <f t="shared" si="2"/>
        <v>675.4972306</v>
      </c>
    </row>
    <row r="83" ht="22.5" hidden="1" customHeight="1">
      <c r="A83" s="78">
        <f t="shared" si="3"/>
        <v>82</v>
      </c>
      <c r="B83" s="79" t="s">
        <v>719</v>
      </c>
      <c r="C83" s="79" t="s">
        <v>59</v>
      </c>
      <c r="D83" s="80" t="s">
        <v>60</v>
      </c>
      <c r="E83" s="79" t="str">
        <f t="shared" si="1"/>
        <v>BREVESRADIO</v>
      </c>
      <c r="F83" s="81">
        <v>1.0</v>
      </c>
      <c r="G83" s="79" t="s">
        <v>258</v>
      </c>
      <c r="H83" s="81" t="str">
        <f t="array" ref="H83">XLOOKUP(B83,municipios,regiao!$D$6:$D$150,0)</f>
        <v>SIM</v>
      </c>
      <c r="I83" s="79" t="s">
        <v>258</v>
      </c>
      <c r="J83" s="82" t="s">
        <v>259</v>
      </c>
      <c r="K83" s="83">
        <v>35.73</v>
      </c>
      <c r="L83" s="85">
        <f>K83/(1-pconfig!$G$2-pconfig!$G$3-pconfig!$G$4)</f>
        <v>67.46601208</v>
      </c>
      <c r="M83" s="83">
        <v>106.693333333333</v>
      </c>
      <c r="N83" s="83">
        <f>M83/(1-pconfig!$G$2-pconfig!$G$3-pconfig!$G$4)</f>
        <v>201.4602216</v>
      </c>
      <c r="O83" s="83">
        <f>((K83*F83)+M83)/(1-pconfig!$G$2-pconfig!$G$3-pconfig!$G$4)</f>
        <v>268.9262336</v>
      </c>
      <c r="P83" s="86">
        <f>K83*F83/(1-pconfig!$G$2-pconfig!$G$3-pconfig!$G$4)</f>
        <v>67.46601208</v>
      </c>
      <c r="Q83" s="86">
        <f>IFS(F83&lt;=pconfig!$B$12,P83*pconfig!$C$12,F83&lt;=pconfig!$B$13,P83*pconfig!$C$13,F83&lt;=pconfig!$B$14,P83*pconfig!$C$14,F83&lt;=pconfig!$B$15,P83*pconfig!$C$15,F83&lt;=pconfig!$B$16,P83*pconfig!$C$16,F83&lt;=pconfig!$B$17,P83*pconfig!$C$17,F83&lt;=pconfig!$B$18,P83*pconfig!$C$18,F83&lt;=pconfig!$B$19,P83*pconfig!$C$19,F83&lt;=pconfig!$B$20,P83*pconfig!$C$20,F83&lt;=pconfig!$B$21,P83*pconfig!$C$21)</f>
        <v>67.46601208</v>
      </c>
      <c r="R83" s="87">
        <f t="shared" si="2"/>
        <v>268.9262336</v>
      </c>
    </row>
    <row r="84" ht="22.5" hidden="1" customHeight="1">
      <c r="A84" s="52">
        <f t="shared" si="3"/>
        <v>83</v>
      </c>
      <c r="B84" s="53" t="s">
        <v>719</v>
      </c>
      <c r="C84" s="53" t="s">
        <v>50</v>
      </c>
      <c r="D84" s="56" t="s">
        <v>82</v>
      </c>
      <c r="E84" s="53" t="str">
        <f t="shared" si="1"/>
        <v>BREVESFIBRA</v>
      </c>
      <c r="F84" s="59">
        <v>1.0</v>
      </c>
      <c r="G84" s="53" t="s">
        <v>258</v>
      </c>
      <c r="H84" s="59" t="str">
        <f t="array" ref="H84">XLOOKUP(B84,municipios,regiao!$D$6:$D$150,0)</f>
        <v>SIM</v>
      </c>
      <c r="I84" s="53" t="s">
        <v>258</v>
      </c>
      <c r="J84" s="60" t="s">
        <v>259</v>
      </c>
      <c r="K84" s="61">
        <v>35.73</v>
      </c>
      <c r="L84" s="70">
        <f>K84/(1-pconfig!$G$2-pconfig!$G$3-pconfig!$G$4)</f>
        <v>67.46601208</v>
      </c>
      <c r="M84" s="61">
        <v>519.17</v>
      </c>
      <c r="N84" s="61">
        <f>M84/(1-pconfig!$G$2-pconfig!$G$3-pconfig!$G$4)</f>
        <v>980.3058912</v>
      </c>
      <c r="O84" s="61">
        <f>((K84*F84)+M84)/(1-pconfig!$G$2-pconfig!$G$3-pconfig!$G$4)</f>
        <v>1047.771903</v>
      </c>
      <c r="P84" s="74">
        <f>K84*F84/(1-pconfig!$G$2-pconfig!$G$3-pconfig!$G$4)</f>
        <v>67.46601208</v>
      </c>
      <c r="Q84" s="74">
        <f>IFS(F84&lt;=pconfig!$B$12,P84*pconfig!$C$12,F84&lt;=pconfig!$B$13,P84*pconfig!$C$13,F84&lt;=pconfig!$B$14,P84*pconfig!$C$14,F84&lt;=pconfig!$B$15,P84*pconfig!$C$15,F84&lt;=pconfig!$B$16,P84*pconfig!$C$16,F84&lt;=pconfig!$B$17,P84*pconfig!$C$17,F84&lt;=pconfig!$B$18,P84*pconfig!$C$18,F84&lt;=pconfig!$B$19,P84*pconfig!$C$19,F84&lt;=pconfig!$B$20,P84*pconfig!$C$20,F84&lt;=pconfig!$B$21,P84*pconfig!$C$21)</f>
        <v>67.46601208</v>
      </c>
      <c r="R84" s="76">
        <f t="shared" si="2"/>
        <v>1047.771903</v>
      </c>
    </row>
    <row r="85" ht="22.5" hidden="1" customHeight="1">
      <c r="A85" s="78">
        <f t="shared" si="3"/>
        <v>84</v>
      </c>
      <c r="B85" s="79" t="s">
        <v>719</v>
      </c>
      <c r="C85" s="79" t="s">
        <v>101</v>
      </c>
      <c r="D85" s="80" t="s">
        <v>102</v>
      </c>
      <c r="E85" s="79" t="str">
        <f t="shared" si="1"/>
        <v>BREVESSATELITE</v>
      </c>
      <c r="F85" s="81">
        <v>1.0</v>
      </c>
      <c r="G85" s="79" t="s">
        <v>258</v>
      </c>
      <c r="H85" s="81" t="str">
        <f t="array" ref="H85">XLOOKUP(B85,municipios,regiao!$D$6:$D$150,0)</f>
        <v>SIM</v>
      </c>
      <c r="I85" s="79" t="s">
        <v>258</v>
      </c>
      <c r="J85" s="82" t="s">
        <v>106</v>
      </c>
      <c r="K85" s="83">
        <v>4799.0</v>
      </c>
      <c r="L85" s="85">
        <f>K85/(1-pconfig!$G$2-pconfig!$G$3-pconfig!$G$4)</f>
        <v>9061.555891</v>
      </c>
      <c r="M85" s="83">
        <v>519.17</v>
      </c>
      <c r="N85" s="83">
        <f>M85/(1-pconfig!$G$2-pconfig!$G$3-pconfig!$G$4)</f>
        <v>980.3058912</v>
      </c>
      <c r="O85" s="83">
        <f>((K85*F85)+M85)/(1-pconfig!$G$2-pconfig!$G$3-pconfig!$G$4)</f>
        <v>10041.86178</v>
      </c>
      <c r="P85" s="86">
        <f>K85*F85/(1-pconfig!$G$2-pconfig!$G$3-pconfig!$G$4)</f>
        <v>9061.555891</v>
      </c>
      <c r="Q85" s="86">
        <f>IFS(F85&lt;=pconfig!$B$12,P85*pconfig!$C$12,F85&lt;=pconfig!$B$13,P85*pconfig!$C$13,F85&lt;=pconfig!$B$14,P85*pconfig!$C$14,F85&lt;=pconfig!$B$15,P85*pconfig!$C$15,F85&lt;=pconfig!$B$16,P85*pconfig!$C$16,F85&lt;=pconfig!$B$17,P85*pconfig!$C$17,F85&lt;=pconfig!$B$18,P85*pconfig!$C$18,F85&lt;=pconfig!$B$19,P85*pconfig!$C$19,F85&lt;=pconfig!$B$20,P85*pconfig!$C$20,F85&lt;=pconfig!$B$21,P85*pconfig!$C$21)</f>
        <v>9061.555891</v>
      </c>
      <c r="R85" s="87">
        <f t="shared" si="2"/>
        <v>10041.86178</v>
      </c>
    </row>
    <row r="86" ht="22.5" hidden="1" customHeight="1">
      <c r="A86" s="52">
        <f t="shared" si="3"/>
        <v>85</v>
      </c>
      <c r="B86" s="53" t="s">
        <v>728</v>
      </c>
      <c r="C86" s="53" t="s">
        <v>50</v>
      </c>
      <c r="D86" s="56" t="s">
        <v>82</v>
      </c>
      <c r="E86" s="53" t="str">
        <f t="shared" si="1"/>
        <v>BUJARUFIBRA</v>
      </c>
      <c r="F86" s="59">
        <v>1.0</v>
      </c>
      <c r="G86" s="53" t="s">
        <v>411</v>
      </c>
      <c r="H86" s="59" t="str">
        <f t="array" ref="H86">XLOOKUP(B86,municipios,regiao!$D$6:$D$150,0)</f>
        <v>SIM</v>
      </c>
      <c r="I86" s="53" t="s">
        <v>132</v>
      </c>
      <c r="J86" s="60" t="s">
        <v>624</v>
      </c>
      <c r="K86" s="61">
        <v>24.41</v>
      </c>
      <c r="L86" s="70">
        <f>K86/(1-pconfig!$G$2-pconfig!$G$3-pconfig!$G$4)</f>
        <v>46.09138973</v>
      </c>
      <c r="M86" s="61">
        <v>63.39</v>
      </c>
      <c r="N86" s="61">
        <f>M86/(1-pconfig!$G$2-pconfig!$G$3-pconfig!$G$4)</f>
        <v>119.6941088</v>
      </c>
      <c r="O86" s="61">
        <f>((K86*F86)+M86)/(1-pconfig!$G$2-pconfig!$G$3-pconfig!$G$4)</f>
        <v>165.7854985</v>
      </c>
      <c r="P86" s="74">
        <f>K86*F86/(1-pconfig!$G$2-pconfig!$G$3-pconfig!$G$4)</f>
        <v>46.09138973</v>
      </c>
      <c r="Q86" s="74">
        <f>IFS(F86&lt;=pconfig!$B$12,P86*pconfig!$C$12,F86&lt;=pconfig!$B$13,P86*pconfig!$C$13,F86&lt;=pconfig!$B$14,P86*pconfig!$C$14,F86&lt;=pconfig!$B$15,P86*pconfig!$C$15,F86&lt;=pconfig!$B$16,P86*pconfig!$C$16,F86&lt;=pconfig!$B$17,P86*pconfig!$C$17,F86&lt;=pconfig!$B$18,P86*pconfig!$C$18,F86&lt;=pconfig!$B$19,P86*pconfig!$C$19,F86&lt;=pconfig!$B$20,P86*pconfig!$C$20,F86&lt;=pconfig!$B$21,P86*pconfig!$C$21)</f>
        <v>46.09138973</v>
      </c>
      <c r="R86" s="76">
        <f t="shared" si="2"/>
        <v>165.7854985</v>
      </c>
    </row>
    <row r="87" ht="22.5" hidden="1" customHeight="1">
      <c r="A87" s="78">
        <f t="shared" si="3"/>
        <v>86</v>
      </c>
      <c r="B87" s="79" t="s">
        <v>728</v>
      </c>
      <c r="C87" s="79" t="s">
        <v>101</v>
      </c>
      <c r="D87" s="80" t="s">
        <v>102</v>
      </c>
      <c r="E87" s="79" t="str">
        <f t="shared" si="1"/>
        <v>BUJARUSATELITE</v>
      </c>
      <c r="F87" s="81">
        <v>1.0</v>
      </c>
      <c r="G87" s="79" t="s">
        <v>411</v>
      </c>
      <c r="H87" s="81" t="str">
        <f t="array" ref="H87">XLOOKUP(B87,municipios,regiao!$D$6:$D$150,0)</f>
        <v>SIM</v>
      </c>
      <c r="I87" s="79" t="s">
        <v>132</v>
      </c>
      <c r="J87" s="82" t="s">
        <v>106</v>
      </c>
      <c r="K87" s="83">
        <v>4799.0</v>
      </c>
      <c r="L87" s="85">
        <f>K87/(1-pconfig!$G$2-pconfig!$G$3-pconfig!$G$4)</f>
        <v>9061.555891</v>
      </c>
      <c r="M87" s="83">
        <v>63.39</v>
      </c>
      <c r="N87" s="83">
        <f>M87/(1-pconfig!$G$2-pconfig!$G$3-pconfig!$G$4)</f>
        <v>119.6941088</v>
      </c>
      <c r="O87" s="83">
        <f>((K87*F87)+M87)/(1-pconfig!$G$2-pconfig!$G$3-pconfig!$G$4)</f>
        <v>9181.25</v>
      </c>
      <c r="P87" s="86">
        <f>K87*F87/(1-pconfig!$G$2-pconfig!$G$3-pconfig!$G$4)</f>
        <v>9061.555891</v>
      </c>
      <c r="Q87" s="86">
        <f>IFS(F87&lt;=pconfig!$B$12,P87*pconfig!$C$12,F87&lt;=pconfig!$B$13,P87*pconfig!$C$13,F87&lt;=pconfig!$B$14,P87*pconfig!$C$14,F87&lt;=pconfig!$B$15,P87*pconfig!$C$15,F87&lt;=pconfig!$B$16,P87*pconfig!$C$16,F87&lt;=pconfig!$B$17,P87*pconfig!$C$17,F87&lt;=pconfig!$B$18,P87*pconfig!$C$18,F87&lt;=pconfig!$B$19,P87*pconfig!$C$19,F87&lt;=pconfig!$B$20,P87*pconfig!$C$20,F87&lt;=pconfig!$B$21,P87*pconfig!$C$21)</f>
        <v>9061.555891</v>
      </c>
      <c r="R87" s="87">
        <f t="shared" si="2"/>
        <v>9181.25</v>
      </c>
    </row>
    <row r="88" ht="22.5" hidden="1" customHeight="1">
      <c r="A88" s="52">
        <f t="shared" si="3"/>
        <v>87</v>
      </c>
      <c r="B88" s="53" t="s">
        <v>728</v>
      </c>
      <c r="C88" s="53" t="s">
        <v>59</v>
      </c>
      <c r="D88" s="56" t="s">
        <v>60</v>
      </c>
      <c r="E88" s="53" t="str">
        <f t="shared" si="1"/>
        <v>BUJARURADIO</v>
      </c>
      <c r="F88" s="59">
        <v>1.0</v>
      </c>
      <c r="G88" s="53" t="s">
        <v>411</v>
      </c>
      <c r="H88" s="59" t="str">
        <f t="array" ref="H88">XLOOKUP(B88,municipios,regiao!$D$6:$D$150,0)</f>
        <v>SIM</v>
      </c>
      <c r="I88" s="53" t="s">
        <v>132</v>
      </c>
      <c r="J88" s="60" t="s">
        <v>624</v>
      </c>
      <c r="K88" s="61">
        <v>24.41</v>
      </c>
      <c r="L88" s="70">
        <f>K88/(1-pconfig!$G$2-pconfig!$G$3-pconfig!$G$4)</f>
        <v>46.09138973</v>
      </c>
      <c r="M88" s="61">
        <v>137.604166666667</v>
      </c>
      <c r="N88" s="61">
        <f>M88/(1-pconfig!$G$2-pconfig!$G$3-pconfig!$G$4)</f>
        <v>259.8265987</v>
      </c>
      <c r="O88" s="61">
        <f>((K88*F88)+M88)/(1-pconfig!$G$2-pconfig!$G$3-pconfig!$G$4)</f>
        <v>305.9179884</v>
      </c>
      <c r="P88" s="74">
        <f>K88*F88/(1-pconfig!$G$2-pconfig!$G$3-pconfig!$G$4)</f>
        <v>46.09138973</v>
      </c>
      <c r="Q88" s="74">
        <f>IFS(F88&lt;=pconfig!$B$12,P88*pconfig!$C$12,F88&lt;=pconfig!$B$13,P88*pconfig!$C$13,F88&lt;=pconfig!$B$14,P88*pconfig!$C$14,F88&lt;=pconfig!$B$15,P88*pconfig!$C$15,F88&lt;=pconfig!$B$16,P88*pconfig!$C$16,F88&lt;=pconfig!$B$17,P88*pconfig!$C$17,F88&lt;=pconfig!$B$18,P88*pconfig!$C$18,F88&lt;=pconfig!$B$19,P88*pconfig!$C$19,F88&lt;=pconfig!$B$20,P88*pconfig!$C$20,F88&lt;=pconfig!$B$21,P88*pconfig!$C$21)</f>
        <v>46.09138973</v>
      </c>
      <c r="R88" s="76">
        <f t="shared" si="2"/>
        <v>305.9179884</v>
      </c>
    </row>
    <row r="89" ht="22.5" hidden="1" customHeight="1">
      <c r="A89" s="78">
        <f t="shared" si="3"/>
        <v>88</v>
      </c>
      <c r="B89" s="79" t="s">
        <v>739</v>
      </c>
      <c r="C89" s="79" t="s">
        <v>59</v>
      </c>
      <c r="D89" s="80" t="s">
        <v>60</v>
      </c>
      <c r="E89" s="79" t="str">
        <f t="shared" si="1"/>
        <v>CACHOEIRA DO ARARIRADIO</v>
      </c>
      <c r="F89" s="81">
        <v>1.0</v>
      </c>
      <c r="G89" s="79" t="s">
        <v>258</v>
      </c>
      <c r="H89" s="81" t="str">
        <f t="array" ref="H89">XLOOKUP(B89,municipios,regiao!$D$6:$D$150,0)</f>
        <v>NÃO</v>
      </c>
      <c r="I89" s="79" t="s">
        <v>258</v>
      </c>
      <c r="J89" s="82" t="s">
        <v>259</v>
      </c>
      <c r="K89" s="83">
        <v>35.73</v>
      </c>
      <c r="L89" s="85">
        <f>K89/(1-pconfig!$G$2-pconfig!$G$3-pconfig!$G$4)</f>
        <v>67.46601208</v>
      </c>
      <c r="M89" s="83">
        <v>138.285</v>
      </c>
      <c r="N89" s="83">
        <f>M89/(1-pconfig!$G$2-pconfig!$G$3-pconfig!$G$4)</f>
        <v>261.1121601</v>
      </c>
      <c r="O89" s="83">
        <f>((K89*F89)+M89)/(1-pconfig!$G$2-pconfig!$G$3-pconfig!$G$4)</f>
        <v>328.5781722</v>
      </c>
      <c r="P89" s="86">
        <f>K89*F89/(1-pconfig!$G$2-pconfig!$G$3-pconfig!$G$4)</f>
        <v>67.46601208</v>
      </c>
      <c r="Q89" s="86">
        <f>IFS(F89&lt;=pconfig!$B$12,P89*pconfig!$C$12,F89&lt;=pconfig!$B$13,P89*pconfig!$C$13,F89&lt;=pconfig!$B$14,P89*pconfig!$C$14,F89&lt;=pconfig!$B$15,P89*pconfig!$C$15,F89&lt;=pconfig!$B$16,P89*pconfig!$C$16,F89&lt;=pconfig!$B$17,P89*pconfig!$C$17,F89&lt;=pconfig!$B$18,P89*pconfig!$C$18,F89&lt;=pconfig!$B$19,P89*pconfig!$C$19,F89&lt;=pconfig!$B$20,P89*pconfig!$C$20,F89&lt;=pconfig!$B$21,P89*pconfig!$C$21)</f>
        <v>67.46601208</v>
      </c>
      <c r="R89" s="87">
        <f t="shared" si="2"/>
        <v>328.5781722</v>
      </c>
    </row>
    <row r="90" ht="22.5" hidden="1" customHeight="1">
      <c r="A90" s="52">
        <f t="shared" si="3"/>
        <v>89</v>
      </c>
      <c r="B90" s="53" t="s">
        <v>739</v>
      </c>
      <c r="C90" s="53" t="s">
        <v>50</v>
      </c>
      <c r="D90" s="56" t="s">
        <v>82</v>
      </c>
      <c r="E90" s="53" t="str">
        <f t="shared" si="1"/>
        <v>CACHOEIRA DO ARARIFIBRA</v>
      </c>
      <c r="F90" s="59">
        <v>1.0</v>
      </c>
      <c r="G90" s="53" t="s">
        <v>258</v>
      </c>
      <c r="H90" s="59" t="str">
        <f t="array" ref="H90">XLOOKUP(B90,municipios,regiao!$D$6:$D$150,0)</f>
        <v>NÃO</v>
      </c>
      <c r="I90" s="53" t="s">
        <v>258</v>
      </c>
      <c r="J90" s="60" t="s">
        <v>259</v>
      </c>
      <c r="K90" s="61">
        <v>35.73</v>
      </c>
      <c r="L90" s="70">
        <f>K90/(1-pconfig!$G$2-pconfig!$G$3-pconfig!$G$4)</f>
        <v>67.46601208</v>
      </c>
      <c r="M90" s="61">
        <v>519.17</v>
      </c>
      <c r="N90" s="61">
        <f>M90/(1-pconfig!$G$2-pconfig!$G$3-pconfig!$G$4)</f>
        <v>980.3058912</v>
      </c>
      <c r="O90" s="61">
        <f>((K90*F90)+M90)/(1-pconfig!$G$2-pconfig!$G$3-pconfig!$G$4)</f>
        <v>1047.771903</v>
      </c>
      <c r="P90" s="74">
        <f>K90*F90/(1-pconfig!$G$2-pconfig!$G$3-pconfig!$G$4)</f>
        <v>67.46601208</v>
      </c>
      <c r="Q90" s="74">
        <f>IFS(F90&lt;=pconfig!$B$12,P90*pconfig!$C$12,F90&lt;=pconfig!$B$13,P90*pconfig!$C$13,F90&lt;=pconfig!$B$14,P90*pconfig!$C$14,F90&lt;=pconfig!$B$15,P90*pconfig!$C$15,F90&lt;=pconfig!$B$16,P90*pconfig!$C$16,F90&lt;=pconfig!$B$17,P90*pconfig!$C$17,F90&lt;=pconfig!$B$18,P90*pconfig!$C$18,F90&lt;=pconfig!$B$19,P90*pconfig!$C$19,F90&lt;=pconfig!$B$20,P90*pconfig!$C$20,F90&lt;=pconfig!$B$21,P90*pconfig!$C$21)</f>
        <v>67.46601208</v>
      </c>
      <c r="R90" s="76">
        <f t="shared" si="2"/>
        <v>1047.771903</v>
      </c>
    </row>
    <row r="91" ht="22.5" hidden="1" customHeight="1">
      <c r="A91" s="78">
        <f t="shared" si="3"/>
        <v>90</v>
      </c>
      <c r="B91" s="79" t="s">
        <v>739</v>
      </c>
      <c r="C91" s="79" t="s">
        <v>101</v>
      </c>
      <c r="D91" s="80" t="s">
        <v>102</v>
      </c>
      <c r="E91" s="79" t="str">
        <f t="shared" si="1"/>
        <v>CACHOEIRA DO ARARISATELITE</v>
      </c>
      <c r="F91" s="81">
        <v>1.0</v>
      </c>
      <c r="G91" s="79" t="s">
        <v>258</v>
      </c>
      <c r="H91" s="81" t="str">
        <f t="array" ref="H91">XLOOKUP(B91,municipios,regiao!$D$6:$D$150,0)</f>
        <v>NÃO</v>
      </c>
      <c r="I91" s="79" t="s">
        <v>258</v>
      </c>
      <c r="J91" s="82" t="s">
        <v>106</v>
      </c>
      <c r="K91" s="83">
        <v>4799.0</v>
      </c>
      <c r="L91" s="85">
        <f>K91/(1-pconfig!$G$2-pconfig!$G$3-pconfig!$G$4)</f>
        <v>9061.555891</v>
      </c>
      <c r="M91" s="83">
        <v>519.17</v>
      </c>
      <c r="N91" s="83">
        <f>M91/(1-pconfig!$G$2-pconfig!$G$3-pconfig!$G$4)</f>
        <v>980.3058912</v>
      </c>
      <c r="O91" s="83">
        <f>((K91*F91)+M91)/(1-pconfig!$G$2-pconfig!$G$3-pconfig!$G$4)</f>
        <v>10041.86178</v>
      </c>
      <c r="P91" s="86">
        <f>K91*F91/(1-pconfig!$G$2-pconfig!$G$3-pconfig!$G$4)</f>
        <v>9061.555891</v>
      </c>
      <c r="Q91" s="86">
        <f>IFS(F91&lt;=pconfig!$B$12,P91*pconfig!$C$12,F91&lt;=pconfig!$B$13,P91*pconfig!$C$13,F91&lt;=pconfig!$B$14,P91*pconfig!$C$14,F91&lt;=pconfig!$B$15,P91*pconfig!$C$15,F91&lt;=pconfig!$B$16,P91*pconfig!$C$16,F91&lt;=pconfig!$B$17,P91*pconfig!$C$17,F91&lt;=pconfig!$B$18,P91*pconfig!$C$18,F91&lt;=pconfig!$B$19,P91*pconfig!$C$19,F91&lt;=pconfig!$B$20,P91*pconfig!$C$20,F91&lt;=pconfig!$B$21,P91*pconfig!$C$21)</f>
        <v>9061.555891</v>
      </c>
      <c r="R91" s="87">
        <f t="shared" si="2"/>
        <v>10041.86178</v>
      </c>
    </row>
    <row r="92" ht="22.5" hidden="1" customHeight="1">
      <c r="A92" s="52">
        <f t="shared" si="3"/>
        <v>91</v>
      </c>
      <c r="B92" s="53" t="s">
        <v>744</v>
      </c>
      <c r="C92" s="53" t="s">
        <v>59</v>
      </c>
      <c r="D92" s="56" t="s">
        <v>60</v>
      </c>
      <c r="E92" s="53" t="str">
        <f t="shared" si="1"/>
        <v>CACHOEIRA DO PIRIARADIO</v>
      </c>
      <c r="F92" s="59">
        <v>1.0</v>
      </c>
      <c r="G92" s="53" t="s">
        <v>61</v>
      </c>
      <c r="H92" s="59" t="str">
        <f t="array" ref="H92">XLOOKUP(B92,municipios,regiao!$D$6:$D$150,0)</f>
        <v>NÃO</v>
      </c>
      <c r="I92" s="53" t="s">
        <v>496</v>
      </c>
      <c r="J92" s="60" t="s">
        <v>337</v>
      </c>
      <c r="K92" s="61">
        <v>17.84</v>
      </c>
      <c r="L92" s="70">
        <f>K92/(1-pconfig!$G$2-pconfig!$G$3-pconfig!$G$4)</f>
        <v>33.6858006</v>
      </c>
      <c r="M92" s="61">
        <v>137.604166666667</v>
      </c>
      <c r="N92" s="61">
        <f>M92/(1-pconfig!$G$2-pconfig!$G$3-pconfig!$G$4)</f>
        <v>259.8265987</v>
      </c>
      <c r="O92" s="61">
        <f>((K92*F92)+M92)/(1-pconfig!$G$2-pconfig!$G$3-pconfig!$G$4)</f>
        <v>293.5123993</v>
      </c>
      <c r="P92" s="74">
        <f>K92*F92/(1-pconfig!$G$2-pconfig!$G$3-pconfig!$G$4)</f>
        <v>33.6858006</v>
      </c>
      <c r="Q92" s="74">
        <f>IFS(F92&lt;=pconfig!$B$12,P92*pconfig!$C$12,F92&lt;=pconfig!$B$13,P92*pconfig!$C$13,F92&lt;=pconfig!$B$14,P92*pconfig!$C$14,F92&lt;=pconfig!$B$15,P92*pconfig!$C$15,F92&lt;=pconfig!$B$16,P92*pconfig!$C$16,F92&lt;=pconfig!$B$17,P92*pconfig!$C$17,F92&lt;=pconfig!$B$18,P92*pconfig!$C$18,F92&lt;=pconfig!$B$19,P92*pconfig!$C$19,F92&lt;=pconfig!$B$20,P92*pconfig!$C$20,F92&lt;=pconfig!$B$21,P92*pconfig!$C$21)</f>
        <v>33.6858006</v>
      </c>
      <c r="R92" s="76">
        <f t="shared" si="2"/>
        <v>293.5123993</v>
      </c>
    </row>
    <row r="93" ht="22.5" hidden="1" customHeight="1">
      <c r="A93" s="78">
        <f t="shared" si="3"/>
        <v>92</v>
      </c>
      <c r="B93" s="79" t="s">
        <v>744</v>
      </c>
      <c r="C93" s="79" t="s">
        <v>50</v>
      </c>
      <c r="D93" s="80" t="s">
        <v>82</v>
      </c>
      <c r="E93" s="79" t="str">
        <f t="shared" si="1"/>
        <v>CACHOEIRA DO PIRIAFIBRA</v>
      </c>
      <c r="F93" s="81">
        <v>1.0</v>
      </c>
      <c r="G93" s="79" t="s">
        <v>61</v>
      </c>
      <c r="H93" s="81" t="str">
        <f t="array" ref="H93">XLOOKUP(B93,municipios,regiao!$D$6:$D$150,0)</f>
        <v>NÃO</v>
      </c>
      <c r="I93" s="79" t="s">
        <v>496</v>
      </c>
      <c r="J93" s="82" t="s">
        <v>337</v>
      </c>
      <c r="K93" s="83">
        <v>17.84</v>
      </c>
      <c r="L93" s="85">
        <f>K93/(1-pconfig!$G$2-pconfig!$G$3-pconfig!$G$4)</f>
        <v>33.6858006</v>
      </c>
      <c r="M93" s="83">
        <v>406.12</v>
      </c>
      <c r="N93" s="83">
        <f>M93/(1-pconfig!$G$2-pconfig!$G$3-pconfig!$G$4)</f>
        <v>766.8429003</v>
      </c>
      <c r="O93" s="83">
        <f>((K93*F93)+M93)/(1-pconfig!$G$2-pconfig!$G$3-pconfig!$G$4)</f>
        <v>800.5287009</v>
      </c>
      <c r="P93" s="86">
        <f>K93*F93/(1-pconfig!$G$2-pconfig!$G$3-pconfig!$G$4)</f>
        <v>33.6858006</v>
      </c>
      <c r="Q93" s="86">
        <f>IFS(F93&lt;=pconfig!$B$12,P93*pconfig!$C$12,F93&lt;=pconfig!$B$13,P93*pconfig!$C$13,F93&lt;=pconfig!$B$14,P93*pconfig!$C$14,F93&lt;=pconfig!$B$15,P93*pconfig!$C$15,F93&lt;=pconfig!$B$16,P93*pconfig!$C$16,F93&lt;=pconfig!$B$17,P93*pconfig!$C$17,F93&lt;=pconfig!$B$18,P93*pconfig!$C$18,F93&lt;=pconfig!$B$19,P93*pconfig!$C$19,F93&lt;=pconfig!$B$20,P93*pconfig!$C$20,F93&lt;=pconfig!$B$21,P93*pconfig!$C$21)</f>
        <v>33.6858006</v>
      </c>
      <c r="R93" s="87">
        <f t="shared" si="2"/>
        <v>800.5287009</v>
      </c>
    </row>
    <row r="94" ht="22.5" hidden="1" customHeight="1">
      <c r="A94" s="52">
        <f t="shared" si="3"/>
        <v>93</v>
      </c>
      <c r="B94" s="53" t="s">
        <v>744</v>
      </c>
      <c r="C94" s="53" t="s">
        <v>101</v>
      </c>
      <c r="D94" s="56" t="s">
        <v>102</v>
      </c>
      <c r="E94" s="53" t="str">
        <f t="shared" si="1"/>
        <v>CACHOEIRA DO PIRIASATELITE</v>
      </c>
      <c r="F94" s="59">
        <v>1.0</v>
      </c>
      <c r="G94" s="53" t="s">
        <v>61</v>
      </c>
      <c r="H94" s="59" t="str">
        <f t="array" ref="H94">XLOOKUP(B94,municipios,regiao!$D$6:$D$150,0)</f>
        <v>NÃO</v>
      </c>
      <c r="I94" s="53" t="s">
        <v>496</v>
      </c>
      <c r="J94" s="60" t="s">
        <v>106</v>
      </c>
      <c r="K94" s="61">
        <v>4799.0</v>
      </c>
      <c r="L94" s="70">
        <f>K94/(1-pconfig!$G$2-pconfig!$G$3-pconfig!$G$4)</f>
        <v>9061.555891</v>
      </c>
      <c r="M94" s="61">
        <v>406.12</v>
      </c>
      <c r="N94" s="61">
        <f>M94/(1-pconfig!$G$2-pconfig!$G$3-pconfig!$G$4)</f>
        <v>766.8429003</v>
      </c>
      <c r="O94" s="61">
        <f>((K94*F94)+M94)/(1-pconfig!$G$2-pconfig!$G$3-pconfig!$G$4)</f>
        <v>9828.398792</v>
      </c>
      <c r="P94" s="74">
        <f>K94*F94/(1-pconfig!$G$2-pconfig!$G$3-pconfig!$G$4)</f>
        <v>9061.555891</v>
      </c>
      <c r="Q94" s="74">
        <f>IFS(F94&lt;=pconfig!$B$12,P94*pconfig!$C$12,F94&lt;=pconfig!$B$13,P94*pconfig!$C$13,F94&lt;=pconfig!$B$14,P94*pconfig!$C$14,F94&lt;=pconfig!$B$15,P94*pconfig!$C$15,F94&lt;=pconfig!$B$16,P94*pconfig!$C$16,F94&lt;=pconfig!$B$17,P94*pconfig!$C$17,F94&lt;=pconfig!$B$18,P94*pconfig!$C$18,F94&lt;=pconfig!$B$19,P94*pconfig!$C$19,F94&lt;=pconfig!$B$20,P94*pconfig!$C$20,F94&lt;=pconfig!$B$21,P94*pconfig!$C$21)</f>
        <v>9061.555891</v>
      </c>
      <c r="R94" s="76">
        <f t="shared" si="2"/>
        <v>9828.398792</v>
      </c>
    </row>
    <row r="95" ht="22.5" hidden="1" customHeight="1">
      <c r="A95" s="78">
        <f t="shared" si="3"/>
        <v>94</v>
      </c>
      <c r="B95" s="79" t="s">
        <v>748</v>
      </c>
      <c r="C95" s="79" t="s">
        <v>59</v>
      </c>
      <c r="D95" s="80" t="s">
        <v>60</v>
      </c>
      <c r="E95" s="79" t="str">
        <f t="shared" si="1"/>
        <v>CAMETARADIO</v>
      </c>
      <c r="F95" s="81">
        <v>1.0</v>
      </c>
      <c r="G95" s="79" t="s">
        <v>61</v>
      </c>
      <c r="H95" s="81" t="str">
        <f t="array" ref="H95">XLOOKUP(B95,municipios,regiao!$D$6:$D$150,0)</f>
        <v>SIM</v>
      </c>
      <c r="I95" s="79" t="s">
        <v>63</v>
      </c>
      <c r="J95" s="82" t="s">
        <v>235</v>
      </c>
      <c r="K95" s="83">
        <v>20.69</v>
      </c>
      <c r="L95" s="85">
        <f>K95/(1-pconfig!$G$2-pconfig!$G$3-pconfig!$G$4)</f>
        <v>39.06722054</v>
      </c>
      <c r="M95" s="83">
        <v>138.285</v>
      </c>
      <c r="N95" s="83">
        <f>M95/(1-pconfig!$G$2-pconfig!$G$3-pconfig!$G$4)</f>
        <v>261.1121601</v>
      </c>
      <c r="O95" s="83">
        <f>((K95*F95)+M95)/(1-pconfig!$G$2-pconfig!$G$3-pconfig!$G$4)</f>
        <v>300.1793807</v>
      </c>
      <c r="P95" s="86">
        <f>K95*F95/(1-pconfig!$G$2-pconfig!$G$3-pconfig!$G$4)</f>
        <v>39.06722054</v>
      </c>
      <c r="Q95" s="86">
        <f>IFS(F95&lt;=pconfig!$B$12,P95*pconfig!$C$12,F95&lt;=pconfig!$B$13,P95*pconfig!$C$13,F95&lt;=pconfig!$B$14,P95*pconfig!$C$14,F95&lt;=pconfig!$B$15,P95*pconfig!$C$15,F95&lt;=pconfig!$B$16,P95*pconfig!$C$16,F95&lt;=pconfig!$B$17,P95*pconfig!$C$17,F95&lt;=pconfig!$B$18,P95*pconfig!$C$18,F95&lt;=pconfig!$B$19,P95*pconfig!$C$19,F95&lt;=pconfig!$B$20,P95*pconfig!$C$20,F95&lt;=pconfig!$B$21,P95*pconfig!$C$21)</f>
        <v>39.06722054</v>
      </c>
      <c r="R95" s="87">
        <f t="shared" si="2"/>
        <v>300.1793807</v>
      </c>
    </row>
    <row r="96" ht="22.5" hidden="1" customHeight="1">
      <c r="A96" s="52">
        <f t="shared" si="3"/>
        <v>95</v>
      </c>
      <c r="B96" s="53" t="s">
        <v>748</v>
      </c>
      <c r="C96" s="53" t="s">
        <v>50</v>
      </c>
      <c r="D96" s="56" t="s">
        <v>82</v>
      </c>
      <c r="E96" s="53" t="str">
        <f t="shared" si="1"/>
        <v>CAMETAFIBRA</v>
      </c>
      <c r="F96" s="59">
        <v>1.0</v>
      </c>
      <c r="G96" s="53" t="s">
        <v>61</v>
      </c>
      <c r="H96" s="59" t="str">
        <f t="array" ref="H96">XLOOKUP(B96,municipios,regiao!$D$6:$D$150,0)</f>
        <v>SIM</v>
      </c>
      <c r="I96" s="53" t="s">
        <v>63</v>
      </c>
      <c r="J96" s="60" t="s">
        <v>235</v>
      </c>
      <c r="K96" s="61">
        <v>20.69</v>
      </c>
      <c r="L96" s="70">
        <f>K96/(1-pconfig!$G$2-pconfig!$G$3-pconfig!$G$4)</f>
        <v>39.06722054</v>
      </c>
      <c r="M96" s="61">
        <v>314.77</v>
      </c>
      <c r="N96" s="61">
        <f>M96/(1-pconfig!$G$2-pconfig!$G$3-pconfig!$G$4)</f>
        <v>594.3542296</v>
      </c>
      <c r="O96" s="61">
        <f>((K96*F96)+M96)/(1-pconfig!$G$2-pconfig!$G$3-pconfig!$G$4)</f>
        <v>633.4214502</v>
      </c>
      <c r="P96" s="74">
        <f>K96*F96/(1-pconfig!$G$2-pconfig!$G$3-pconfig!$G$4)</f>
        <v>39.06722054</v>
      </c>
      <c r="Q96" s="74">
        <f>IFS(F96&lt;=pconfig!$B$12,P96*pconfig!$C$12,F96&lt;=pconfig!$B$13,P96*pconfig!$C$13,F96&lt;=pconfig!$B$14,P96*pconfig!$C$14,F96&lt;=pconfig!$B$15,P96*pconfig!$C$15,F96&lt;=pconfig!$B$16,P96*pconfig!$C$16,F96&lt;=pconfig!$B$17,P96*pconfig!$C$17,F96&lt;=pconfig!$B$18,P96*pconfig!$C$18,F96&lt;=pconfig!$B$19,P96*pconfig!$C$19,F96&lt;=pconfig!$B$20,P96*pconfig!$C$20,F96&lt;=pconfig!$B$21,P96*pconfig!$C$21)</f>
        <v>39.06722054</v>
      </c>
      <c r="R96" s="76">
        <f t="shared" si="2"/>
        <v>633.4214502</v>
      </c>
    </row>
    <row r="97" ht="22.5" hidden="1" customHeight="1">
      <c r="A97" s="78">
        <f t="shared" si="3"/>
        <v>96</v>
      </c>
      <c r="B97" s="79" t="s">
        <v>748</v>
      </c>
      <c r="C97" s="79" t="s">
        <v>101</v>
      </c>
      <c r="D97" s="80" t="s">
        <v>102</v>
      </c>
      <c r="E97" s="79" t="str">
        <f t="shared" si="1"/>
        <v>CAMETASATELITE</v>
      </c>
      <c r="F97" s="81">
        <v>1.0</v>
      </c>
      <c r="G97" s="79" t="s">
        <v>61</v>
      </c>
      <c r="H97" s="81" t="str">
        <f t="array" ref="H97">XLOOKUP(B97,municipios,regiao!$D$6:$D$150,0)</f>
        <v>SIM</v>
      </c>
      <c r="I97" s="79" t="s">
        <v>63</v>
      </c>
      <c r="J97" s="82" t="s">
        <v>106</v>
      </c>
      <c r="K97" s="83">
        <v>4799.0</v>
      </c>
      <c r="L97" s="85">
        <f>K97/(1-pconfig!$G$2-pconfig!$G$3-pconfig!$G$4)</f>
        <v>9061.555891</v>
      </c>
      <c r="M97" s="83">
        <v>314.77</v>
      </c>
      <c r="N97" s="83">
        <f>M97/(1-pconfig!$G$2-pconfig!$G$3-pconfig!$G$4)</f>
        <v>594.3542296</v>
      </c>
      <c r="O97" s="83">
        <f>((K97*F97)+M97)/(1-pconfig!$G$2-pconfig!$G$3-pconfig!$G$4)</f>
        <v>9655.910121</v>
      </c>
      <c r="P97" s="86">
        <f>K97*F97/(1-pconfig!$G$2-pconfig!$G$3-pconfig!$G$4)</f>
        <v>9061.555891</v>
      </c>
      <c r="Q97" s="86">
        <f>IFS(F97&lt;=pconfig!$B$12,P97*pconfig!$C$12,F97&lt;=pconfig!$B$13,P97*pconfig!$C$13,F97&lt;=pconfig!$B$14,P97*pconfig!$C$14,F97&lt;=pconfig!$B$15,P97*pconfig!$C$15,F97&lt;=pconfig!$B$16,P97*pconfig!$C$16,F97&lt;=pconfig!$B$17,P97*pconfig!$C$17,F97&lt;=pconfig!$B$18,P97*pconfig!$C$18,F97&lt;=pconfig!$B$19,P97*pconfig!$C$19,F97&lt;=pconfig!$B$20,P97*pconfig!$C$20,F97&lt;=pconfig!$B$21,P97*pconfig!$C$21)</f>
        <v>9061.555891</v>
      </c>
      <c r="R97" s="87">
        <f t="shared" si="2"/>
        <v>9655.910121</v>
      </c>
    </row>
    <row r="98" ht="22.5" hidden="1" customHeight="1">
      <c r="A98" s="52">
        <f t="shared" si="3"/>
        <v>97</v>
      </c>
      <c r="B98" s="53" t="s">
        <v>761</v>
      </c>
      <c r="C98" s="53" t="s">
        <v>50</v>
      </c>
      <c r="D98" s="56" t="s">
        <v>82</v>
      </c>
      <c r="E98" s="53" t="str">
        <f t="shared" si="1"/>
        <v>CANAA DOS CARAJASFIBRA</v>
      </c>
      <c r="F98" s="59">
        <v>1.0</v>
      </c>
      <c r="G98" s="53" t="s">
        <v>128</v>
      </c>
      <c r="H98" s="59" t="str">
        <f t="array" ref="H98">XLOOKUP(B98,municipios,regiao!$D$6:$D$150,0)</f>
        <v>SIM</v>
      </c>
      <c r="I98" s="53" t="s">
        <v>695</v>
      </c>
      <c r="J98" s="60" t="s">
        <v>133</v>
      </c>
      <c r="K98" s="61">
        <v>29.29</v>
      </c>
      <c r="L98" s="70">
        <f>K98/(1-pconfig!$G$2-pconfig!$G$3-pconfig!$G$4)</f>
        <v>55.30589124</v>
      </c>
      <c r="M98" s="61">
        <v>56.88</v>
      </c>
      <c r="N98" s="61">
        <f>M98/(1-pconfig!$G$2-pconfig!$G$3-pconfig!$G$4)</f>
        <v>107.4018127</v>
      </c>
      <c r="O98" s="61">
        <f>((K98*F98)+M98)/(1-pconfig!$G$2-pconfig!$G$3-pconfig!$G$4)</f>
        <v>162.7077039</v>
      </c>
      <c r="P98" s="74">
        <f>K98*F98/(1-pconfig!$G$2-pconfig!$G$3-pconfig!$G$4)</f>
        <v>55.30589124</v>
      </c>
      <c r="Q98" s="74">
        <f>IFS(F98&lt;=pconfig!$B$12,P98*pconfig!$C$12,F98&lt;=pconfig!$B$13,P98*pconfig!$C$13,F98&lt;=pconfig!$B$14,P98*pconfig!$C$14,F98&lt;=pconfig!$B$15,P98*pconfig!$C$15,F98&lt;=pconfig!$B$16,P98*pconfig!$C$16,F98&lt;=pconfig!$B$17,P98*pconfig!$C$17,F98&lt;=pconfig!$B$18,P98*pconfig!$C$18,F98&lt;=pconfig!$B$19,P98*pconfig!$C$19,F98&lt;=pconfig!$B$20,P98*pconfig!$C$20,F98&lt;=pconfig!$B$21,P98*pconfig!$C$21)</f>
        <v>55.30589124</v>
      </c>
      <c r="R98" s="76">
        <f t="shared" si="2"/>
        <v>162.7077039</v>
      </c>
    </row>
    <row r="99" ht="22.5" hidden="1" customHeight="1">
      <c r="A99" s="78">
        <f t="shared" si="3"/>
        <v>98</v>
      </c>
      <c r="B99" s="79" t="s">
        <v>761</v>
      </c>
      <c r="C99" s="79" t="s">
        <v>101</v>
      </c>
      <c r="D99" s="80" t="s">
        <v>102</v>
      </c>
      <c r="E99" s="79" t="str">
        <f t="shared" si="1"/>
        <v>CANAA DOS CARAJASSATELITE</v>
      </c>
      <c r="F99" s="81">
        <v>1.0</v>
      </c>
      <c r="G99" s="79" t="s">
        <v>128</v>
      </c>
      <c r="H99" s="81" t="str">
        <f t="array" ref="H99">XLOOKUP(B99,municipios,regiao!$D$6:$D$150,0)</f>
        <v>SIM</v>
      </c>
      <c r="I99" s="79" t="s">
        <v>695</v>
      </c>
      <c r="J99" s="82" t="s">
        <v>106</v>
      </c>
      <c r="K99" s="83">
        <v>4799.0</v>
      </c>
      <c r="L99" s="85">
        <f>K99/(1-pconfig!$G$2-pconfig!$G$3-pconfig!$G$4)</f>
        <v>9061.555891</v>
      </c>
      <c r="M99" s="83">
        <v>56.88</v>
      </c>
      <c r="N99" s="83">
        <f>M99/(1-pconfig!$G$2-pconfig!$G$3-pconfig!$G$4)</f>
        <v>107.4018127</v>
      </c>
      <c r="O99" s="83">
        <f>((K99*F99)+M99)/(1-pconfig!$G$2-pconfig!$G$3-pconfig!$G$4)</f>
        <v>9168.957704</v>
      </c>
      <c r="P99" s="86">
        <f>K99*F99/(1-pconfig!$G$2-pconfig!$G$3-pconfig!$G$4)</f>
        <v>9061.555891</v>
      </c>
      <c r="Q99" s="86">
        <f>IFS(F99&lt;=pconfig!$B$12,P99*pconfig!$C$12,F99&lt;=pconfig!$B$13,P99*pconfig!$C$13,F99&lt;=pconfig!$B$14,P99*pconfig!$C$14,F99&lt;=pconfig!$B$15,P99*pconfig!$C$15,F99&lt;=pconfig!$B$16,P99*pconfig!$C$16,F99&lt;=pconfig!$B$17,P99*pconfig!$C$17,F99&lt;=pconfig!$B$18,P99*pconfig!$C$18,F99&lt;=pconfig!$B$19,P99*pconfig!$C$19,F99&lt;=pconfig!$B$20,P99*pconfig!$C$20,F99&lt;=pconfig!$B$21,P99*pconfig!$C$21)</f>
        <v>9061.555891</v>
      </c>
      <c r="R99" s="87">
        <f t="shared" si="2"/>
        <v>9168.957704</v>
      </c>
    </row>
    <row r="100" ht="22.5" hidden="1" customHeight="1">
      <c r="A100" s="52">
        <f t="shared" si="3"/>
        <v>99</v>
      </c>
      <c r="B100" s="53" t="s">
        <v>761</v>
      </c>
      <c r="C100" s="53" t="s">
        <v>59</v>
      </c>
      <c r="D100" s="56" t="s">
        <v>60</v>
      </c>
      <c r="E100" s="53" t="str">
        <f t="shared" si="1"/>
        <v>CANAA DOS CARAJASRADIO</v>
      </c>
      <c r="F100" s="59">
        <v>1.0</v>
      </c>
      <c r="G100" s="53" t="s">
        <v>128</v>
      </c>
      <c r="H100" s="59" t="str">
        <f t="array" ref="H100">XLOOKUP(B100,municipios,regiao!$D$6:$D$150,0)</f>
        <v>SIM</v>
      </c>
      <c r="I100" s="53" t="s">
        <v>695</v>
      </c>
      <c r="J100" s="60" t="s">
        <v>133</v>
      </c>
      <c r="K100" s="61">
        <v>29.29</v>
      </c>
      <c r="L100" s="70">
        <f>K100/(1-pconfig!$G$2-pconfig!$G$3-pconfig!$G$4)</f>
        <v>55.30589124</v>
      </c>
      <c r="M100" s="61">
        <v>333.333333333333</v>
      </c>
      <c r="N100" s="61">
        <f>M100/(1-pconfig!$G$2-pconfig!$G$3-pconfig!$G$4)</f>
        <v>629.4058409</v>
      </c>
      <c r="O100" s="61">
        <f>((K100*F100)+M100)/(1-pconfig!$G$2-pconfig!$G$3-pconfig!$G$4)</f>
        <v>684.7117321</v>
      </c>
      <c r="P100" s="74">
        <f>K100*F100/(1-pconfig!$G$2-pconfig!$G$3-pconfig!$G$4)</f>
        <v>55.30589124</v>
      </c>
      <c r="Q100" s="74">
        <f>IFS(F100&lt;=pconfig!$B$12,P100*pconfig!$C$12,F100&lt;=pconfig!$B$13,P100*pconfig!$C$13,F100&lt;=pconfig!$B$14,P100*pconfig!$C$14,F100&lt;=pconfig!$B$15,P100*pconfig!$C$15,F100&lt;=pconfig!$B$16,P100*pconfig!$C$16,F100&lt;=pconfig!$B$17,P100*pconfig!$C$17,F100&lt;=pconfig!$B$18,P100*pconfig!$C$18,F100&lt;=pconfig!$B$19,P100*pconfig!$C$19,F100&lt;=pconfig!$B$20,P100*pconfig!$C$20,F100&lt;=pconfig!$B$21,P100*pconfig!$C$21)</f>
        <v>55.30589124</v>
      </c>
      <c r="R100" s="76">
        <f t="shared" si="2"/>
        <v>684.7117321</v>
      </c>
    </row>
    <row r="101" ht="22.5" hidden="1" customHeight="1">
      <c r="A101" s="78">
        <f t="shared" si="3"/>
        <v>100</v>
      </c>
      <c r="B101" s="79" t="s">
        <v>769</v>
      </c>
      <c r="C101" s="79" t="s">
        <v>59</v>
      </c>
      <c r="D101" s="80" t="s">
        <v>60</v>
      </c>
      <c r="E101" s="79" t="str">
        <f t="shared" si="1"/>
        <v>CAPANEMARADIO</v>
      </c>
      <c r="F101" s="81">
        <v>1.0</v>
      </c>
      <c r="G101" s="79" t="s">
        <v>61</v>
      </c>
      <c r="H101" s="81" t="str">
        <f t="array" ref="H101">XLOOKUP(B101,municipios,regiao!$D$6:$D$150,0)</f>
        <v>SIM</v>
      </c>
      <c r="I101" s="79" t="s">
        <v>496</v>
      </c>
      <c r="J101" s="82" t="s">
        <v>416</v>
      </c>
      <c r="K101" s="83">
        <v>13.97</v>
      </c>
      <c r="L101" s="85">
        <f>K101/(1-pconfig!$G$2-pconfig!$G$3-pconfig!$G$4)</f>
        <v>26.37839879</v>
      </c>
      <c r="M101" s="83">
        <v>137.604166666667</v>
      </c>
      <c r="N101" s="83">
        <f>M101/(1-pconfig!$G$2-pconfig!$G$3-pconfig!$G$4)</f>
        <v>259.8265987</v>
      </c>
      <c r="O101" s="83">
        <f>((K101*F101)+M101)/(1-pconfig!$G$2-pconfig!$G$3-pconfig!$G$4)</f>
        <v>286.2049975</v>
      </c>
      <c r="P101" s="86">
        <f>K101*F101/(1-pconfig!$G$2-pconfig!$G$3-pconfig!$G$4)</f>
        <v>26.37839879</v>
      </c>
      <c r="Q101" s="86">
        <f>IFS(F101&lt;=pconfig!$B$12,P101*pconfig!$C$12,F101&lt;=pconfig!$B$13,P101*pconfig!$C$13,F101&lt;=pconfig!$B$14,P101*pconfig!$C$14,F101&lt;=pconfig!$B$15,P101*pconfig!$C$15,F101&lt;=pconfig!$B$16,P101*pconfig!$C$16,F101&lt;=pconfig!$B$17,P101*pconfig!$C$17,F101&lt;=pconfig!$B$18,P101*pconfig!$C$18,F101&lt;=pconfig!$B$19,P101*pconfig!$C$19,F101&lt;=pconfig!$B$20,P101*pconfig!$C$20,F101&lt;=pconfig!$B$21,P101*pconfig!$C$21)</f>
        <v>26.37839879</v>
      </c>
      <c r="R101" s="87">
        <f t="shared" si="2"/>
        <v>286.2049975</v>
      </c>
    </row>
    <row r="102" ht="22.5" hidden="1" customHeight="1">
      <c r="A102" s="52">
        <f t="shared" si="3"/>
        <v>101</v>
      </c>
      <c r="B102" s="53" t="s">
        <v>769</v>
      </c>
      <c r="C102" s="53" t="s">
        <v>50</v>
      </c>
      <c r="D102" s="56" t="s">
        <v>82</v>
      </c>
      <c r="E102" s="53" t="str">
        <f t="shared" si="1"/>
        <v>CAPANEMAFIBRA</v>
      </c>
      <c r="F102" s="59">
        <v>1.0</v>
      </c>
      <c r="G102" s="53" t="s">
        <v>61</v>
      </c>
      <c r="H102" s="59" t="str">
        <f t="array" ref="H102">XLOOKUP(B102,municipios,regiao!$D$6:$D$150,0)</f>
        <v>SIM</v>
      </c>
      <c r="I102" s="53" t="s">
        <v>496</v>
      </c>
      <c r="J102" s="60" t="s">
        <v>416</v>
      </c>
      <c r="K102" s="61">
        <v>13.97</v>
      </c>
      <c r="L102" s="70">
        <f>K102/(1-pconfig!$G$2-pconfig!$G$3-pconfig!$G$4)</f>
        <v>26.37839879</v>
      </c>
      <c r="M102" s="61">
        <v>406.12</v>
      </c>
      <c r="N102" s="61">
        <f>M102/(1-pconfig!$G$2-pconfig!$G$3-pconfig!$G$4)</f>
        <v>766.8429003</v>
      </c>
      <c r="O102" s="61">
        <f>((K102*F102)+M102)/(1-pconfig!$G$2-pconfig!$G$3-pconfig!$G$4)</f>
        <v>793.2212991</v>
      </c>
      <c r="P102" s="74">
        <f>K102*F102/(1-pconfig!$G$2-pconfig!$G$3-pconfig!$G$4)</f>
        <v>26.37839879</v>
      </c>
      <c r="Q102" s="74">
        <f>IFS(F102&lt;=pconfig!$B$12,P102*pconfig!$C$12,F102&lt;=pconfig!$B$13,P102*pconfig!$C$13,F102&lt;=pconfig!$B$14,P102*pconfig!$C$14,F102&lt;=pconfig!$B$15,P102*pconfig!$C$15,F102&lt;=pconfig!$B$16,P102*pconfig!$C$16,F102&lt;=pconfig!$B$17,P102*pconfig!$C$17,F102&lt;=pconfig!$B$18,P102*pconfig!$C$18,F102&lt;=pconfig!$B$19,P102*pconfig!$C$19,F102&lt;=pconfig!$B$20,P102*pconfig!$C$20,F102&lt;=pconfig!$B$21,P102*pconfig!$C$21)</f>
        <v>26.37839879</v>
      </c>
      <c r="R102" s="76">
        <f t="shared" si="2"/>
        <v>793.2212991</v>
      </c>
    </row>
    <row r="103" ht="22.5" hidden="1" customHeight="1">
      <c r="A103" s="78">
        <f t="shared" si="3"/>
        <v>102</v>
      </c>
      <c r="B103" s="79" t="s">
        <v>769</v>
      </c>
      <c r="C103" s="79" t="s">
        <v>101</v>
      </c>
      <c r="D103" s="80" t="s">
        <v>102</v>
      </c>
      <c r="E103" s="79" t="str">
        <f t="shared" si="1"/>
        <v>CAPANEMASATELITE</v>
      </c>
      <c r="F103" s="81">
        <v>1.0</v>
      </c>
      <c r="G103" s="79" t="s">
        <v>61</v>
      </c>
      <c r="H103" s="81" t="str">
        <f t="array" ref="H103">XLOOKUP(B103,municipios,regiao!$D$6:$D$150,0)</f>
        <v>SIM</v>
      </c>
      <c r="I103" s="79" t="s">
        <v>496</v>
      </c>
      <c r="J103" s="82" t="s">
        <v>106</v>
      </c>
      <c r="K103" s="83">
        <v>4799.0</v>
      </c>
      <c r="L103" s="85">
        <f>K103/(1-pconfig!$G$2-pconfig!$G$3-pconfig!$G$4)</f>
        <v>9061.555891</v>
      </c>
      <c r="M103" s="83">
        <v>406.12</v>
      </c>
      <c r="N103" s="83">
        <f>M103/(1-pconfig!$G$2-pconfig!$G$3-pconfig!$G$4)</f>
        <v>766.8429003</v>
      </c>
      <c r="O103" s="83">
        <f>((K103*F103)+M103)/(1-pconfig!$G$2-pconfig!$G$3-pconfig!$G$4)</f>
        <v>9828.398792</v>
      </c>
      <c r="P103" s="86">
        <f>K103*F103/(1-pconfig!$G$2-pconfig!$G$3-pconfig!$G$4)</f>
        <v>9061.555891</v>
      </c>
      <c r="Q103" s="86">
        <f>IFS(F103&lt;=pconfig!$B$12,P103*pconfig!$C$12,F103&lt;=pconfig!$B$13,P103*pconfig!$C$13,F103&lt;=pconfig!$B$14,P103*pconfig!$C$14,F103&lt;=pconfig!$B$15,P103*pconfig!$C$15,F103&lt;=pconfig!$B$16,P103*pconfig!$C$16,F103&lt;=pconfig!$B$17,P103*pconfig!$C$17,F103&lt;=pconfig!$B$18,P103*pconfig!$C$18,F103&lt;=pconfig!$B$19,P103*pconfig!$C$19,F103&lt;=pconfig!$B$20,P103*pconfig!$C$20,F103&lt;=pconfig!$B$21,P103*pconfig!$C$21)</f>
        <v>9061.555891</v>
      </c>
      <c r="R103" s="87">
        <f t="shared" si="2"/>
        <v>9828.398792</v>
      </c>
    </row>
    <row r="104" ht="22.5" hidden="1" customHeight="1">
      <c r="A104" s="52">
        <f t="shared" si="3"/>
        <v>103</v>
      </c>
      <c r="B104" s="53" t="s">
        <v>775</v>
      </c>
      <c r="C104" s="53" t="s">
        <v>50</v>
      </c>
      <c r="D104" s="56" t="s">
        <v>82</v>
      </c>
      <c r="E104" s="53" t="str">
        <f t="shared" si="1"/>
        <v>CAPITAO POCOFIBRA</v>
      </c>
      <c r="F104" s="59">
        <v>1.0</v>
      </c>
      <c r="G104" s="53" t="s">
        <v>61</v>
      </c>
      <c r="H104" s="59" t="str">
        <f t="array" ref="H104">XLOOKUP(B104,municipios,regiao!$D$6:$D$150,0)</f>
        <v>SIM</v>
      </c>
      <c r="I104" s="53" t="s">
        <v>132</v>
      </c>
      <c r="J104" s="60" t="s">
        <v>133</v>
      </c>
      <c r="K104" s="61">
        <v>29.29</v>
      </c>
      <c r="L104" s="70">
        <f>K104/(1-pconfig!$G$2-pconfig!$G$3-pconfig!$G$4)</f>
        <v>55.30589124</v>
      </c>
      <c r="M104" s="61">
        <v>63.39</v>
      </c>
      <c r="N104" s="61">
        <f>M104/(1-pconfig!$G$2-pconfig!$G$3-pconfig!$G$4)</f>
        <v>119.6941088</v>
      </c>
      <c r="O104" s="61">
        <f>((K104*F104)+M104)/(1-pconfig!$G$2-pconfig!$G$3-pconfig!$G$4)</f>
        <v>175</v>
      </c>
      <c r="P104" s="74">
        <f>K104*F104/(1-pconfig!$G$2-pconfig!$G$3-pconfig!$G$4)</f>
        <v>55.30589124</v>
      </c>
      <c r="Q104" s="74">
        <f>IFS(F104&lt;=pconfig!$B$12,P104*pconfig!$C$12,F104&lt;=pconfig!$B$13,P104*pconfig!$C$13,F104&lt;=pconfig!$B$14,P104*pconfig!$C$14,F104&lt;=pconfig!$B$15,P104*pconfig!$C$15,F104&lt;=pconfig!$B$16,P104*pconfig!$C$16,F104&lt;=pconfig!$B$17,P104*pconfig!$C$17,F104&lt;=pconfig!$B$18,P104*pconfig!$C$18,F104&lt;=pconfig!$B$19,P104*pconfig!$C$19,F104&lt;=pconfig!$B$20,P104*pconfig!$C$20,F104&lt;=pconfig!$B$21,P104*pconfig!$C$21)</f>
        <v>55.30589124</v>
      </c>
      <c r="R104" s="76">
        <f t="shared" si="2"/>
        <v>175</v>
      </c>
    </row>
    <row r="105" ht="22.5" hidden="1" customHeight="1">
      <c r="A105" s="78">
        <f t="shared" si="3"/>
        <v>104</v>
      </c>
      <c r="B105" s="79" t="s">
        <v>775</v>
      </c>
      <c r="C105" s="79" t="s">
        <v>101</v>
      </c>
      <c r="D105" s="80" t="s">
        <v>102</v>
      </c>
      <c r="E105" s="79" t="str">
        <f t="shared" si="1"/>
        <v>CAPITAO POCOSATELITE</v>
      </c>
      <c r="F105" s="81">
        <v>1.0</v>
      </c>
      <c r="G105" s="79" t="s">
        <v>61</v>
      </c>
      <c r="H105" s="81" t="str">
        <f t="array" ref="H105">XLOOKUP(B105,municipios,regiao!$D$6:$D$150,0)</f>
        <v>SIM</v>
      </c>
      <c r="I105" s="79" t="s">
        <v>132</v>
      </c>
      <c r="J105" s="82" t="s">
        <v>106</v>
      </c>
      <c r="K105" s="83">
        <v>4799.0</v>
      </c>
      <c r="L105" s="85">
        <f>K105/(1-pconfig!$G$2-pconfig!$G$3-pconfig!$G$4)</f>
        <v>9061.555891</v>
      </c>
      <c r="M105" s="83">
        <v>63.39</v>
      </c>
      <c r="N105" s="83">
        <f>M105/(1-pconfig!$G$2-pconfig!$G$3-pconfig!$G$4)</f>
        <v>119.6941088</v>
      </c>
      <c r="O105" s="83">
        <f>((K105*F105)+M105)/(1-pconfig!$G$2-pconfig!$G$3-pconfig!$G$4)</f>
        <v>9181.25</v>
      </c>
      <c r="P105" s="86">
        <f>K105*F105/(1-pconfig!$G$2-pconfig!$G$3-pconfig!$G$4)</f>
        <v>9061.555891</v>
      </c>
      <c r="Q105" s="86">
        <f>IFS(F105&lt;=pconfig!$B$12,P105*pconfig!$C$12,F105&lt;=pconfig!$B$13,P105*pconfig!$C$13,F105&lt;=pconfig!$B$14,P105*pconfig!$C$14,F105&lt;=pconfig!$B$15,P105*pconfig!$C$15,F105&lt;=pconfig!$B$16,P105*pconfig!$C$16,F105&lt;=pconfig!$B$17,P105*pconfig!$C$17,F105&lt;=pconfig!$B$18,P105*pconfig!$C$18,F105&lt;=pconfig!$B$19,P105*pconfig!$C$19,F105&lt;=pconfig!$B$20,P105*pconfig!$C$20,F105&lt;=pconfig!$B$21,P105*pconfig!$C$21)</f>
        <v>9061.555891</v>
      </c>
      <c r="R105" s="87">
        <f t="shared" si="2"/>
        <v>9181.25</v>
      </c>
    </row>
    <row r="106" ht="22.5" hidden="1" customHeight="1">
      <c r="A106" s="52">
        <f t="shared" si="3"/>
        <v>105</v>
      </c>
      <c r="B106" s="53" t="s">
        <v>775</v>
      </c>
      <c r="C106" s="53" t="s">
        <v>59</v>
      </c>
      <c r="D106" s="56" t="s">
        <v>60</v>
      </c>
      <c r="E106" s="53" t="str">
        <f t="shared" si="1"/>
        <v>CAPITAO POCORADIO</v>
      </c>
      <c r="F106" s="59">
        <v>1.0</v>
      </c>
      <c r="G106" s="53" t="s">
        <v>61</v>
      </c>
      <c r="H106" s="59" t="str">
        <f t="array" ref="H106">XLOOKUP(B106,municipios,regiao!$D$6:$D$150,0)</f>
        <v>SIM</v>
      </c>
      <c r="I106" s="53" t="s">
        <v>132</v>
      </c>
      <c r="J106" s="60" t="s">
        <v>133</v>
      </c>
      <c r="K106" s="61">
        <v>29.29</v>
      </c>
      <c r="L106" s="70">
        <f>K106/(1-pconfig!$G$2-pconfig!$G$3-pconfig!$G$4)</f>
        <v>55.30589124</v>
      </c>
      <c r="M106" s="61">
        <v>130.6225</v>
      </c>
      <c r="N106" s="61">
        <f>M106/(1-pconfig!$G$2-pconfig!$G$3-pconfig!$G$4)</f>
        <v>246.6436934</v>
      </c>
      <c r="O106" s="61">
        <f>((K106*F106)+M106)/(1-pconfig!$G$2-pconfig!$G$3-pconfig!$G$4)</f>
        <v>301.9495846</v>
      </c>
      <c r="P106" s="74">
        <f>K106*F106/(1-pconfig!$G$2-pconfig!$G$3-pconfig!$G$4)</f>
        <v>55.30589124</v>
      </c>
      <c r="Q106" s="74">
        <f>IFS(F106&lt;=pconfig!$B$12,P106*pconfig!$C$12,F106&lt;=pconfig!$B$13,P106*pconfig!$C$13,F106&lt;=pconfig!$B$14,P106*pconfig!$C$14,F106&lt;=pconfig!$B$15,P106*pconfig!$C$15,F106&lt;=pconfig!$B$16,P106*pconfig!$C$16,F106&lt;=pconfig!$B$17,P106*pconfig!$C$17,F106&lt;=pconfig!$B$18,P106*pconfig!$C$18,F106&lt;=pconfig!$B$19,P106*pconfig!$C$19,F106&lt;=pconfig!$B$20,P106*pconfig!$C$20,F106&lt;=pconfig!$B$21,P106*pconfig!$C$21)</f>
        <v>55.30589124</v>
      </c>
      <c r="R106" s="76">
        <f t="shared" si="2"/>
        <v>301.9495846</v>
      </c>
    </row>
    <row r="107" ht="22.5" hidden="1" customHeight="1">
      <c r="A107" s="78">
        <f t="shared" si="3"/>
        <v>106</v>
      </c>
      <c r="B107" s="79" t="s">
        <v>358</v>
      </c>
      <c r="C107" s="79" t="s">
        <v>50</v>
      </c>
      <c r="D107" s="80" t="s">
        <v>82</v>
      </c>
      <c r="E107" s="79" t="str">
        <f t="shared" si="1"/>
        <v>CASTANHALFIBRA</v>
      </c>
      <c r="F107" s="81">
        <v>1.0</v>
      </c>
      <c r="G107" s="79" t="s">
        <v>411</v>
      </c>
      <c r="H107" s="81" t="str">
        <f t="array" ref="H107">XLOOKUP(B107,municipios,regiao!$D$6:$D$150,0)</f>
        <v>SIM</v>
      </c>
      <c r="I107" s="79" t="s">
        <v>798</v>
      </c>
      <c r="J107" s="82" t="s">
        <v>416</v>
      </c>
      <c r="K107" s="83">
        <v>13.97</v>
      </c>
      <c r="L107" s="85">
        <f>K107/(1-pconfig!$G$2-pconfig!$G$3-pconfig!$G$4)</f>
        <v>26.37839879</v>
      </c>
      <c r="M107" s="83">
        <v>70.72</v>
      </c>
      <c r="N107" s="83">
        <f>M107/(1-pconfig!$G$2-pconfig!$G$3-pconfig!$G$4)</f>
        <v>133.5347432</v>
      </c>
      <c r="O107" s="83">
        <f>((K107*F107)+M107)/(1-pconfig!$G$2-pconfig!$G$3-pconfig!$G$4)</f>
        <v>159.913142</v>
      </c>
      <c r="P107" s="86">
        <f>K107*F107/(1-pconfig!$G$2-pconfig!$G$3-pconfig!$G$4)</f>
        <v>26.37839879</v>
      </c>
      <c r="Q107" s="86">
        <f>IFS(F107&lt;=pconfig!$B$12,P107*pconfig!$C$12,F107&lt;=pconfig!$B$13,P107*pconfig!$C$13,F107&lt;=pconfig!$B$14,P107*pconfig!$C$14,F107&lt;=pconfig!$B$15,P107*pconfig!$C$15,F107&lt;=pconfig!$B$16,P107*pconfig!$C$16,F107&lt;=pconfig!$B$17,P107*pconfig!$C$17,F107&lt;=pconfig!$B$18,P107*pconfig!$C$18,F107&lt;=pconfig!$B$19,P107*pconfig!$C$19,F107&lt;=pconfig!$B$20,P107*pconfig!$C$20,F107&lt;=pconfig!$B$21,P107*pconfig!$C$21)</f>
        <v>26.37839879</v>
      </c>
      <c r="R107" s="87">
        <f t="shared" si="2"/>
        <v>159.913142</v>
      </c>
    </row>
    <row r="108" ht="22.5" hidden="1" customHeight="1">
      <c r="A108" s="52">
        <f t="shared" si="3"/>
        <v>107</v>
      </c>
      <c r="B108" s="53" t="s">
        <v>358</v>
      </c>
      <c r="C108" s="53" t="s">
        <v>101</v>
      </c>
      <c r="D108" s="56" t="s">
        <v>102</v>
      </c>
      <c r="E108" s="53" t="str">
        <f t="shared" si="1"/>
        <v>CASTANHALSATELITE</v>
      </c>
      <c r="F108" s="59">
        <v>1.0</v>
      </c>
      <c r="G108" s="53" t="s">
        <v>411</v>
      </c>
      <c r="H108" s="59" t="str">
        <f t="array" ref="H108">XLOOKUP(B108,municipios,regiao!$D$6:$D$150,0)</f>
        <v>SIM</v>
      </c>
      <c r="I108" s="53" t="s">
        <v>798</v>
      </c>
      <c r="J108" s="60" t="s">
        <v>106</v>
      </c>
      <c r="K108" s="61">
        <v>4799.0</v>
      </c>
      <c r="L108" s="70">
        <f>K108/(1-pconfig!$G$2-pconfig!$G$3-pconfig!$G$4)</f>
        <v>9061.555891</v>
      </c>
      <c r="M108" s="61">
        <v>70.72</v>
      </c>
      <c r="N108" s="61">
        <f>M108/(1-pconfig!$G$2-pconfig!$G$3-pconfig!$G$4)</f>
        <v>133.5347432</v>
      </c>
      <c r="O108" s="61">
        <f>((K108*F108)+M108)/(1-pconfig!$G$2-pconfig!$G$3-pconfig!$G$4)</f>
        <v>9195.090634</v>
      </c>
      <c r="P108" s="74">
        <f>K108*F108/(1-pconfig!$G$2-pconfig!$G$3-pconfig!$G$4)</f>
        <v>9061.555891</v>
      </c>
      <c r="Q108" s="74">
        <f>IFS(F108&lt;=pconfig!$B$12,P108*pconfig!$C$12,F108&lt;=pconfig!$B$13,P108*pconfig!$C$13,F108&lt;=pconfig!$B$14,P108*pconfig!$C$14,F108&lt;=pconfig!$B$15,P108*pconfig!$C$15,F108&lt;=pconfig!$B$16,P108*pconfig!$C$16,F108&lt;=pconfig!$B$17,P108*pconfig!$C$17,F108&lt;=pconfig!$B$18,P108*pconfig!$C$18,F108&lt;=pconfig!$B$19,P108*pconfig!$C$19,F108&lt;=pconfig!$B$20,P108*pconfig!$C$20,F108&lt;=pconfig!$B$21,P108*pconfig!$C$21)</f>
        <v>9061.555891</v>
      </c>
      <c r="R108" s="76">
        <f t="shared" si="2"/>
        <v>9195.090634</v>
      </c>
    </row>
    <row r="109" ht="22.5" hidden="1" customHeight="1">
      <c r="A109" s="78">
        <f t="shared" si="3"/>
        <v>108</v>
      </c>
      <c r="B109" s="79" t="s">
        <v>358</v>
      </c>
      <c r="C109" s="79" t="s">
        <v>59</v>
      </c>
      <c r="D109" s="80" t="s">
        <v>60</v>
      </c>
      <c r="E109" s="79" t="str">
        <f t="shared" si="1"/>
        <v>CASTANHALRADIO</v>
      </c>
      <c r="F109" s="81">
        <v>1.0</v>
      </c>
      <c r="G109" s="79" t="s">
        <v>411</v>
      </c>
      <c r="H109" s="81" t="str">
        <f t="array" ref="H109">XLOOKUP(B109,municipios,regiao!$D$6:$D$150,0)</f>
        <v>SIM</v>
      </c>
      <c r="I109" s="79" t="s">
        <v>798</v>
      </c>
      <c r="J109" s="82" t="s">
        <v>416</v>
      </c>
      <c r="K109" s="83">
        <v>13.97</v>
      </c>
      <c r="L109" s="85">
        <f>K109/(1-pconfig!$G$2-pconfig!$G$3-pconfig!$G$4)</f>
        <v>26.37839879</v>
      </c>
      <c r="M109" s="83">
        <v>137.604166666667</v>
      </c>
      <c r="N109" s="83">
        <f>M109/(1-pconfig!$G$2-pconfig!$G$3-pconfig!$G$4)</f>
        <v>259.8265987</v>
      </c>
      <c r="O109" s="83">
        <f>((K109*F109)+M109)/(1-pconfig!$G$2-pconfig!$G$3-pconfig!$G$4)</f>
        <v>286.2049975</v>
      </c>
      <c r="P109" s="86">
        <f>K109*F109/(1-pconfig!$G$2-pconfig!$G$3-pconfig!$G$4)</f>
        <v>26.37839879</v>
      </c>
      <c r="Q109" s="86">
        <f>IFS(F109&lt;=pconfig!$B$12,P109*pconfig!$C$12,F109&lt;=pconfig!$B$13,P109*pconfig!$C$13,F109&lt;=pconfig!$B$14,P109*pconfig!$C$14,F109&lt;=pconfig!$B$15,P109*pconfig!$C$15,F109&lt;=pconfig!$B$16,P109*pconfig!$C$16,F109&lt;=pconfig!$B$17,P109*pconfig!$C$17,F109&lt;=pconfig!$B$18,P109*pconfig!$C$18,F109&lt;=pconfig!$B$19,P109*pconfig!$C$19,F109&lt;=pconfig!$B$20,P109*pconfig!$C$20,F109&lt;=pconfig!$B$21,P109*pconfig!$C$21)</f>
        <v>26.37839879</v>
      </c>
      <c r="R109" s="87">
        <f t="shared" si="2"/>
        <v>286.2049975</v>
      </c>
    </row>
    <row r="110" ht="22.5" hidden="1" customHeight="1">
      <c r="A110" s="52">
        <f t="shared" si="3"/>
        <v>109</v>
      </c>
      <c r="B110" s="53" t="s">
        <v>802</v>
      </c>
      <c r="C110" s="53" t="s">
        <v>59</v>
      </c>
      <c r="D110" s="56" t="s">
        <v>60</v>
      </c>
      <c r="E110" s="53" t="str">
        <f t="shared" si="1"/>
        <v>CHAVESRADIO</v>
      </c>
      <c r="F110" s="59">
        <v>1.0</v>
      </c>
      <c r="G110" s="53" t="s">
        <v>258</v>
      </c>
      <c r="H110" s="59" t="str">
        <f t="array" ref="H110">XLOOKUP(B110,municipios,regiao!$D$6:$D$150,0)</f>
        <v>NÃO</v>
      </c>
      <c r="I110" s="53" t="s">
        <v>258</v>
      </c>
      <c r="J110" s="60" t="s">
        <v>259</v>
      </c>
      <c r="K110" s="61">
        <v>35.73</v>
      </c>
      <c r="L110" s="70">
        <f>K110/(1-pconfig!$G$2-pconfig!$G$3-pconfig!$G$4)</f>
        <v>67.46601208</v>
      </c>
      <c r="M110" s="61">
        <v>106.693333333333</v>
      </c>
      <c r="N110" s="61">
        <f>M110/(1-pconfig!$G$2-pconfig!$G$3-pconfig!$G$4)</f>
        <v>201.4602216</v>
      </c>
      <c r="O110" s="61">
        <f>((K110*F110)+M110)/(1-pconfig!$G$2-pconfig!$G$3-pconfig!$G$4)</f>
        <v>268.9262336</v>
      </c>
      <c r="P110" s="74">
        <f>K110*F110/(1-pconfig!$G$2-pconfig!$G$3-pconfig!$G$4)</f>
        <v>67.46601208</v>
      </c>
      <c r="Q110" s="74">
        <f>IFS(F110&lt;=pconfig!$B$12,P110*pconfig!$C$12,F110&lt;=pconfig!$B$13,P110*pconfig!$C$13,F110&lt;=pconfig!$B$14,P110*pconfig!$C$14,F110&lt;=pconfig!$B$15,P110*pconfig!$C$15,F110&lt;=pconfig!$B$16,P110*pconfig!$C$16,F110&lt;=pconfig!$B$17,P110*pconfig!$C$17,F110&lt;=pconfig!$B$18,P110*pconfig!$C$18,F110&lt;=pconfig!$B$19,P110*pconfig!$C$19,F110&lt;=pconfig!$B$20,P110*pconfig!$C$20,F110&lt;=pconfig!$B$21,P110*pconfig!$C$21)</f>
        <v>67.46601208</v>
      </c>
      <c r="R110" s="76">
        <f t="shared" si="2"/>
        <v>268.9262336</v>
      </c>
    </row>
    <row r="111" ht="22.5" hidden="1" customHeight="1">
      <c r="A111" s="78">
        <f t="shared" si="3"/>
        <v>110</v>
      </c>
      <c r="B111" s="79" t="s">
        <v>802</v>
      </c>
      <c r="C111" s="79" t="s">
        <v>50</v>
      </c>
      <c r="D111" s="80" t="s">
        <v>82</v>
      </c>
      <c r="E111" s="79" t="str">
        <f t="shared" si="1"/>
        <v>CHAVESFIBRA</v>
      </c>
      <c r="F111" s="81">
        <v>1.0</v>
      </c>
      <c r="G111" s="79" t="s">
        <v>258</v>
      </c>
      <c r="H111" s="81" t="str">
        <f t="array" ref="H111">XLOOKUP(B111,municipios,regiao!$D$6:$D$150,0)</f>
        <v>NÃO</v>
      </c>
      <c r="I111" s="79" t="s">
        <v>258</v>
      </c>
      <c r="J111" s="82" t="s">
        <v>259</v>
      </c>
      <c r="K111" s="83">
        <v>35.73</v>
      </c>
      <c r="L111" s="85">
        <f>K111/(1-pconfig!$G$2-pconfig!$G$3-pconfig!$G$4)</f>
        <v>67.46601208</v>
      </c>
      <c r="M111" s="83">
        <v>519.17</v>
      </c>
      <c r="N111" s="83">
        <f>M111/(1-pconfig!$G$2-pconfig!$G$3-pconfig!$G$4)</f>
        <v>980.3058912</v>
      </c>
      <c r="O111" s="83">
        <f>((K111*F111)+M111)/(1-pconfig!$G$2-pconfig!$G$3-pconfig!$G$4)</f>
        <v>1047.771903</v>
      </c>
      <c r="P111" s="86">
        <f>K111*F111/(1-pconfig!$G$2-pconfig!$G$3-pconfig!$G$4)</f>
        <v>67.46601208</v>
      </c>
      <c r="Q111" s="86">
        <f>IFS(F111&lt;=pconfig!$B$12,P111*pconfig!$C$12,F111&lt;=pconfig!$B$13,P111*pconfig!$C$13,F111&lt;=pconfig!$B$14,P111*pconfig!$C$14,F111&lt;=pconfig!$B$15,P111*pconfig!$C$15,F111&lt;=pconfig!$B$16,P111*pconfig!$C$16,F111&lt;=pconfig!$B$17,P111*pconfig!$C$17,F111&lt;=pconfig!$B$18,P111*pconfig!$C$18,F111&lt;=pconfig!$B$19,P111*pconfig!$C$19,F111&lt;=pconfig!$B$20,P111*pconfig!$C$20,F111&lt;=pconfig!$B$21,P111*pconfig!$C$21)</f>
        <v>67.46601208</v>
      </c>
      <c r="R111" s="87">
        <f t="shared" si="2"/>
        <v>1047.771903</v>
      </c>
    </row>
    <row r="112" ht="22.5" hidden="1" customHeight="1">
      <c r="A112" s="52">
        <f t="shared" si="3"/>
        <v>111</v>
      </c>
      <c r="B112" s="53" t="s">
        <v>802</v>
      </c>
      <c r="C112" s="53" t="s">
        <v>101</v>
      </c>
      <c r="D112" s="56" t="s">
        <v>102</v>
      </c>
      <c r="E112" s="53" t="str">
        <f t="shared" si="1"/>
        <v>CHAVESSATELITE</v>
      </c>
      <c r="F112" s="59">
        <v>1.0</v>
      </c>
      <c r="G112" s="53" t="s">
        <v>258</v>
      </c>
      <c r="H112" s="59" t="str">
        <f t="array" ref="H112">XLOOKUP(B112,municipios,regiao!$D$6:$D$150,0)</f>
        <v>NÃO</v>
      </c>
      <c r="I112" s="53" t="s">
        <v>258</v>
      </c>
      <c r="J112" s="60" t="s">
        <v>106</v>
      </c>
      <c r="K112" s="61">
        <v>4799.0</v>
      </c>
      <c r="L112" s="70">
        <f>K112/(1-pconfig!$G$2-pconfig!$G$3-pconfig!$G$4)</f>
        <v>9061.555891</v>
      </c>
      <c r="M112" s="61">
        <v>519.17</v>
      </c>
      <c r="N112" s="61">
        <f>M112/(1-pconfig!$G$2-pconfig!$G$3-pconfig!$G$4)</f>
        <v>980.3058912</v>
      </c>
      <c r="O112" s="61">
        <f>((K112*F112)+M112)/(1-pconfig!$G$2-pconfig!$G$3-pconfig!$G$4)</f>
        <v>10041.86178</v>
      </c>
      <c r="P112" s="74">
        <f>K112*F112/(1-pconfig!$G$2-pconfig!$G$3-pconfig!$G$4)</f>
        <v>9061.555891</v>
      </c>
      <c r="Q112" s="74">
        <f>IFS(F112&lt;=pconfig!$B$12,P112*pconfig!$C$12,F112&lt;=pconfig!$B$13,P112*pconfig!$C$13,F112&lt;=pconfig!$B$14,P112*pconfig!$C$14,F112&lt;=pconfig!$B$15,P112*pconfig!$C$15,F112&lt;=pconfig!$B$16,P112*pconfig!$C$16,F112&lt;=pconfig!$B$17,P112*pconfig!$C$17,F112&lt;=pconfig!$B$18,P112*pconfig!$C$18,F112&lt;=pconfig!$B$19,P112*pconfig!$C$19,F112&lt;=pconfig!$B$20,P112*pconfig!$C$20,F112&lt;=pconfig!$B$21,P112*pconfig!$C$21)</f>
        <v>9061.555891</v>
      </c>
      <c r="R112" s="76">
        <f t="shared" si="2"/>
        <v>10041.86178</v>
      </c>
    </row>
    <row r="113" ht="22.5" hidden="1" customHeight="1">
      <c r="A113" s="78">
        <f t="shared" si="3"/>
        <v>112</v>
      </c>
      <c r="B113" s="79" t="s">
        <v>805</v>
      </c>
      <c r="C113" s="79" t="s">
        <v>50</v>
      </c>
      <c r="D113" s="80" t="s">
        <v>82</v>
      </c>
      <c r="E113" s="79" t="str">
        <f t="shared" si="1"/>
        <v>COLARESFIBRA</v>
      </c>
      <c r="F113" s="81">
        <v>1.0</v>
      </c>
      <c r="G113" s="79" t="s">
        <v>61</v>
      </c>
      <c r="H113" s="81" t="str">
        <f t="array" ref="H113">XLOOKUP(B113,municipios,regiao!$D$6:$D$150,0)</f>
        <v>SIM</v>
      </c>
      <c r="I113" s="79" t="s">
        <v>798</v>
      </c>
      <c r="J113" s="82" t="s">
        <v>337</v>
      </c>
      <c r="K113" s="83">
        <v>17.84</v>
      </c>
      <c r="L113" s="85">
        <f>K113/(1-pconfig!$G$2-pconfig!$G$3-pconfig!$G$4)</f>
        <v>33.6858006</v>
      </c>
      <c r="M113" s="83">
        <v>70.72</v>
      </c>
      <c r="N113" s="83">
        <f>M113/(1-pconfig!$G$2-pconfig!$G$3-pconfig!$G$4)</f>
        <v>133.5347432</v>
      </c>
      <c r="O113" s="83">
        <f>((K113*F113)+M113)/(1-pconfig!$G$2-pconfig!$G$3-pconfig!$G$4)</f>
        <v>167.2205438</v>
      </c>
      <c r="P113" s="86">
        <f>K113*F113/(1-pconfig!$G$2-pconfig!$G$3-pconfig!$G$4)</f>
        <v>33.6858006</v>
      </c>
      <c r="Q113" s="86">
        <f>IFS(F113&lt;=pconfig!$B$12,P113*pconfig!$C$12,F113&lt;=pconfig!$B$13,P113*pconfig!$C$13,F113&lt;=pconfig!$B$14,P113*pconfig!$C$14,F113&lt;=pconfig!$B$15,P113*pconfig!$C$15,F113&lt;=pconfig!$B$16,P113*pconfig!$C$16,F113&lt;=pconfig!$B$17,P113*pconfig!$C$17,F113&lt;=pconfig!$B$18,P113*pconfig!$C$18,F113&lt;=pconfig!$B$19,P113*pconfig!$C$19,F113&lt;=pconfig!$B$20,P113*pconfig!$C$20,F113&lt;=pconfig!$B$21,P113*pconfig!$C$21)</f>
        <v>33.6858006</v>
      </c>
      <c r="R113" s="87">
        <f t="shared" si="2"/>
        <v>167.2205438</v>
      </c>
    </row>
    <row r="114" ht="22.5" hidden="1" customHeight="1">
      <c r="A114" s="52">
        <f t="shared" si="3"/>
        <v>113</v>
      </c>
      <c r="B114" s="53" t="s">
        <v>805</v>
      </c>
      <c r="C114" s="53" t="s">
        <v>101</v>
      </c>
      <c r="D114" s="56" t="s">
        <v>102</v>
      </c>
      <c r="E114" s="53" t="str">
        <f t="shared" si="1"/>
        <v>COLARESSATELITE</v>
      </c>
      <c r="F114" s="59">
        <v>1.0</v>
      </c>
      <c r="G114" s="53" t="s">
        <v>61</v>
      </c>
      <c r="H114" s="59" t="str">
        <f t="array" ref="H114">XLOOKUP(B114,municipios,regiao!$D$6:$D$150,0)</f>
        <v>SIM</v>
      </c>
      <c r="I114" s="53" t="s">
        <v>798</v>
      </c>
      <c r="J114" s="60" t="s">
        <v>106</v>
      </c>
      <c r="K114" s="61">
        <v>4799.0</v>
      </c>
      <c r="L114" s="70">
        <f>K114/(1-pconfig!$G$2-pconfig!$G$3-pconfig!$G$4)</f>
        <v>9061.555891</v>
      </c>
      <c r="M114" s="61">
        <v>70.72</v>
      </c>
      <c r="N114" s="61">
        <f>M114/(1-pconfig!$G$2-pconfig!$G$3-pconfig!$G$4)</f>
        <v>133.5347432</v>
      </c>
      <c r="O114" s="61">
        <f>((K114*F114)+M114)/(1-pconfig!$G$2-pconfig!$G$3-pconfig!$G$4)</f>
        <v>9195.090634</v>
      </c>
      <c r="P114" s="74">
        <f>K114*F114/(1-pconfig!$G$2-pconfig!$G$3-pconfig!$G$4)</f>
        <v>9061.555891</v>
      </c>
      <c r="Q114" s="74">
        <f>IFS(F114&lt;=pconfig!$B$12,P114*pconfig!$C$12,F114&lt;=pconfig!$B$13,P114*pconfig!$C$13,F114&lt;=pconfig!$B$14,P114*pconfig!$C$14,F114&lt;=pconfig!$B$15,P114*pconfig!$C$15,F114&lt;=pconfig!$B$16,P114*pconfig!$C$16,F114&lt;=pconfig!$B$17,P114*pconfig!$C$17,F114&lt;=pconfig!$B$18,P114*pconfig!$C$18,F114&lt;=pconfig!$B$19,P114*pconfig!$C$19,F114&lt;=pconfig!$B$20,P114*pconfig!$C$20,F114&lt;=pconfig!$B$21,P114*pconfig!$C$21)</f>
        <v>9061.555891</v>
      </c>
      <c r="R114" s="76">
        <f t="shared" si="2"/>
        <v>9195.090634</v>
      </c>
    </row>
    <row r="115" ht="22.5" hidden="1" customHeight="1">
      <c r="A115" s="78">
        <f t="shared" si="3"/>
        <v>114</v>
      </c>
      <c r="B115" s="79" t="s">
        <v>805</v>
      </c>
      <c r="C115" s="79" t="s">
        <v>59</v>
      </c>
      <c r="D115" s="80" t="s">
        <v>60</v>
      </c>
      <c r="E115" s="79" t="str">
        <f t="shared" si="1"/>
        <v>COLARESRADIO</v>
      </c>
      <c r="F115" s="81">
        <v>1.0</v>
      </c>
      <c r="G115" s="79" t="s">
        <v>61</v>
      </c>
      <c r="H115" s="81" t="str">
        <f t="array" ref="H115">XLOOKUP(B115,municipios,regiao!$D$6:$D$150,0)</f>
        <v>SIM</v>
      </c>
      <c r="I115" s="79" t="s">
        <v>798</v>
      </c>
      <c r="J115" s="82" t="s">
        <v>337</v>
      </c>
      <c r="K115" s="83">
        <v>17.84</v>
      </c>
      <c r="L115" s="85">
        <f>K115/(1-pconfig!$G$2-pconfig!$G$3-pconfig!$G$4)</f>
        <v>33.6858006</v>
      </c>
      <c r="M115" s="83">
        <v>137.604166666667</v>
      </c>
      <c r="N115" s="83">
        <f>M115/(1-pconfig!$G$2-pconfig!$G$3-pconfig!$G$4)</f>
        <v>259.8265987</v>
      </c>
      <c r="O115" s="83">
        <f>((K115*F115)+M115)/(1-pconfig!$G$2-pconfig!$G$3-pconfig!$G$4)</f>
        <v>293.5123993</v>
      </c>
      <c r="P115" s="86">
        <f>K115*F115/(1-pconfig!$G$2-pconfig!$G$3-pconfig!$G$4)</f>
        <v>33.6858006</v>
      </c>
      <c r="Q115" s="86">
        <f>IFS(F115&lt;=pconfig!$B$12,P115*pconfig!$C$12,F115&lt;=pconfig!$B$13,P115*pconfig!$C$13,F115&lt;=pconfig!$B$14,P115*pconfig!$C$14,F115&lt;=pconfig!$B$15,P115*pconfig!$C$15,F115&lt;=pconfig!$B$16,P115*pconfig!$C$16,F115&lt;=pconfig!$B$17,P115*pconfig!$C$17,F115&lt;=pconfig!$B$18,P115*pconfig!$C$18,F115&lt;=pconfig!$B$19,P115*pconfig!$C$19,F115&lt;=pconfig!$B$20,P115*pconfig!$C$20,F115&lt;=pconfig!$B$21,P115*pconfig!$C$21)</f>
        <v>33.6858006</v>
      </c>
      <c r="R115" s="87">
        <f t="shared" si="2"/>
        <v>293.5123993</v>
      </c>
    </row>
    <row r="116" ht="22.5" hidden="1" customHeight="1">
      <c r="A116" s="52">
        <f t="shared" si="3"/>
        <v>115</v>
      </c>
      <c r="B116" s="53" t="s">
        <v>955</v>
      </c>
      <c r="C116" s="53" t="s">
        <v>59</v>
      </c>
      <c r="D116" s="56" t="s">
        <v>60</v>
      </c>
      <c r="E116" s="53" t="str">
        <f t="shared" si="1"/>
        <v>CONCEIÇAO DO ARAGUAIARADIO</v>
      </c>
      <c r="F116" s="59">
        <v>1.0</v>
      </c>
      <c r="G116" s="53" t="s">
        <v>128</v>
      </c>
      <c r="H116" s="59">
        <f t="array" ref="H116">XLOOKUP(B116,municipios,regiao!$D$6:$D$150,0)</f>
        <v>0</v>
      </c>
      <c r="I116" s="53" t="s">
        <v>280</v>
      </c>
      <c r="J116" s="60" t="s">
        <v>259</v>
      </c>
      <c r="K116" s="61">
        <v>35.73</v>
      </c>
      <c r="L116" s="70">
        <f>K116/(1-pconfig!$G$2-pconfig!$G$3-pconfig!$G$4)</f>
        <v>67.46601208</v>
      </c>
      <c r="M116" s="61">
        <v>336.074166666667</v>
      </c>
      <c r="N116" s="61">
        <f>M116/(1-pconfig!$G$2-pconfig!$G$3-pconfig!$G$4)</f>
        <v>634.5811304</v>
      </c>
      <c r="O116" s="61">
        <f>((K116*F116)+M116)/(1-pconfig!$G$2-pconfig!$G$3-pconfig!$G$4)</f>
        <v>702.0471425</v>
      </c>
      <c r="P116" s="74">
        <f>K116*F116/(1-pconfig!$G$2-pconfig!$G$3-pconfig!$G$4)</f>
        <v>67.46601208</v>
      </c>
      <c r="Q116" s="74">
        <f>IFS(F116&lt;=pconfig!$B$12,P116*pconfig!$C$12,F116&lt;=pconfig!$B$13,P116*pconfig!$C$13,F116&lt;=pconfig!$B$14,P116*pconfig!$C$14,F116&lt;=pconfig!$B$15,P116*pconfig!$C$15,F116&lt;=pconfig!$B$16,P116*pconfig!$C$16,F116&lt;=pconfig!$B$17,P116*pconfig!$C$17,F116&lt;=pconfig!$B$18,P116*pconfig!$C$18,F116&lt;=pconfig!$B$19,P116*pconfig!$C$19,F116&lt;=pconfig!$B$20,P116*pconfig!$C$20,F116&lt;=pconfig!$B$21,P116*pconfig!$C$21)</f>
        <v>67.46601208</v>
      </c>
      <c r="R116" s="76">
        <f t="shared" si="2"/>
        <v>702.0471425</v>
      </c>
    </row>
    <row r="117" ht="22.5" hidden="1" customHeight="1">
      <c r="A117" s="78">
        <f t="shared" si="3"/>
        <v>116</v>
      </c>
      <c r="B117" s="79" t="s">
        <v>955</v>
      </c>
      <c r="C117" s="79" t="s">
        <v>50</v>
      </c>
      <c r="D117" s="80" t="s">
        <v>82</v>
      </c>
      <c r="E117" s="79" t="str">
        <f t="shared" si="1"/>
        <v>CONCEIÇAO DO ARAGUAIAFIBRA</v>
      </c>
      <c r="F117" s="81">
        <v>1.0</v>
      </c>
      <c r="G117" s="79" t="s">
        <v>128</v>
      </c>
      <c r="H117" s="81">
        <f t="array" ref="H117">XLOOKUP(B117,municipios,regiao!$D$6:$D$150,0)</f>
        <v>0</v>
      </c>
      <c r="I117" s="79" t="s">
        <v>280</v>
      </c>
      <c r="J117" s="82" t="s">
        <v>259</v>
      </c>
      <c r="K117" s="83">
        <v>35.73</v>
      </c>
      <c r="L117" s="85">
        <f>K117/(1-pconfig!$G$2-pconfig!$G$3-pconfig!$G$4)</f>
        <v>67.46601208</v>
      </c>
      <c r="M117" s="83">
        <v>447.5</v>
      </c>
      <c r="N117" s="83">
        <f>M117/(1-pconfig!$G$2-pconfig!$G$3-pconfig!$G$4)</f>
        <v>844.9773414</v>
      </c>
      <c r="O117" s="83">
        <f>((K117*F117)+M117)/(1-pconfig!$G$2-pconfig!$G$3-pconfig!$G$4)</f>
        <v>912.4433535</v>
      </c>
      <c r="P117" s="86">
        <f>K117*F117/(1-pconfig!$G$2-pconfig!$G$3-pconfig!$G$4)</f>
        <v>67.46601208</v>
      </c>
      <c r="Q117" s="86">
        <f>IFS(F117&lt;=pconfig!$B$12,P117*pconfig!$C$12,F117&lt;=pconfig!$B$13,P117*pconfig!$C$13,F117&lt;=pconfig!$B$14,P117*pconfig!$C$14,F117&lt;=pconfig!$B$15,P117*pconfig!$C$15,F117&lt;=pconfig!$B$16,P117*pconfig!$C$16,F117&lt;=pconfig!$B$17,P117*pconfig!$C$17,F117&lt;=pconfig!$B$18,P117*pconfig!$C$18,F117&lt;=pconfig!$B$19,P117*pconfig!$C$19,F117&lt;=pconfig!$B$20,P117*pconfig!$C$20,F117&lt;=pconfig!$B$21,P117*pconfig!$C$21)</f>
        <v>67.46601208</v>
      </c>
      <c r="R117" s="87">
        <f t="shared" si="2"/>
        <v>912.4433535</v>
      </c>
    </row>
    <row r="118" ht="22.5" hidden="1" customHeight="1">
      <c r="A118" s="52">
        <f t="shared" si="3"/>
        <v>117</v>
      </c>
      <c r="B118" s="53" t="s">
        <v>955</v>
      </c>
      <c r="C118" s="53" t="s">
        <v>101</v>
      </c>
      <c r="D118" s="56" t="s">
        <v>102</v>
      </c>
      <c r="E118" s="53" t="str">
        <f t="shared" si="1"/>
        <v>CONCEIÇAO DO ARAGUAIASATELITE</v>
      </c>
      <c r="F118" s="59">
        <v>1.0</v>
      </c>
      <c r="G118" s="53" t="s">
        <v>128</v>
      </c>
      <c r="H118" s="59">
        <f t="array" ref="H118">XLOOKUP(B118,municipios,regiao!$D$6:$D$150,0)</f>
        <v>0</v>
      </c>
      <c r="I118" s="53" t="s">
        <v>280</v>
      </c>
      <c r="J118" s="60" t="s">
        <v>106</v>
      </c>
      <c r="K118" s="61">
        <v>4799.0</v>
      </c>
      <c r="L118" s="70">
        <f>K118/(1-pconfig!$G$2-pconfig!$G$3-pconfig!$G$4)</f>
        <v>9061.555891</v>
      </c>
      <c r="M118" s="61">
        <v>447.5</v>
      </c>
      <c r="N118" s="61">
        <f>M118/(1-pconfig!$G$2-pconfig!$G$3-pconfig!$G$4)</f>
        <v>844.9773414</v>
      </c>
      <c r="O118" s="61">
        <f>((K118*F118)+M118)/(1-pconfig!$G$2-pconfig!$G$3-pconfig!$G$4)</f>
        <v>9906.533233</v>
      </c>
      <c r="P118" s="74">
        <f>K118*F118/(1-pconfig!$G$2-pconfig!$G$3-pconfig!$G$4)</f>
        <v>9061.555891</v>
      </c>
      <c r="Q118" s="74">
        <f>IFS(F118&lt;=pconfig!$B$12,P118*pconfig!$C$12,F118&lt;=pconfig!$B$13,P118*pconfig!$C$13,F118&lt;=pconfig!$B$14,P118*pconfig!$C$14,F118&lt;=pconfig!$B$15,P118*pconfig!$C$15,F118&lt;=pconfig!$B$16,P118*pconfig!$C$16,F118&lt;=pconfig!$B$17,P118*pconfig!$C$17,F118&lt;=pconfig!$B$18,P118*pconfig!$C$18,F118&lt;=pconfig!$B$19,P118*pconfig!$C$19,F118&lt;=pconfig!$B$20,P118*pconfig!$C$20,F118&lt;=pconfig!$B$21,P118*pconfig!$C$21)</f>
        <v>9061.555891</v>
      </c>
      <c r="R118" s="76">
        <f t="shared" si="2"/>
        <v>9906.533233</v>
      </c>
    </row>
    <row r="119" ht="22.5" hidden="1" customHeight="1">
      <c r="A119" s="78">
        <f t="shared" si="3"/>
        <v>118</v>
      </c>
      <c r="B119" s="79" t="s">
        <v>817</v>
      </c>
      <c r="C119" s="79" t="s">
        <v>50</v>
      </c>
      <c r="D119" s="80" t="s">
        <v>82</v>
      </c>
      <c r="E119" s="79" t="str">
        <f t="shared" si="1"/>
        <v>CONCORDIA DO PARAFIBRA</v>
      </c>
      <c r="F119" s="81">
        <v>1.0</v>
      </c>
      <c r="G119" s="79" t="s">
        <v>61</v>
      </c>
      <c r="H119" s="81" t="str">
        <f t="array" ref="H119">XLOOKUP(B119,municipios,regiao!$D$6:$D$150,0)</f>
        <v>SIM</v>
      </c>
      <c r="I119" s="79" t="s">
        <v>132</v>
      </c>
      <c r="J119" s="82" t="s">
        <v>624</v>
      </c>
      <c r="K119" s="83">
        <v>24.41</v>
      </c>
      <c r="L119" s="85">
        <f>K119/(1-pconfig!$G$2-pconfig!$G$3-pconfig!$G$4)</f>
        <v>46.09138973</v>
      </c>
      <c r="M119" s="83">
        <v>63.39</v>
      </c>
      <c r="N119" s="83">
        <f>M119/(1-pconfig!$G$2-pconfig!$G$3-pconfig!$G$4)</f>
        <v>119.6941088</v>
      </c>
      <c r="O119" s="83">
        <f>((K119*F119)+M119)/(1-pconfig!$G$2-pconfig!$G$3-pconfig!$G$4)</f>
        <v>165.7854985</v>
      </c>
      <c r="P119" s="86">
        <f>K119*F119/(1-pconfig!$G$2-pconfig!$G$3-pconfig!$G$4)</f>
        <v>46.09138973</v>
      </c>
      <c r="Q119" s="86">
        <f>IFS(F119&lt;=pconfig!$B$12,P119*pconfig!$C$12,F119&lt;=pconfig!$B$13,P119*pconfig!$C$13,F119&lt;=pconfig!$B$14,P119*pconfig!$C$14,F119&lt;=pconfig!$B$15,P119*pconfig!$C$15,F119&lt;=pconfig!$B$16,P119*pconfig!$C$16,F119&lt;=pconfig!$B$17,P119*pconfig!$C$17,F119&lt;=pconfig!$B$18,P119*pconfig!$C$18,F119&lt;=pconfig!$B$19,P119*pconfig!$C$19,F119&lt;=pconfig!$B$20,P119*pconfig!$C$20,F119&lt;=pconfig!$B$21,P119*pconfig!$C$21)</f>
        <v>46.09138973</v>
      </c>
      <c r="R119" s="87">
        <f t="shared" si="2"/>
        <v>165.7854985</v>
      </c>
    </row>
    <row r="120" ht="22.5" hidden="1" customHeight="1">
      <c r="A120" s="52">
        <f t="shared" si="3"/>
        <v>119</v>
      </c>
      <c r="B120" s="53" t="s">
        <v>817</v>
      </c>
      <c r="C120" s="53" t="s">
        <v>101</v>
      </c>
      <c r="D120" s="56" t="s">
        <v>102</v>
      </c>
      <c r="E120" s="53" t="str">
        <f t="shared" si="1"/>
        <v>CONCORDIA DO PARASATELITE</v>
      </c>
      <c r="F120" s="59">
        <v>1.0</v>
      </c>
      <c r="G120" s="53" t="s">
        <v>61</v>
      </c>
      <c r="H120" s="59" t="str">
        <f t="array" ref="H120">XLOOKUP(B120,municipios,regiao!$D$6:$D$150,0)</f>
        <v>SIM</v>
      </c>
      <c r="I120" s="53" t="s">
        <v>132</v>
      </c>
      <c r="J120" s="60" t="s">
        <v>106</v>
      </c>
      <c r="K120" s="61">
        <v>4799.0</v>
      </c>
      <c r="L120" s="70">
        <f>K120/(1-pconfig!$G$2-pconfig!$G$3-pconfig!$G$4)</f>
        <v>9061.555891</v>
      </c>
      <c r="M120" s="61">
        <v>63.39</v>
      </c>
      <c r="N120" s="61">
        <f>M120/(1-pconfig!$G$2-pconfig!$G$3-pconfig!$G$4)</f>
        <v>119.6941088</v>
      </c>
      <c r="O120" s="61">
        <f>((K120*F120)+M120)/(1-pconfig!$G$2-pconfig!$G$3-pconfig!$G$4)</f>
        <v>9181.25</v>
      </c>
      <c r="P120" s="74">
        <f>K120*F120/(1-pconfig!$G$2-pconfig!$G$3-pconfig!$G$4)</f>
        <v>9061.555891</v>
      </c>
      <c r="Q120" s="74">
        <f>IFS(F120&lt;=pconfig!$B$12,P120*pconfig!$C$12,F120&lt;=pconfig!$B$13,P120*pconfig!$C$13,F120&lt;=pconfig!$B$14,P120*pconfig!$C$14,F120&lt;=pconfig!$B$15,P120*pconfig!$C$15,F120&lt;=pconfig!$B$16,P120*pconfig!$C$16,F120&lt;=pconfig!$B$17,P120*pconfig!$C$17,F120&lt;=pconfig!$B$18,P120*pconfig!$C$18,F120&lt;=pconfig!$B$19,P120*pconfig!$C$19,F120&lt;=pconfig!$B$20,P120*pconfig!$C$20,F120&lt;=pconfig!$B$21,P120*pconfig!$C$21)</f>
        <v>9061.555891</v>
      </c>
      <c r="R120" s="76">
        <f t="shared" si="2"/>
        <v>9181.25</v>
      </c>
    </row>
    <row r="121" ht="22.5" hidden="1" customHeight="1">
      <c r="A121" s="78">
        <f t="shared" si="3"/>
        <v>120</v>
      </c>
      <c r="B121" s="79" t="s">
        <v>817</v>
      </c>
      <c r="C121" s="79" t="s">
        <v>59</v>
      </c>
      <c r="D121" s="80" t="s">
        <v>60</v>
      </c>
      <c r="E121" s="79" t="str">
        <f t="shared" si="1"/>
        <v>CONCORDIA DO PARARADIO</v>
      </c>
      <c r="F121" s="81">
        <v>1.0</v>
      </c>
      <c r="G121" s="79" t="s">
        <v>61</v>
      </c>
      <c r="H121" s="81" t="str">
        <f t="array" ref="H121">XLOOKUP(B121,municipios,regiao!$D$6:$D$150,0)</f>
        <v>SIM</v>
      </c>
      <c r="I121" s="79" t="s">
        <v>132</v>
      </c>
      <c r="J121" s="82" t="s">
        <v>624</v>
      </c>
      <c r="K121" s="83">
        <v>24.41</v>
      </c>
      <c r="L121" s="85">
        <f>K121/(1-pconfig!$G$2-pconfig!$G$3-pconfig!$G$4)</f>
        <v>46.09138973</v>
      </c>
      <c r="M121" s="83">
        <v>137.604166666667</v>
      </c>
      <c r="N121" s="83">
        <f>M121/(1-pconfig!$G$2-pconfig!$G$3-pconfig!$G$4)</f>
        <v>259.8265987</v>
      </c>
      <c r="O121" s="83">
        <f>((K121*F121)+M121)/(1-pconfig!$G$2-pconfig!$G$3-pconfig!$G$4)</f>
        <v>305.9179884</v>
      </c>
      <c r="P121" s="86">
        <f>K121*F121/(1-pconfig!$G$2-pconfig!$G$3-pconfig!$G$4)</f>
        <v>46.09138973</v>
      </c>
      <c r="Q121" s="86">
        <f>IFS(F121&lt;=pconfig!$B$12,P121*pconfig!$C$12,F121&lt;=pconfig!$B$13,P121*pconfig!$C$13,F121&lt;=pconfig!$B$14,P121*pconfig!$C$14,F121&lt;=pconfig!$B$15,P121*pconfig!$C$15,F121&lt;=pconfig!$B$16,P121*pconfig!$C$16,F121&lt;=pconfig!$B$17,P121*pconfig!$C$17,F121&lt;=pconfig!$B$18,P121*pconfig!$C$18,F121&lt;=pconfig!$B$19,P121*pconfig!$C$19,F121&lt;=pconfig!$B$20,P121*pconfig!$C$20,F121&lt;=pconfig!$B$21,P121*pconfig!$C$21)</f>
        <v>46.09138973</v>
      </c>
      <c r="R121" s="87">
        <f t="shared" si="2"/>
        <v>305.9179884</v>
      </c>
    </row>
    <row r="122" ht="22.5" hidden="1" customHeight="1">
      <c r="A122" s="52">
        <f t="shared" si="3"/>
        <v>121</v>
      </c>
      <c r="B122" s="53" t="s">
        <v>822</v>
      </c>
      <c r="C122" s="53" t="s">
        <v>59</v>
      </c>
      <c r="D122" s="56" t="s">
        <v>60</v>
      </c>
      <c r="E122" s="53" t="str">
        <f t="shared" si="1"/>
        <v>CUMARU DO NORTERADIO</v>
      </c>
      <c r="F122" s="59">
        <v>1.0</v>
      </c>
      <c r="G122" s="53" t="s">
        <v>128</v>
      </c>
      <c r="H122" s="59" t="str">
        <f t="array" ref="H122">XLOOKUP(B122,municipios,regiao!$D$6:$D$150,0)</f>
        <v>NÃO</v>
      </c>
      <c r="I122" s="53" t="s">
        <v>280</v>
      </c>
      <c r="J122" s="60" t="s">
        <v>133</v>
      </c>
      <c r="K122" s="61">
        <v>29.29</v>
      </c>
      <c r="L122" s="70">
        <f>K122/(1-pconfig!$G$2-pconfig!$G$3-pconfig!$G$4)</f>
        <v>55.30589124</v>
      </c>
      <c r="M122" s="61">
        <v>336.074166666667</v>
      </c>
      <c r="N122" s="61">
        <f>M122/(1-pconfig!$G$2-pconfig!$G$3-pconfig!$G$4)</f>
        <v>634.5811304</v>
      </c>
      <c r="O122" s="61">
        <f>((K122*F122)+M122)/(1-pconfig!$G$2-pconfig!$G$3-pconfig!$G$4)</f>
        <v>689.8870217</v>
      </c>
      <c r="P122" s="74">
        <f>K122*F122/(1-pconfig!$G$2-pconfig!$G$3-pconfig!$G$4)</f>
        <v>55.30589124</v>
      </c>
      <c r="Q122" s="74">
        <f>IFS(F122&lt;=pconfig!$B$12,P122*pconfig!$C$12,F122&lt;=pconfig!$B$13,P122*pconfig!$C$13,F122&lt;=pconfig!$B$14,P122*pconfig!$C$14,F122&lt;=pconfig!$B$15,P122*pconfig!$C$15,F122&lt;=pconfig!$B$16,P122*pconfig!$C$16,F122&lt;=pconfig!$B$17,P122*pconfig!$C$17,F122&lt;=pconfig!$B$18,P122*pconfig!$C$18,F122&lt;=pconfig!$B$19,P122*pconfig!$C$19,F122&lt;=pconfig!$B$20,P122*pconfig!$C$20,F122&lt;=pconfig!$B$21,P122*pconfig!$C$21)</f>
        <v>55.30589124</v>
      </c>
      <c r="R122" s="76">
        <f t="shared" si="2"/>
        <v>689.8870217</v>
      </c>
    </row>
    <row r="123" ht="22.5" hidden="1" customHeight="1">
      <c r="A123" s="78">
        <f t="shared" si="3"/>
        <v>122</v>
      </c>
      <c r="B123" s="79" t="s">
        <v>822</v>
      </c>
      <c r="C123" s="79" t="s">
        <v>50</v>
      </c>
      <c r="D123" s="80" t="s">
        <v>82</v>
      </c>
      <c r="E123" s="79" t="str">
        <f t="shared" si="1"/>
        <v>CUMARU DO NORTEFIBRA</v>
      </c>
      <c r="F123" s="81">
        <v>1.0</v>
      </c>
      <c r="G123" s="79" t="s">
        <v>128</v>
      </c>
      <c r="H123" s="81" t="str">
        <f t="array" ref="H123">XLOOKUP(B123,municipios,regiao!$D$6:$D$150,0)</f>
        <v>NÃO</v>
      </c>
      <c r="I123" s="79" t="s">
        <v>280</v>
      </c>
      <c r="J123" s="82" t="s">
        <v>133</v>
      </c>
      <c r="K123" s="83">
        <v>29.29</v>
      </c>
      <c r="L123" s="85">
        <f>K123/(1-pconfig!$G$2-pconfig!$G$3-pconfig!$G$4)</f>
        <v>55.30589124</v>
      </c>
      <c r="M123" s="83">
        <v>447.5</v>
      </c>
      <c r="N123" s="83">
        <f>M123/(1-pconfig!$G$2-pconfig!$G$3-pconfig!$G$4)</f>
        <v>844.9773414</v>
      </c>
      <c r="O123" s="83">
        <f>((K123*F123)+M123)/(1-pconfig!$G$2-pconfig!$G$3-pconfig!$G$4)</f>
        <v>900.2832326</v>
      </c>
      <c r="P123" s="86">
        <f>K123*F123/(1-pconfig!$G$2-pconfig!$G$3-pconfig!$G$4)</f>
        <v>55.30589124</v>
      </c>
      <c r="Q123" s="86">
        <f>IFS(F123&lt;=pconfig!$B$12,P123*pconfig!$C$12,F123&lt;=pconfig!$B$13,P123*pconfig!$C$13,F123&lt;=pconfig!$B$14,P123*pconfig!$C$14,F123&lt;=pconfig!$B$15,P123*pconfig!$C$15,F123&lt;=pconfig!$B$16,P123*pconfig!$C$16,F123&lt;=pconfig!$B$17,P123*pconfig!$C$17,F123&lt;=pconfig!$B$18,P123*pconfig!$C$18,F123&lt;=pconfig!$B$19,P123*pconfig!$C$19,F123&lt;=pconfig!$B$20,P123*pconfig!$C$20,F123&lt;=pconfig!$B$21,P123*pconfig!$C$21)</f>
        <v>55.30589124</v>
      </c>
      <c r="R123" s="87">
        <f t="shared" si="2"/>
        <v>900.2832326</v>
      </c>
    </row>
    <row r="124" ht="22.5" hidden="1" customHeight="1">
      <c r="A124" s="52">
        <f t="shared" si="3"/>
        <v>123</v>
      </c>
      <c r="B124" s="53" t="s">
        <v>822</v>
      </c>
      <c r="C124" s="53" t="s">
        <v>101</v>
      </c>
      <c r="D124" s="56" t="s">
        <v>102</v>
      </c>
      <c r="E124" s="53" t="str">
        <f t="shared" si="1"/>
        <v>CUMARU DO NORTESATELITE</v>
      </c>
      <c r="F124" s="59">
        <v>1.0</v>
      </c>
      <c r="G124" s="53" t="s">
        <v>128</v>
      </c>
      <c r="H124" s="59" t="str">
        <f t="array" ref="H124">XLOOKUP(B124,municipios,regiao!$D$6:$D$150,0)</f>
        <v>NÃO</v>
      </c>
      <c r="I124" s="53" t="s">
        <v>280</v>
      </c>
      <c r="J124" s="60" t="s">
        <v>106</v>
      </c>
      <c r="K124" s="61">
        <v>4799.0</v>
      </c>
      <c r="L124" s="70">
        <f>K124/(1-pconfig!$G$2-pconfig!$G$3-pconfig!$G$4)</f>
        <v>9061.555891</v>
      </c>
      <c r="M124" s="61">
        <v>447.5</v>
      </c>
      <c r="N124" s="61">
        <f>M124/(1-pconfig!$G$2-pconfig!$G$3-pconfig!$G$4)</f>
        <v>844.9773414</v>
      </c>
      <c r="O124" s="61">
        <f>((K124*F124)+M124)/(1-pconfig!$G$2-pconfig!$G$3-pconfig!$G$4)</f>
        <v>9906.533233</v>
      </c>
      <c r="P124" s="74">
        <f>K124*F124/(1-pconfig!$G$2-pconfig!$G$3-pconfig!$G$4)</f>
        <v>9061.555891</v>
      </c>
      <c r="Q124" s="74">
        <f>IFS(F124&lt;=pconfig!$B$12,P124*pconfig!$C$12,F124&lt;=pconfig!$B$13,P124*pconfig!$C$13,F124&lt;=pconfig!$B$14,P124*pconfig!$C$14,F124&lt;=pconfig!$B$15,P124*pconfig!$C$15,F124&lt;=pconfig!$B$16,P124*pconfig!$C$16,F124&lt;=pconfig!$B$17,P124*pconfig!$C$17,F124&lt;=pconfig!$B$18,P124*pconfig!$C$18,F124&lt;=pconfig!$B$19,P124*pconfig!$C$19,F124&lt;=pconfig!$B$20,P124*pconfig!$C$20,F124&lt;=pconfig!$B$21,P124*pconfig!$C$21)</f>
        <v>9061.555891</v>
      </c>
      <c r="R124" s="76">
        <f t="shared" si="2"/>
        <v>9906.533233</v>
      </c>
    </row>
    <row r="125" ht="22.5" hidden="1" customHeight="1">
      <c r="A125" s="78">
        <f t="shared" si="3"/>
        <v>124</v>
      </c>
      <c r="B125" s="79" t="s">
        <v>826</v>
      </c>
      <c r="C125" s="79" t="s">
        <v>50</v>
      </c>
      <c r="D125" s="80" t="s">
        <v>82</v>
      </c>
      <c r="E125" s="79" t="str">
        <f t="shared" si="1"/>
        <v>CURIONOPOLISFIBRA</v>
      </c>
      <c r="F125" s="81">
        <v>1.0</v>
      </c>
      <c r="G125" s="79" t="s">
        <v>128</v>
      </c>
      <c r="H125" s="81" t="str">
        <f t="array" ref="H125">XLOOKUP(B125,municipios,regiao!$D$6:$D$150,0)</f>
        <v>SIM</v>
      </c>
      <c r="I125" s="79" t="s">
        <v>695</v>
      </c>
      <c r="J125" s="82" t="s">
        <v>259</v>
      </c>
      <c r="K125" s="83">
        <v>35.73</v>
      </c>
      <c r="L125" s="85">
        <f>K125/(1-pconfig!$G$2-pconfig!$G$3-pconfig!$G$4)</f>
        <v>67.46601208</v>
      </c>
      <c r="M125" s="83">
        <v>56.88</v>
      </c>
      <c r="N125" s="83">
        <f>M125/(1-pconfig!$G$2-pconfig!$G$3-pconfig!$G$4)</f>
        <v>107.4018127</v>
      </c>
      <c r="O125" s="83">
        <f>((K125*F125)+M125)/(1-pconfig!$G$2-pconfig!$G$3-pconfig!$G$4)</f>
        <v>174.8678248</v>
      </c>
      <c r="P125" s="86">
        <f>K125*F125/(1-pconfig!$G$2-pconfig!$G$3-pconfig!$G$4)</f>
        <v>67.46601208</v>
      </c>
      <c r="Q125" s="86">
        <f>IFS(F125&lt;=pconfig!$B$12,P125*pconfig!$C$12,F125&lt;=pconfig!$B$13,P125*pconfig!$C$13,F125&lt;=pconfig!$B$14,P125*pconfig!$C$14,F125&lt;=pconfig!$B$15,P125*pconfig!$C$15,F125&lt;=pconfig!$B$16,P125*pconfig!$C$16,F125&lt;=pconfig!$B$17,P125*pconfig!$C$17,F125&lt;=pconfig!$B$18,P125*pconfig!$C$18,F125&lt;=pconfig!$B$19,P125*pconfig!$C$19,F125&lt;=pconfig!$B$20,P125*pconfig!$C$20,F125&lt;=pconfig!$B$21,P125*pconfig!$C$21)</f>
        <v>67.46601208</v>
      </c>
      <c r="R125" s="87">
        <f t="shared" si="2"/>
        <v>174.8678248</v>
      </c>
    </row>
    <row r="126" ht="22.5" hidden="1" customHeight="1">
      <c r="A126" s="52">
        <f t="shared" si="3"/>
        <v>125</v>
      </c>
      <c r="B126" s="53" t="s">
        <v>826</v>
      </c>
      <c r="C126" s="53" t="s">
        <v>101</v>
      </c>
      <c r="D126" s="56" t="s">
        <v>102</v>
      </c>
      <c r="E126" s="53" t="str">
        <f t="shared" si="1"/>
        <v>CURIONOPOLISSATELITE</v>
      </c>
      <c r="F126" s="59">
        <v>1.0</v>
      </c>
      <c r="G126" s="53" t="s">
        <v>128</v>
      </c>
      <c r="H126" s="59" t="str">
        <f t="array" ref="H126">XLOOKUP(B126,municipios,regiao!$D$6:$D$150,0)</f>
        <v>SIM</v>
      </c>
      <c r="I126" s="53" t="s">
        <v>695</v>
      </c>
      <c r="J126" s="60" t="s">
        <v>106</v>
      </c>
      <c r="K126" s="61">
        <v>4799.0</v>
      </c>
      <c r="L126" s="70">
        <f>K126/(1-pconfig!$G$2-pconfig!$G$3-pconfig!$G$4)</f>
        <v>9061.555891</v>
      </c>
      <c r="M126" s="61">
        <v>56.88</v>
      </c>
      <c r="N126" s="61">
        <f>M126/(1-pconfig!$G$2-pconfig!$G$3-pconfig!$G$4)</f>
        <v>107.4018127</v>
      </c>
      <c r="O126" s="61">
        <f>((K126*F126)+M126)/(1-pconfig!$G$2-pconfig!$G$3-pconfig!$G$4)</f>
        <v>9168.957704</v>
      </c>
      <c r="P126" s="74">
        <f>K126*F126/(1-pconfig!$G$2-pconfig!$G$3-pconfig!$G$4)</f>
        <v>9061.555891</v>
      </c>
      <c r="Q126" s="74">
        <f>IFS(F126&lt;=pconfig!$B$12,P126*pconfig!$C$12,F126&lt;=pconfig!$B$13,P126*pconfig!$C$13,F126&lt;=pconfig!$B$14,P126*pconfig!$C$14,F126&lt;=pconfig!$B$15,P126*pconfig!$C$15,F126&lt;=pconfig!$B$16,P126*pconfig!$C$16,F126&lt;=pconfig!$B$17,P126*pconfig!$C$17,F126&lt;=pconfig!$B$18,P126*pconfig!$C$18,F126&lt;=pconfig!$B$19,P126*pconfig!$C$19,F126&lt;=pconfig!$B$20,P126*pconfig!$C$20,F126&lt;=pconfig!$B$21,P126*pconfig!$C$21)</f>
        <v>9061.555891</v>
      </c>
      <c r="R126" s="76">
        <f t="shared" si="2"/>
        <v>9168.957704</v>
      </c>
    </row>
    <row r="127" ht="22.5" hidden="1" customHeight="1">
      <c r="A127" s="78">
        <f t="shared" si="3"/>
        <v>126</v>
      </c>
      <c r="B127" s="79" t="s">
        <v>826</v>
      </c>
      <c r="C127" s="79" t="s">
        <v>59</v>
      </c>
      <c r="D127" s="80" t="s">
        <v>60</v>
      </c>
      <c r="E127" s="79" t="str">
        <f t="shared" si="1"/>
        <v>CURIONOPOLISRADIO</v>
      </c>
      <c r="F127" s="81">
        <v>1.0</v>
      </c>
      <c r="G127" s="79" t="s">
        <v>128</v>
      </c>
      <c r="H127" s="81" t="str">
        <f t="array" ref="H127">XLOOKUP(B127,municipios,regiao!$D$6:$D$150,0)</f>
        <v>SIM</v>
      </c>
      <c r="I127" s="79" t="s">
        <v>695</v>
      </c>
      <c r="J127" s="82" t="s">
        <v>259</v>
      </c>
      <c r="K127" s="83">
        <v>35.73</v>
      </c>
      <c r="L127" s="85">
        <f>K127/(1-pconfig!$G$2-pconfig!$G$3-pconfig!$G$4)</f>
        <v>67.46601208</v>
      </c>
      <c r="M127" s="83">
        <v>333.333333333333</v>
      </c>
      <c r="N127" s="83">
        <f>M127/(1-pconfig!$G$2-pconfig!$G$3-pconfig!$G$4)</f>
        <v>629.4058409</v>
      </c>
      <c r="O127" s="83">
        <f>((K127*F127)+M127)/(1-pconfig!$G$2-pconfig!$G$3-pconfig!$G$4)</f>
        <v>696.871853</v>
      </c>
      <c r="P127" s="86">
        <f>K127*F127/(1-pconfig!$G$2-pconfig!$G$3-pconfig!$G$4)</f>
        <v>67.46601208</v>
      </c>
      <c r="Q127" s="86">
        <f>IFS(F127&lt;=pconfig!$B$12,P127*pconfig!$C$12,F127&lt;=pconfig!$B$13,P127*pconfig!$C$13,F127&lt;=pconfig!$B$14,P127*pconfig!$C$14,F127&lt;=pconfig!$B$15,P127*pconfig!$C$15,F127&lt;=pconfig!$B$16,P127*pconfig!$C$16,F127&lt;=pconfig!$B$17,P127*pconfig!$C$17,F127&lt;=pconfig!$B$18,P127*pconfig!$C$18,F127&lt;=pconfig!$B$19,P127*pconfig!$C$19,F127&lt;=pconfig!$B$20,P127*pconfig!$C$20,F127&lt;=pconfig!$B$21,P127*pconfig!$C$21)</f>
        <v>67.46601208</v>
      </c>
      <c r="R127" s="87">
        <f t="shared" si="2"/>
        <v>696.871853</v>
      </c>
    </row>
    <row r="128" ht="22.5" hidden="1" customHeight="1">
      <c r="A128" s="52">
        <f t="shared" si="3"/>
        <v>127</v>
      </c>
      <c r="B128" s="53" t="s">
        <v>827</v>
      </c>
      <c r="C128" s="53" t="s">
        <v>59</v>
      </c>
      <c r="D128" s="56" t="s">
        <v>60</v>
      </c>
      <c r="E128" s="53" t="str">
        <f t="shared" si="1"/>
        <v>CURRALINHORADIO</v>
      </c>
      <c r="F128" s="59">
        <v>1.0</v>
      </c>
      <c r="G128" s="53" t="s">
        <v>258</v>
      </c>
      <c r="H128" s="59" t="str">
        <f t="array" ref="H128">XLOOKUP(B128,municipios,regiao!$D$6:$D$150,0)</f>
        <v>SIM</v>
      </c>
      <c r="I128" s="53" t="s">
        <v>258</v>
      </c>
      <c r="J128" s="60" t="s">
        <v>259</v>
      </c>
      <c r="K128" s="61">
        <v>35.73</v>
      </c>
      <c r="L128" s="70">
        <f>K128/(1-pconfig!$G$2-pconfig!$G$3-pconfig!$G$4)</f>
        <v>67.46601208</v>
      </c>
      <c r="M128" s="61">
        <v>106.693333333333</v>
      </c>
      <c r="N128" s="61">
        <f>M128/(1-pconfig!$G$2-pconfig!$G$3-pconfig!$G$4)</f>
        <v>201.4602216</v>
      </c>
      <c r="O128" s="61">
        <f>((K128*F128)+M128)/(1-pconfig!$G$2-pconfig!$G$3-pconfig!$G$4)</f>
        <v>268.9262336</v>
      </c>
      <c r="P128" s="74">
        <f>K128*F128/(1-pconfig!$G$2-pconfig!$G$3-pconfig!$G$4)</f>
        <v>67.46601208</v>
      </c>
      <c r="Q128" s="74">
        <f>IFS(F128&lt;=pconfig!$B$12,P128*pconfig!$C$12,F128&lt;=pconfig!$B$13,P128*pconfig!$C$13,F128&lt;=pconfig!$B$14,P128*pconfig!$C$14,F128&lt;=pconfig!$B$15,P128*pconfig!$C$15,F128&lt;=pconfig!$B$16,P128*pconfig!$C$16,F128&lt;=pconfig!$B$17,P128*pconfig!$C$17,F128&lt;=pconfig!$B$18,P128*pconfig!$C$18,F128&lt;=pconfig!$B$19,P128*pconfig!$C$19,F128&lt;=pconfig!$B$20,P128*pconfig!$C$20,F128&lt;=pconfig!$B$21,P128*pconfig!$C$21)</f>
        <v>67.46601208</v>
      </c>
      <c r="R128" s="76">
        <f t="shared" si="2"/>
        <v>268.9262336</v>
      </c>
    </row>
    <row r="129" ht="22.5" hidden="1" customHeight="1">
      <c r="A129" s="78">
        <f t="shared" si="3"/>
        <v>128</v>
      </c>
      <c r="B129" s="79" t="s">
        <v>827</v>
      </c>
      <c r="C129" s="79" t="s">
        <v>50</v>
      </c>
      <c r="D129" s="80" t="s">
        <v>82</v>
      </c>
      <c r="E129" s="79" t="str">
        <f t="shared" si="1"/>
        <v>CURRALINHOFIBRA</v>
      </c>
      <c r="F129" s="81">
        <v>1.0</v>
      </c>
      <c r="G129" s="79" t="s">
        <v>258</v>
      </c>
      <c r="H129" s="81" t="str">
        <f t="array" ref="H129">XLOOKUP(B129,municipios,regiao!$D$6:$D$150,0)</f>
        <v>SIM</v>
      </c>
      <c r="I129" s="79" t="s">
        <v>258</v>
      </c>
      <c r="J129" s="82" t="s">
        <v>259</v>
      </c>
      <c r="K129" s="83">
        <v>35.73</v>
      </c>
      <c r="L129" s="85">
        <f>K129/(1-pconfig!$G$2-pconfig!$G$3-pconfig!$G$4)</f>
        <v>67.46601208</v>
      </c>
      <c r="M129" s="83">
        <v>519.17</v>
      </c>
      <c r="N129" s="83">
        <f>M129/(1-pconfig!$G$2-pconfig!$G$3-pconfig!$G$4)</f>
        <v>980.3058912</v>
      </c>
      <c r="O129" s="83">
        <f>((K129*F129)+M129)/(1-pconfig!$G$2-pconfig!$G$3-pconfig!$G$4)</f>
        <v>1047.771903</v>
      </c>
      <c r="P129" s="86">
        <f>K129*F129/(1-pconfig!$G$2-pconfig!$G$3-pconfig!$G$4)</f>
        <v>67.46601208</v>
      </c>
      <c r="Q129" s="86">
        <f>IFS(F129&lt;=pconfig!$B$12,P129*pconfig!$C$12,F129&lt;=pconfig!$B$13,P129*pconfig!$C$13,F129&lt;=pconfig!$B$14,P129*pconfig!$C$14,F129&lt;=pconfig!$B$15,P129*pconfig!$C$15,F129&lt;=pconfig!$B$16,P129*pconfig!$C$16,F129&lt;=pconfig!$B$17,P129*pconfig!$C$17,F129&lt;=pconfig!$B$18,P129*pconfig!$C$18,F129&lt;=pconfig!$B$19,P129*pconfig!$C$19,F129&lt;=pconfig!$B$20,P129*pconfig!$C$20,F129&lt;=pconfig!$B$21,P129*pconfig!$C$21)</f>
        <v>67.46601208</v>
      </c>
      <c r="R129" s="87">
        <f t="shared" si="2"/>
        <v>1047.771903</v>
      </c>
    </row>
    <row r="130" ht="22.5" hidden="1" customHeight="1">
      <c r="A130" s="52">
        <f t="shared" si="3"/>
        <v>129</v>
      </c>
      <c r="B130" s="53" t="s">
        <v>827</v>
      </c>
      <c r="C130" s="53" t="s">
        <v>101</v>
      </c>
      <c r="D130" s="56" t="s">
        <v>102</v>
      </c>
      <c r="E130" s="53" t="str">
        <f t="shared" si="1"/>
        <v>CURRALINHOSATELITE</v>
      </c>
      <c r="F130" s="59">
        <v>1.0</v>
      </c>
      <c r="G130" s="53" t="s">
        <v>258</v>
      </c>
      <c r="H130" s="59" t="str">
        <f t="array" ref="H130">XLOOKUP(B130,municipios,regiao!$D$6:$D$150,0)</f>
        <v>SIM</v>
      </c>
      <c r="I130" s="53" t="s">
        <v>258</v>
      </c>
      <c r="J130" s="60" t="s">
        <v>106</v>
      </c>
      <c r="K130" s="61">
        <v>4799.0</v>
      </c>
      <c r="L130" s="70">
        <f>K130/(1-pconfig!$G$2-pconfig!$G$3-pconfig!$G$4)</f>
        <v>9061.555891</v>
      </c>
      <c r="M130" s="61">
        <v>519.17</v>
      </c>
      <c r="N130" s="61">
        <f>M130/(1-pconfig!$G$2-pconfig!$G$3-pconfig!$G$4)</f>
        <v>980.3058912</v>
      </c>
      <c r="O130" s="61">
        <f>((K130*F130)+M130)/(1-pconfig!$G$2-pconfig!$G$3-pconfig!$G$4)</f>
        <v>10041.86178</v>
      </c>
      <c r="P130" s="74">
        <f>K130*F130/(1-pconfig!$G$2-pconfig!$G$3-pconfig!$G$4)</f>
        <v>9061.555891</v>
      </c>
      <c r="Q130" s="74">
        <f>IFS(F130&lt;=pconfig!$B$12,P130*pconfig!$C$12,F130&lt;=pconfig!$B$13,P130*pconfig!$C$13,F130&lt;=pconfig!$B$14,P130*pconfig!$C$14,F130&lt;=pconfig!$B$15,P130*pconfig!$C$15,F130&lt;=pconfig!$B$16,P130*pconfig!$C$16,F130&lt;=pconfig!$B$17,P130*pconfig!$C$17,F130&lt;=pconfig!$B$18,P130*pconfig!$C$18,F130&lt;=pconfig!$B$19,P130*pconfig!$C$19,F130&lt;=pconfig!$B$20,P130*pconfig!$C$20,F130&lt;=pconfig!$B$21,P130*pconfig!$C$21)</f>
        <v>9061.555891</v>
      </c>
      <c r="R130" s="76">
        <f t="shared" si="2"/>
        <v>10041.86178</v>
      </c>
    </row>
    <row r="131" ht="22.5" hidden="1" customHeight="1">
      <c r="A131" s="78">
        <f t="shared" si="3"/>
        <v>130</v>
      </c>
      <c r="B131" s="79" t="s">
        <v>828</v>
      </c>
      <c r="C131" s="79" t="s">
        <v>50</v>
      </c>
      <c r="D131" s="80" t="s">
        <v>82</v>
      </c>
      <c r="E131" s="79" t="str">
        <f t="shared" si="1"/>
        <v>CURUAFIBRA</v>
      </c>
      <c r="F131" s="81">
        <v>1.0</v>
      </c>
      <c r="G131" s="79" t="s">
        <v>297</v>
      </c>
      <c r="H131" s="81" t="str">
        <f t="array" ref="H131">XLOOKUP(B131,municipios,regiao!$D$6:$D$150,0)</f>
        <v>SIM</v>
      </c>
      <c r="I131" s="79" t="s">
        <v>297</v>
      </c>
      <c r="J131" s="82" t="s">
        <v>133</v>
      </c>
      <c r="K131" s="83">
        <v>29.29</v>
      </c>
      <c r="L131" s="85">
        <f>K131/(1-pconfig!$G$2-pconfig!$G$3-pconfig!$G$4)</f>
        <v>55.30589124</v>
      </c>
      <c r="M131" s="83">
        <v>133.3</v>
      </c>
      <c r="N131" s="83">
        <f>M131/(1-pconfig!$G$2-pconfig!$G$3-pconfig!$G$4)</f>
        <v>251.6993958</v>
      </c>
      <c r="O131" s="83">
        <f>((K131*F131)+M131)/(1-pconfig!$G$2-pconfig!$G$3-pconfig!$G$4)</f>
        <v>307.005287</v>
      </c>
      <c r="P131" s="86">
        <f>K131*F131/(1-pconfig!$G$2-pconfig!$G$3-pconfig!$G$4)</f>
        <v>55.30589124</v>
      </c>
      <c r="Q131" s="86">
        <f>IFS(F131&lt;=pconfig!$B$12,P131*pconfig!$C$12,F131&lt;=pconfig!$B$13,P131*pconfig!$C$13,F131&lt;=pconfig!$B$14,P131*pconfig!$C$14,F131&lt;=pconfig!$B$15,P131*pconfig!$C$15,F131&lt;=pconfig!$B$16,P131*pconfig!$C$16,F131&lt;=pconfig!$B$17,P131*pconfig!$C$17,F131&lt;=pconfig!$B$18,P131*pconfig!$C$18,F131&lt;=pconfig!$B$19,P131*pconfig!$C$19,F131&lt;=pconfig!$B$20,P131*pconfig!$C$20,F131&lt;=pconfig!$B$21,P131*pconfig!$C$21)</f>
        <v>55.30589124</v>
      </c>
      <c r="R131" s="87">
        <f t="shared" si="2"/>
        <v>307.005287</v>
      </c>
    </row>
    <row r="132" ht="22.5" hidden="1" customHeight="1">
      <c r="A132" s="52">
        <f t="shared" si="3"/>
        <v>131</v>
      </c>
      <c r="B132" s="53" t="s">
        <v>828</v>
      </c>
      <c r="C132" s="53" t="s">
        <v>101</v>
      </c>
      <c r="D132" s="56" t="s">
        <v>102</v>
      </c>
      <c r="E132" s="53" t="str">
        <f t="shared" si="1"/>
        <v>CURUASATELITE</v>
      </c>
      <c r="F132" s="59">
        <v>1.0</v>
      </c>
      <c r="G132" s="53" t="s">
        <v>297</v>
      </c>
      <c r="H132" s="59" t="str">
        <f t="array" ref="H132">XLOOKUP(B132,municipios,regiao!$D$6:$D$150,0)</f>
        <v>SIM</v>
      </c>
      <c r="I132" s="53" t="s">
        <v>297</v>
      </c>
      <c r="J132" s="60" t="s">
        <v>106</v>
      </c>
      <c r="K132" s="61">
        <v>4799.0</v>
      </c>
      <c r="L132" s="70">
        <f>K132/(1-pconfig!$G$2-pconfig!$G$3-pconfig!$G$4)</f>
        <v>9061.555891</v>
      </c>
      <c r="M132" s="61">
        <v>133.3</v>
      </c>
      <c r="N132" s="61">
        <f>M132/(1-pconfig!$G$2-pconfig!$G$3-pconfig!$G$4)</f>
        <v>251.6993958</v>
      </c>
      <c r="O132" s="61">
        <f>((K132*F132)+M132)/(1-pconfig!$G$2-pconfig!$G$3-pconfig!$G$4)</f>
        <v>9313.255287</v>
      </c>
      <c r="P132" s="74">
        <f>K132*F132/(1-pconfig!$G$2-pconfig!$G$3-pconfig!$G$4)</f>
        <v>9061.555891</v>
      </c>
      <c r="Q132" s="74">
        <f>IFS(F132&lt;=pconfig!$B$12,P132*pconfig!$C$12,F132&lt;=pconfig!$B$13,P132*pconfig!$C$13,F132&lt;=pconfig!$B$14,P132*pconfig!$C$14,F132&lt;=pconfig!$B$15,P132*pconfig!$C$15,F132&lt;=pconfig!$B$16,P132*pconfig!$C$16,F132&lt;=pconfig!$B$17,P132*pconfig!$C$17,F132&lt;=pconfig!$B$18,P132*pconfig!$C$18,F132&lt;=pconfig!$B$19,P132*pconfig!$C$19,F132&lt;=pconfig!$B$20,P132*pconfig!$C$20,F132&lt;=pconfig!$B$21,P132*pconfig!$C$21)</f>
        <v>9061.555891</v>
      </c>
      <c r="R132" s="76">
        <f t="shared" si="2"/>
        <v>9313.255287</v>
      </c>
    </row>
    <row r="133" ht="22.5" hidden="1" customHeight="1">
      <c r="A133" s="78">
        <f t="shared" si="3"/>
        <v>132</v>
      </c>
      <c r="B133" s="79" t="s">
        <v>828</v>
      </c>
      <c r="C133" s="79" t="s">
        <v>59</v>
      </c>
      <c r="D133" s="80" t="s">
        <v>60</v>
      </c>
      <c r="E133" s="79" t="str">
        <f t="shared" si="1"/>
        <v>CURUARADIO</v>
      </c>
      <c r="F133" s="81">
        <v>1.0</v>
      </c>
      <c r="G133" s="79" t="s">
        <v>297</v>
      </c>
      <c r="H133" s="81" t="str">
        <f t="array" ref="H133">XLOOKUP(B133,municipios,regiao!$D$6:$D$150,0)</f>
        <v>SIM</v>
      </c>
      <c r="I133" s="79" t="s">
        <v>297</v>
      </c>
      <c r="J133" s="82" t="s">
        <v>133</v>
      </c>
      <c r="K133" s="83">
        <v>29.29</v>
      </c>
      <c r="L133" s="85">
        <f>K133/(1-pconfig!$G$2-pconfig!$G$3-pconfig!$G$4)</f>
        <v>55.30589124</v>
      </c>
      <c r="M133" s="83">
        <v>166.666666666667</v>
      </c>
      <c r="N133" s="83">
        <f>M133/(1-pconfig!$G$2-pconfig!$G$3-pconfig!$G$4)</f>
        <v>314.7029204</v>
      </c>
      <c r="O133" s="83">
        <f>((K133*F133)+M133)/(1-pconfig!$G$2-pconfig!$G$3-pconfig!$G$4)</f>
        <v>370.0088117</v>
      </c>
      <c r="P133" s="86">
        <f>K133*F133/(1-pconfig!$G$2-pconfig!$G$3-pconfig!$G$4)</f>
        <v>55.30589124</v>
      </c>
      <c r="Q133" s="86">
        <f>IFS(F133&lt;=pconfig!$B$12,P133*pconfig!$C$12,F133&lt;=pconfig!$B$13,P133*pconfig!$C$13,F133&lt;=pconfig!$B$14,P133*pconfig!$C$14,F133&lt;=pconfig!$B$15,P133*pconfig!$C$15,F133&lt;=pconfig!$B$16,P133*pconfig!$C$16,F133&lt;=pconfig!$B$17,P133*pconfig!$C$17,F133&lt;=pconfig!$B$18,P133*pconfig!$C$18,F133&lt;=pconfig!$B$19,P133*pconfig!$C$19,F133&lt;=pconfig!$B$20,P133*pconfig!$C$20,F133&lt;=pconfig!$B$21,P133*pconfig!$C$21)</f>
        <v>55.30589124</v>
      </c>
      <c r="R133" s="87">
        <f t="shared" si="2"/>
        <v>370.0088117</v>
      </c>
    </row>
    <row r="134" ht="22.5" hidden="1" customHeight="1">
      <c r="A134" s="52">
        <f t="shared" si="3"/>
        <v>133</v>
      </c>
      <c r="B134" s="53" t="s">
        <v>956</v>
      </c>
      <c r="C134" s="53" t="s">
        <v>50</v>
      </c>
      <c r="D134" s="56" t="s">
        <v>82</v>
      </c>
      <c r="E134" s="53" t="str">
        <f t="shared" si="1"/>
        <v>CURUÇAFIBRA</v>
      </c>
      <c r="F134" s="59">
        <v>1.0</v>
      </c>
      <c r="G134" s="53" t="s">
        <v>61</v>
      </c>
      <c r="H134" s="59">
        <f t="array" ref="H134">XLOOKUP(B134,municipios,regiao!$D$6:$D$150,0)</f>
        <v>0</v>
      </c>
      <c r="I134" s="53" t="s">
        <v>798</v>
      </c>
      <c r="J134" s="60" t="s">
        <v>337</v>
      </c>
      <c r="K134" s="61">
        <v>17.84</v>
      </c>
      <c r="L134" s="70">
        <f>K134/(1-pconfig!$G$2-pconfig!$G$3-pconfig!$G$4)</f>
        <v>33.6858006</v>
      </c>
      <c r="M134" s="61">
        <v>70.72</v>
      </c>
      <c r="N134" s="61">
        <f>M134/(1-pconfig!$G$2-pconfig!$G$3-pconfig!$G$4)</f>
        <v>133.5347432</v>
      </c>
      <c r="O134" s="61">
        <f>((K134*F134)+M134)/(1-pconfig!$G$2-pconfig!$G$3-pconfig!$G$4)</f>
        <v>167.2205438</v>
      </c>
      <c r="P134" s="74">
        <f>K134*F134/(1-pconfig!$G$2-pconfig!$G$3-pconfig!$G$4)</f>
        <v>33.6858006</v>
      </c>
      <c r="Q134" s="74">
        <f>IFS(F134&lt;=pconfig!$B$12,P134*pconfig!$C$12,F134&lt;=pconfig!$B$13,P134*pconfig!$C$13,F134&lt;=pconfig!$B$14,P134*pconfig!$C$14,F134&lt;=pconfig!$B$15,P134*pconfig!$C$15,F134&lt;=pconfig!$B$16,P134*pconfig!$C$16,F134&lt;=pconfig!$B$17,P134*pconfig!$C$17,F134&lt;=pconfig!$B$18,P134*pconfig!$C$18,F134&lt;=pconfig!$B$19,P134*pconfig!$C$19,F134&lt;=pconfig!$B$20,P134*pconfig!$C$20,F134&lt;=pconfig!$B$21,P134*pconfig!$C$21)</f>
        <v>33.6858006</v>
      </c>
      <c r="R134" s="76">
        <f t="shared" si="2"/>
        <v>167.2205438</v>
      </c>
    </row>
    <row r="135" ht="22.5" hidden="1" customHeight="1">
      <c r="A135" s="78">
        <f t="shared" si="3"/>
        <v>134</v>
      </c>
      <c r="B135" s="79" t="s">
        <v>956</v>
      </c>
      <c r="C135" s="79" t="s">
        <v>101</v>
      </c>
      <c r="D135" s="80" t="s">
        <v>102</v>
      </c>
      <c r="E135" s="79" t="str">
        <f t="shared" si="1"/>
        <v>CURUÇASATELITE</v>
      </c>
      <c r="F135" s="81">
        <v>1.0</v>
      </c>
      <c r="G135" s="79" t="s">
        <v>61</v>
      </c>
      <c r="H135" s="81">
        <f t="array" ref="H135">XLOOKUP(B135,municipios,regiao!$D$6:$D$150,0)</f>
        <v>0</v>
      </c>
      <c r="I135" s="79" t="s">
        <v>798</v>
      </c>
      <c r="J135" s="82" t="s">
        <v>106</v>
      </c>
      <c r="K135" s="83">
        <v>4799.0</v>
      </c>
      <c r="L135" s="85">
        <f>K135/(1-pconfig!$G$2-pconfig!$G$3-pconfig!$G$4)</f>
        <v>9061.555891</v>
      </c>
      <c r="M135" s="83">
        <v>70.72</v>
      </c>
      <c r="N135" s="83">
        <f>M135/(1-pconfig!$G$2-pconfig!$G$3-pconfig!$G$4)</f>
        <v>133.5347432</v>
      </c>
      <c r="O135" s="83">
        <f>((K135*F135)+M135)/(1-pconfig!$G$2-pconfig!$G$3-pconfig!$G$4)</f>
        <v>9195.090634</v>
      </c>
      <c r="P135" s="86">
        <f>K135*F135/(1-pconfig!$G$2-pconfig!$G$3-pconfig!$G$4)</f>
        <v>9061.555891</v>
      </c>
      <c r="Q135" s="86">
        <f>IFS(F135&lt;=pconfig!$B$12,P135*pconfig!$C$12,F135&lt;=pconfig!$B$13,P135*pconfig!$C$13,F135&lt;=pconfig!$B$14,P135*pconfig!$C$14,F135&lt;=pconfig!$B$15,P135*pconfig!$C$15,F135&lt;=pconfig!$B$16,P135*pconfig!$C$16,F135&lt;=pconfig!$B$17,P135*pconfig!$C$17,F135&lt;=pconfig!$B$18,P135*pconfig!$C$18,F135&lt;=pconfig!$B$19,P135*pconfig!$C$19,F135&lt;=pconfig!$B$20,P135*pconfig!$C$20,F135&lt;=pconfig!$B$21,P135*pconfig!$C$21)</f>
        <v>9061.555891</v>
      </c>
      <c r="R135" s="87">
        <f t="shared" si="2"/>
        <v>9195.090634</v>
      </c>
    </row>
    <row r="136" ht="22.5" hidden="1" customHeight="1">
      <c r="A136" s="52">
        <f t="shared" si="3"/>
        <v>135</v>
      </c>
      <c r="B136" s="53" t="s">
        <v>956</v>
      </c>
      <c r="C136" s="53" t="s">
        <v>59</v>
      </c>
      <c r="D136" s="56" t="s">
        <v>60</v>
      </c>
      <c r="E136" s="53" t="str">
        <f t="shared" si="1"/>
        <v>CURUÇARADIO</v>
      </c>
      <c r="F136" s="59">
        <v>1.0</v>
      </c>
      <c r="G136" s="53" t="s">
        <v>61</v>
      </c>
      <c r="H136" s="59">
        <f t="array" ref="H136">XLOOKUP(B136,municipios,regiao!$D$6:$D$150,0)</f>
        <v>0</v>
      </c>
      <c r="I136" s="53" t="s">
        <v>798</v>
      </c>
      <c r="J136" s="60" t="s">
        <v>337</v>
      </c>
      <c r="K136" s="61">
        <v>17.84</v>
      </c>
      <c r="L136" s="70">
        <f>K136/(1-pconfig!$G$2-pconfig!$G$3-pconfig!$G$4)</f>
        <v>33.6858006</v>
      </c>
      <c r="M136" s="61">
        <v>137.604166666667</v>
      </c>
      <c r="N136" s="61">
        <f>M136/(1-pconfig!$G$2-pconfig!$G$3-pconfig!$G$4)</f>
        <v>259.8265987</v>
      </c>
      <c r="O136" s="61">
        <f>((K136*F136)+M136)/(1-pconfig!$G$2-pconfig!$G$3-pconfig!$G$4)</f>
        <v>293.5123993</v>
      </c>
      <c r="P136" s="74">
        <f>K136*F136/(1-pconfig!$G$2-pconfig!$G$3-pconfig!$G$4)</f>
        <v>33.6858006</v>
      </c>
      <c r="Q136" s="74">
        <f>IFS(F136&lt;=pconfig!$B$12,P136*pconfig!$C$12,F136&lt;=pconfig!$B$13,P136*pconfig!$C$13,F136&lt;=pconfig!$B$14,P136*pconfig!$C$14,F136&lt;=pconfig!$B$15,P136*pconfig!$C$15,F136&lt;=pconfig!$B$16,P136*pconfig!$C$16,F136&lt;=pconfig!$B$17,P136*pconfig!$C$17,F136&lt;=pconfig!$B$18,P136*pconfig!$C$18,F136&lt;=pconfig!$B$19,P136*pconfig!$C$19,F136&lt;=pconfig!$B$20,P136*pconfig!$C$20,F136&lt;=pconfig!$B$21,P136*pconfig!$C$21)</f>
        <v>33.6858006</v>
      </c>
      <c r="R136" s="76">
        <f t="shared" si="2"/>
        <v>293.5123993</v>
      </c>
    </row>
    <row r="137" ht="22.5" hidden="1" customHeight="1">
      <c r="A137" s="78">
        <f t="shared" si="3"/>
        <v>136</v>
      </c>
      <c r="B137" s="79" t="s">
        <v>834</v>
      </c>
      <c r="C137" s="79" t="s">
        <v>50</v>
      </c>
      <c r="D137" s="80" t="s">
        <v>82</v>
      </c>
      <c r="E137" s="79" t="str">
        <f t="shared" si="1"/>
        <v>DOM ELISEUFIBRA</v>
      </c>
      <c r="F137" s="81">
        <v>1.0</v>
      </c>
      <c r="G137" s="79" t="s">
        <v>128</v>
      </c>
      <c r="H137" s="81" t="str">
        <f t="array" ref="H137">XLOOKUP(B137,municipios,regiao!$D$6:$D$150,0)</f>
        <v>NÃO</v>
      </c>
      <c r="I137" s="79" t="s">
        <v>132</v>
      </c>
      <c r="J137" s="82" t="s">
        <v>133</v>
      </c>
      <c r="K137" s="83">
        <v>29.29</v>
      </c>
      <c r="L137" s="85">
        <f>K137/(1-pconfig!$G$2-pconfig!$G$3-pconfig!$G$4)</f>
        <v>55.30589124</v>
      </c>
      <c r="M137" s="83">
        <v>63.39</v>
      </c>
      <c r="N137" s="83">
        <f>M137/(1-pconfig!$G$2-pconfig!$G$3-pconfig!$G$4)</f>
        <v>119.6941088</v>
      </c>
      <c r="O137" s="83">
        <f>((K137*F137)+M137)/(1-pconfig!$G$2-pconfig!$G$3-pconfig!$G$4)</f>
        <v>175</v>
      </c>
      <c r="P137" s="86">
        <f>K137*F137/(1-pconfig!$G$2-pconfig!$G$3-pconfig!$G$4)</f>
        <v>55.30589124</v>
      </c>
      <c r="Q137" s="86">
        <f>IFS(F137&lt;=pconfig!$B$12,P137*pconfig!$C$12,F137&lt;=pconfig!$B$13,P137*pconfig!$C$13,F137&lt;=pconfig!$B$14,P137*pconfig!$C$14,F137&lt;=pconfig!$B$15,P137*pconfig!$C$15,F137&lt;=pconfig!$B$16,P137*pconfig!$C$16,F137&lt;=pconfig!$B$17,P137*pconfig!$C$17,F137&lt;=pconfig!$B$18,P137*pconfig!$C$18,F137&lt;=pconfig!$B$19,P137*pconfig!$C$19,F137&lt;=pconfig!$B$20,P137*pconfig!$C$20,F137&lt;=pconfig!$B$21,P137*pconfig!$C$21)</f>
        <v>55.30589124</v>
      </c>
      <c r="R137" s="87">
        <f t="shared" si="2"/>
        <v>175</v>
      </c>
    </row>
    <row r="138" ht="22.5" hidden="1" customHeight="1">
      <c r="A138" s="52">
        <f t="shared" si="3"/>
        <v>137</v>
      </c>
      <c r="B138" s="53" t="s">
        <v>834</v>
      </c>
      <c r="C138" s="53" t="s">
        <v>101</v>
      </c>
      <c r="D138" s="56" t="s">
        <v>102</v>
      </c>
      <c r="E138" s="53" t="str">
        <f t="shared" si="1"/>
        <v>DOM ELISEUSATELITE</v>
      </c>
      <c r="F138" s="59">
        <v>1.0</v>
      </c>
      <c r="G138" s="53" t="s">
        <v>128</v>
      </c>
      <c r="H138" s="59" t="str">
        <f t="array" ref="H138">XLOOKUP(B138,municipios,regiao!$D$6:$D$150,0)</f>
        <v>NÃO</v>
      </c>
      <c r="I138" s="53" t="s">
        <v>132</v>
      </c>
      <c r="J138" s="60" t="s">
        <v>106</v>
      </c>
      <c r="K138" s="61">
        <v>4799.0</v>
      </c>
      <c r="L138" s="70">
        <f>K138/(1-pconfig!$G$2-pconfig!$G$3-pconfig!$G$4)</f>
        <v>9061.555891</v>
      </c>
      <c r="M138" s="61">
        <v>63.39</v>
      </c>
      <c r="N138" s="61">
        <f>M138/(1-pconfig!$G$2-pconfig!$G$3-pconfig!$G$4)</f>
        <v>119.6941088</v>
      </c>
      <c r="O138" s="61">
        <f>((K138*F138)+M138)/(1-pconfig!$G$2-pconfig!$G$3-pconfig!$G$4)</f>
        <v>9181.25</v>
      </c>
      <c r="P138" s="74">
        <f>K138*F138/(1-pconfig!$G$2-pconfig!$G$3-pconfig!$G$4)</f>
        <v>9061.555891</v>
      </c>
      <c r="Q138" s="74">
        <f>IFS(F138&lt;=pconfig!$B$12,P138*pconfig!$C$12,F138&lt;=pconfig!$B$13,P138*pconfig!$C$13,F138&lt;=pconfig!$B$14,P138*pconfig!$C$14,F138&lt;=pconfig!$B$15,P138*pconfig!$C$15,F138&lt;=pconfig!$B$16,P138*pconfig!$C$16,F138&lt;=pconfig!$B$17,P138*pconfig!$C$17,F138&lt;=pconfig!$B$18,P138*pconfig!$C$18,F138&lt;=pconfig!$B$19,P138*pconfig!$C$19,F138&lt;=pconfig!$B$20,P138*pconfig!$C$20,F138&lt;=pconfig!$B$21,P138*pconfig!$C$21)</f>
        <v>9061.555891</v>
      </c>
      <c r="R138" s="76">
        <f t="shared" si="2"/>
        <v>9181.25</v>
      </c>
    </row>
    <row r="139" ht="22.5" hidden="1" customHeight="1">
      <c r="A139" s="78">
        <f t="shared" si="3"/>
        <v>138</v>
      </c>
      <c r="B139" s="79" t="s">
        <v>834</v>
      </c>
      <c r="C139" s="79" t="s">
        <v>59</v>
      </c>
      <c r="D139" s="80" t="s">
        <v>60</v>
      </c>
      <c r="E139" s="79" t="str">
        <f t="shared" si="1"/>
        <v>DOM ELISEURADIO</v>
      </c>
      <c r="F139" s="81">
        <v>1.0</v>
      </c>
      <c r="G139" s="79" t="s">
        <v>128</v>
      </c>
      <c r="H139" s="81" t="str">
        <f t="array" ref="H139">XLOOKUP(B139,municipios,regiao!$D$6:$D$150,0)</f>
        <v>NÃO</v>
      </c>
      <c r="I139" s="79" t="s">
        <v>132</v>
      </c>
      <c r="J139" s="82" t="s">
        <v>133</v>
      </c>
      <c r="K139" s="83">
        <v>29.29</v>
      </c>
      <c r="L139" s="85">
        <f>K139/(1-pconfig!$G$2-pconfig!$G$3-pconfig!$G$4)</f>
        <v>55.30589124</v>
      </c>
      <c r="M139" s="83">
        <v>130.6225</v>
      </c>
      <c r="N139" s="83">
        <f>M139/(1-pconfig!$G$2-pconfig!$G$3-pconfig!$G$4)</f>
        <v>246.6436934</v>
      </c>
      <c r="O139" s="83">
        <f>((K139*F139)+M139)/(1-pconfig!$G$2-pconfig!$G$3-pconfig!$G$4)</f>
        <v>301.9495846</v>
      </c>
      <c r="P139" s="86">
        <f>K139*F139/(1-pconfig!$G$2-pconfig!$G$3-pconfig!$G$4)</f>
        <v>55.30589124</v>
      </c>
      <c r="Q139" s="86">
        <f>IFS(F139&lt;=pconfig!$B$12,P139*pconfig!$C$12,F139&lt;=pconfig!$B$13,P139*pconfig!$C$13,F139&lt;=pconfig!$B$14,P139*pconfig!$C$14,F139&lt;=pconfig!$B$15,P139*pconfig!$C$15,F139&lt;=pconfig!$B$16,P139*pconfig!$C$16,F139&lt;=pconfig!$B$17,P139*pconfig!$C$17,F139&lt;=pconfig!$B$18,P139*pconfig!$C$18,F139&lt;=pconfig!$B$19,P139*pconfig!$C$19,F139&lt;=pconfig!$B$20,P139*pconfig!$C$20,F139&lt;=pconfig!$B$21,P139*pconfig!$C$21)</f>
        <v>55.30589124</v>
      </c>
      <c r="R139" s="87">
        <f t="shared" si="2"/>
        <v>301.9495846</v>
      </c>
    </row>
    <row r="140" ht="22.5" hidden="1" customHeight="1">
      <c r="A140" s="52">
        <f t="shared" si="3"/>
        <v>139</v>
      </c>
      <c r="B140" s="53" t="s">
        <v>838</v>
      </c>
      <c r="C140" s="53" t="s">
        <v>50</v>
      </c>
      <c r="D140" s="56" t="s">
        <v>82</v>
      </c>
      <c r="E140" s="53" t="str">
        <f t="shared" si="1"/>
        <v>ELDORADO DO CARAJASFIBRA</v>
      </c>
      <c r="F140" s="59">
        <v>1.0</v>
      </c>
      <c r="G140" s="53" t="s">
        <v>128</v>
      </c>
      <c r="H140" s="59" t="str">
        <f t="array" ref="H140">XLOOKUP(B140,municipios,regiao!$D$6:$D$150,0)</f>
        <v>SIM</v>
      </c>
      <c r="I140" s="53" t="s">
        <v>695</v>
      </c>
      <c r="J140" s="60" t="s">
        <v>337</v>
      </c>
      <c r="K140" s="61">
        <v>17.84</v>
      </c>
      <c r="L140" s="70">
        <f>K140/(1-pconfig!$G$2-pconfig!$G$3-pconfig!$G$4)</f>
        <v>33.6858006</v>
      </c>
      <c r="M140" s="61">
        <v>56.88</v>
      </c>
      <c r="N140" s="61">
        <f>M140/(1-pconfig!$G$2-pconfig!$G$3-pconfig!$G$4)</f>
        <v>107.4018127</v>
      </c>
      <c r="O140" s="61">
        <f>((K140*F140)+M140)/(1-pconfig!$G$2-pconfig!$G$3-pconfig!$G$4)</f>
        <v>141.0876133</v>
      </c>
      <c r="P140" s="74">
        <f>K140*F140/(1-pconfig!$G$2-pconfig!$G$3-pconfig!$G$4)</f>
        <v>33.6858006</v>
      </c>
      <c r="Q140" s="74">
        <f>IFS(F140&lt;=pconfig!$B$12,P140*pconfig!$C$12,F140&lt;=pconfig!$B$13,P140*pconfig!$C$13,F140&lt;=pconfig!$B$14,P140*pconfig!$C$14,F140&lt;=pconfig!$B$15,P140*pconfig!$C$15,F140&lt;=pconfig!$B$16,P140*pconfig!$C$16,F140&lt;=pconfig!$B$17,P140*pconfig!$C$17,F140&lt;=pconfig!$B$18,P140*pconfig!$C$18,F140&lt;=pconfig!$B$19,P140*pconfig!$C$19,F140&lt;=pconfig!$B$20,P140*pconfig!$C$20,F140&lt;=pconfig!$B$21,P140*pconfig!$C$21)</f>
        <v>33.6858006</v>
      </c>
      <c r="R140" s="76">
        <f t="shared" si="2"/>
        <v>141.0876133</v>
      </c>
    </row>
    <row r="141" ht="22.5" hidden="1" customHeight="1">
      <c r="A141" s="78">
        <f t="shared" si="3"/>
        <v>140</v>
      </c>
      <c r="B141" s="79" t="s">
        <v>838</v>
      </c>
      <c r="C141" s="79" t="s">
        <v>101</v>
      </c>
      <c r="D141" s="80" t="s">
        <v>102</v>
      </c>
      <c r="E141" s="79" t="str">
        <f t="shared" si="1"/>
        <v>ELDORADO DO CARAJASSATELITE</v>
      </c>
      <c r="F141" s="81">
        <v>1.0</v>
      </c>
      <c r="G141" s="79" t="s">
        <v>128</v>
      </c>
      <c r="H141" s="81" t="str">
        <f t="array" ref="H141">XLOOKUP(B141,municipios,regiao!$D$6:$D$150,0)</f>
        <v>SIM</v>
      </c>
      <c r="I141" s="79" t="s">
        <v>695</v>
      </c>
      <c r="J141" s="82" t="s">
        <v>106</v>
      </c>
      <c r="K141" s="83">
        <v>4799.0</v>
      </c>
      <c r="L141" s="85">
        <f>K141/(1-pconfig!$G$2-pconfig!$G$3-pconfig!$G$4)</f>
        <v>9061.555891</v>
      </c>
      <c r="M141" s="83">
        <v>56.88</v>
      </c>
      <c r="N141" s="83">
        <f>M141/(1-pconfig!$G$2-pconfig!$G$3-pconfig!$G$4)</f>
        <v>107.4018127</v>
      </c>
      <c r="O141" s="83">
        <f>((K141*F141)+M141)/(1-pconfig!$G$2-pconfig!$G$3-pconfig!$G$4)</f>
        <v>9168.957704</v>
      </c>
      <c r="P141" s="86">
        <f>K141*F141/(1-pconfig!$G$2-pconfig!$G$3-pconfig!$G$4)</f>
        <v>9061.555891</v>
      </c>
      <c r="Q141" s="86">
        <f>IFS(F141&lt;=pconfig!$B$12,P141*pconfig!$C$12,F141&lt;=pconfig!$B$13,P141*pconfig!$C$13,F141&lt;=pconfig!$B$14,P141*pconfig!$C$14,F141&lt;=pconfig!$B$15,P141*pconfig!$C$15,F141&lt;=pconfig!$B$16,P141*pconfig!$C$16,F141&lt;=pconfig!$B$17,P141*pconfig!$C$17,F141&lt;=pconfig!$B$18,P141*pconfig!$C$18,F141&lt;=pconfig!$B$19,P141*pconfig!$C$19,F141&lt;=pconfig!$B$20,P141*pconfig!$C$20,F141&lt;=pconfig!$B$21,P141*pconfig!$C$21)</f>
        <v>9061.555891</v>
      </c>
      <c r="R141" s="87">
        <f t="shared" si="2"/>
        <v>9168.957704</v>
      </c>
    </row>
    <row r="142" ht="22.5" hidden="1" customHeight="1">
      <c r="A142" s="52">
        <f t="shared" si="3"/>
        <v>141</v>
      </c>
      <c r="B142" s="53" t="s">
        <v>838</v>
      </c>
      <c r="C142" s="53" t="s">
        <v>59</v>
      </c>
      <c r="D142" s="56" t="s">
        <v>60</v>
      </c>
      <c r="E142" s="53" t="str">
        <f t="shared" si="1"/>
        <v>ELDORADO DO CARAJASRADIO</v>
      </c>
      <c r="F142" s="59">
        <v>1.0</v>
      </c>
      <c r="G142" s="53" t="s">
        <v>128</v>
      </c>
      <c r="H142" s="59" t="str">
        <f t="array" ref="H142">XLOOKUP(B142,municipios,regiao!$D$6:$D$150,0)</f>
        <v>SIM</v>
      </c>
      <c r="I142" s="53" t="s">
        <v>695</v>
      </c>
      <c r="J142" s="60" t="s">
        <v>337</v>
      </c>
      <c r="K142" s="61">
        <v>17.84</v>
      </c>
      <c r="L142" s="70">
        <f>K142/(1-pconfig!$G$2-pconfig!$G$3-pconfig!$G$4)</f>
        <v>33.6858006</v>
      </c>
      <c r="M142" s="61">
        <v>333.333333333333</v>
      </c>
      <c r="N142" s="61">
        <f>M142/(1-pconfig!$G$2-pconfig!$G$3-pconfig!$G$4)</f>
        <v>629.4058409</v>
      </c>
      <c r="O142" s="61">
        <f>((K142*F142)+M142)/(1-pconfig!$G$2-pconfig!$G$3-pconfig!$G$4)</f>
        <v>663.0916415</v>
      </c>
      <c r="P142" s="74">
        <f>K142*F142/(1-pconfig!$G$2-pconfig!$G$3-pconfig!$G$4)</f>
        <v>33.6858006</v>
      </c>
      <c r="Q142" s="74">
        <f>IFS(F142&lt;=pconfig!$B$12,P142*pconfig!$C$12,F142&lt;=pconfig!$B$13,P142*pconfig!$C$13,F142&lt;=pconfig!$B$14,P142*pconfig!$C$14,F142&lt;=pconfig!$B$15,P142*pconfig!$C$15,F142&lt;=pconfig!$B$16,P142*pconfig!$C$16,F142&lt;=pconfig!$B$17,P142*pconfig!$C$17,F142&lt;=pconfig!$B$18,P142*pconfig!$C$18,F142&lt;=pconfig!$B$19,P142*pconfig!$C$19,F142&lt;=pconfig!$B$20,P142*pconfig!$C$20,F142&lt;=pconfig!$B$21,P142*pconfig!$C$21)</f>
        <v>33.6858006</v>
      </c>
      <c r="R142" s="76">
        <f t="shared" si="2"/>
        <v>663.0916415</v>
      </c>
    </row>
    <row r="143" ht="22.5" hidden="1" customHeight="1">
      <c r="A143" s="78">
        <f t="shared" si="3"/>
        <v>142</v>
      </c>
      <c r="B143" s="79" t="s">
        <v>839</v>
      </c>
      <c r="C143" s="79" t="s">
        <v>50</v>
      </c>
      <c r="D143" s="80" t="s">
        <v>82</v>
      </c>
      <c r="E143" s="79" t="str">
        <f t="shared" si="1"/>
        <v>FAROFIBRA</v>
      </c>
      <c r="F143" s="81">
        <v>1.0</v>
      </c>
      <c r="G143" s="79" t="s">
        <v>297</v>
      </c>
      <c r="H143" s="81" t="str">
        <f t="array" ref="H143">XLOOKUP(B143,municipios,regiao!$D$6:$D$150,0)</f>
        <v>NÃO</v>
      </c>
      <c r="I143" s="79" t="s">
        <v>297</v>
      </c>
      <c r="J143" s="82" t="s">
        <v>133</v>
      </c>
      <c r="K143" s="83">
        <v>29.29</v>
      </c>
      <c r="L143" s="85">
        <f>K143/(1-pconfig!$G$2-pconfig!$G$3-pconfig!$G$4)</f>
        <v>55.30589124</v>
      </c>
      <c r="M143" s="83">
        <v>133.3</v>
      </c>
      <c r="N143" s="83">
        <f>M143/(1-pconfig!$G$2-pconfig!$G$3-pconfig!$G$4)</f>
        <v>251.6993958</v>
      </c>
      <c r="O143" s="83">
        <f>((K143*F143)+M143)/(1-pconfig!$G$2-pconfig!$G$3-pconfig!$G$4)</f>
        <v>307.005287</v>
      </c>
      <c r="P143" s="86">
        <f>K143*F143/(1-pconfig!$G$2-pconfig!$G$3-pconfig!$G$4)</f>
        <v>55.30589124</v>
      </c>
      <c r="Q143" s="86">
        <f>IFS(F143&lt;=pconfig!$B$12,P143*pconfig!$C$12,F143&lt;=pconfig!$B$13,P143*pconfig!$C$13,F143&lt;=pconfig!$B$14,P143*pconfig!$C$14,F143&lt;=pconfig!$B$15,P143*pconfig!$C$15,F143&lt;=pconfig!$B$16,P143*pconfig!$C$16,F143&lt;=pconfig!$B$17,P143*pconfig!$C$17,F143&lt;=pconfig!$B$18,P143*pconfig!$C$18,F143&lt;=pconfig!$B$19,P143*pconfig!$C$19,F143&lt;=pconfig!$B$20,P143*pconfig!$C$20,F143&lt;=pconfig!$B$21,P143*pconfig!$C$21)</f>
        <v>55.30589124</v>
      </c>
      <c r="R143" s="87">
        <f t="shared" si="2"/>
        <v>307.005287</v>
      </c>
    </row>
    <row r="144" ht="22.5" hidden="1" customHeight="1">
      <c r="A144" s="52">
        <f t="shared" si="3"/>
        <v>143</v>
      </c>
      <c r="B144" s="53" t="s">
        <v>839</v>
      </c>
      <c r="C144" s="53" t="s">
        <v>101</v>
      </c>
      <c r="D144" s="56" t="s">
        <v>102</v>
      </c>
      <c r="E144" s="53" t="str">
        <f t="shared" si="1"/>
        <v>FAROSATELITE</v>
      </c>
      <c r="F144" s="59">
        <v>1.0</v>
      </c>
      <c r="G144" s="53" t="s">
        <v>297</v>
      </c>
      <c r="H144" s="59" t="str">
        <f t="array" ref="H144">XLOOKUP(B144,municipios,regiao!$D$6:$D$150,0)</f>
        <v>NÃO</v>
      </c>
      <c r="I144" s="53" t="s">
        <v>297</v>
      </c>
      <c r="J144" s="60" t="s">
        <v>106</v>
      </c>
      <c r="K144" s="61">
        <v>4799.0</v>
      </c>
      <c r="L144" s="70">
        <f>K144/(1-pconfig!$G$2-pconfig!$G$3-pconfig!$G$4)</f>
        <v>9061.555891</v>
      </c>
      <c r="M144" s="61">
        <v>133.3</v>
      </c>
      <c r="N144" s="61">
        <f>M144/(1-pconfig!$G$2-pconfig!$G$3-pconfig!$G$4)</f>
        <v>251.6993958</v>
      </c>
      <c r="O144" s="61">
        <f>((K144*F144)+M144)/(1-pconfig!$G$2-pconfig!$G$3-pconfig!$G$4)</f>
        <v>9313.255287</v>
      </c>
      <c r="P144" s="74">
        <f>K144*F144/(1-pconfig!$G$2-pconfig!$G$3-pconfig!$G$4)</f>
        <v>9061.555891</v>
      </c>
      <c r="Q144" s="74">
        <f>IFS(F144&lt;=pconfig!$B$12,P144*pconfig!$C$12,F144&lt;=pconfig!$B$13,P144*pconfig!$C$13,F144&lt;=pconfig!$B$14,P144*pconfig!$C$14,F144&lt;=pconfig!$B$15,P144*pconfig!$C$15,F144&lt;=pconfig!$B$16,P144*pconfig!$C$16,F144&lt;=pconfig!$B$17,P144*pconfig!$C$17,F144&lt;=pconfig!$B$18,P144*pconfig!$C$18,F144&lt;=pconfig!$B$19,P144*pconfig!$C$19,F144&lt;=pconfig!$B$20,P144*pconfig!$C$20,F144&lt;=pconfig!$B$21,P144*pconfig!$C$21)</f>
        <v>9061.555891</v>
      </c>
      <c r="R144" s="76">
        <f t="shared" si="2"/>
        <v>9313.255287</v>
      </c>
    </row>
    <row r="145" ht="22.5" hidden="1" customHeight="1">
      <c r="A145" s="78">
        <f t="shared" si="3"/>
        <v>144</v>
      </c>
      <c r="B145" s="79" t="s">
        <v>839</v>
      </c>
      <c r="C145" s="79" t="s">
        <v>59</v>
      </c>
      <c r="D145" s="80" t="s">
        <v>60</v>
      </c>
      <c r="E145" s="79" t="str">
        <f t="shared" si="1"/>
        <v>FARORADIO</v>
      </c>
      <c r="F145" s="81">
        <v>1.0</v>
      </c>
      <c r="G145" s="79" t="s">
        <v>297</v>
      </c>
      <c r="H145" s="81" t="str">
        <f t="array" ref="H145">XLOOKUP(B145,municipios,regiao!$D$6:$D$150,0)</f>
        <v>NÃO</v>
      </c>
      <c r="I145" s="79" t="s">
        <v>297</v>
      </c>
      <c r="J145" s="82" t="s">
        <v>133</v>
      </c>
      <c r="K145" s="83">
        <v>29.29</v>
      </c>
      <c r="L145" s="85">
        <f>K145/(1-pconfig!$G$2-pconfig!$G$3-pconfig!$G$4)</f>
        <v>55.30589124</v>
      </c>
      <c r="M145" s="83">
        <v>166.666666666667</v>
      </c>
      <c r="N145" s="83">
        <f>M145/(1-pconfig!$G$2-pconfig!$G$3-pconfig!$G$4)</f>
        <v>314.7029204</v>
      </c>
      <c r="O145" s="83">
        <f>((K145*F145)+M145)/(1-pconfig!$G$2-pconfig!$G$3-pconfig!$G$4)</f>
        <v>370.0088117</v>
      </c>
      <c r="P145" s="86">
        <f>K145*F145/(1-pconfig!$G$2-pconfig!$G$3-pconfig!$G$4)</f>
        <v>55.30589124</v>
      </c>
      <c r="Q145" s="86">
        <f>IFS(F145&lt;=pconfig!$B$12,P145*pconfig!$C$12,F145&lt;=pconfig!$B$13,P145*pconfig!$C$13,F145&lt;=pconfig!$B$14,P145*pconfig!$C$14,F145&lt;=pconfig!$B$15,P145*pconfig!$C$15,F145&lt;=pconfig!$B$16,P145*pconfig!$C$16,F145&lt;=pconfig!$B$17,P145*pconfig!$C$17,F145&lt;=pconfig!$B$18,P145*pconfig!$C$18,F145&lt;=pconfig!$B$19,P145*pconfig!$C$19,F145&lt;=pconfig!$B$20,P145*pconfig!$C$20,F145&lt;=pconfig!$B$21,P145*pconfig!$C$21)</f>
        <v>55.30589124</v>
      </c>
      <c r="R145" s="87">
        <f t="shared" si="2"/>
        <v>370.0088117</v>
      </c>
    </row>
    <row r="146" ht="22.5" hidden="1" customHeight="1">
      <c r="A146" s="52">
        <f t="shared" si="3"/>
        <v>145</v>
      </c>
      <c r="B146" s="53" t="s">
        <v>840</v>
      </c>
      <c r="C146" s="53" t="s">
        <v>59</v>
      </c>
      <c r="D146" s="56" t="s">
        <v>60</v>
      </c>
      <c r="E146" s="53" t="str">
        <f t="shared" si="1"/>
        <v>FLORESTA DO ARAGUAIARADIO</v>
      </c>
      <c r="F146" s="59">
        <v>1.0</v>
      </c>
      <c r="G146" s="53" t="s">
        <v>128</v>
      </c>
      <c r="H146" s="59" t="str">
        <f t="array" ref="H146">XLOOKUP(B146,municipios,regiao!$D$6:$D$150,0)</f>
        <v>SIM</v>
      </c>
      <c r="I146" s="53" t="s">
        <v>280</v>
      </c>
      <c r="J146" s="60" t="s">
        <v>259</v>
      </c>
      <c r="K146" s="61">
        <v>35.73</v>
      </c>
      <c r="L146" s="70">
        <f>K146/(1-pconfig!$G$2-pconfig!$G$3-pconfig!$G$4)</f>
        <v>67.46601208</v>
      </c>
      <c r="M146" s="61">
        <v>336.074166666667</v>
      </c>
      <c r="N146" s="61">
        <f>M146/(1-pconfig!$G$2-pconfig!$G$3-pconfig!$G$4)</f>
        <v>634.5811304</v>
      </c>
      <c r="O146" s="61">
        <f>((K146*F146)+M146)/(1-pconfig!$G$2-pconfig!$G$3-pconfig!$G$4)</f>
        <v>702.0471425</v>
      </c>
      <c r="P146" s="74">
        <f>K146*F146/(1-pconfig!$G$2-pconfig!$G$3-pconfig!$G$4)</f>
        <v>67.46601208</v>
      </c>
      <c r="Q146" s="74">
        <f>IFS(F146&lt;=pconfig!$B$12,P146*pconfig!$C$12,F146&lt;=pconfig!$B$13,P146*pconfig!$C$13,F146&lt;=pconfig!$B$14,P146*pconfig!$C$14,F146&lt;=pconfig!$B$15,P146*pconfig!$C$15,F146&lt;=pconfig!$B$16,P146*pconfig!$C$16,F146&lt;=pconfig!$B$17,P146*pconfig!$C$17,F146&lt;=pconfig!$B$18,P146*pconfig!$C$18,F146&lt;=pconfig!$B$19,P146*pconfig!$C$19,F146&lt;=pconfig!$B$20,P146*pconfig!$C$20,F146&lt;=pconfig!$B$21,P146*pconfig!$C$21)</f>
        <v>67.46601208</v>
      </c>
      <c r="R146" s="76">
        <f t="shared" si="2"/>
        <v>702.0471425</v>
      </c>
    </row>
    <row r="147" ht="22.5" hidden="1" customHeight="1">
      <c r="A147" s="78">
        <f t="shared" si="3"/>
        <v>146</v>
      </c>
      <c r="B147" s="79" t="s">
        <v>840</v>
      </c>
      <c r="C147" s="79" t="s">
        <v>50</v>
      </c>
      <c r="D147" s="80" t="s">
        <v>82</v>
      </c>
      <c r="E147" s="79" t="str">
        <f t="shared" si="1"/>
        <v>FLORESTA DO ARAGUAIAFIBRA</v>
      </c>
      <c r="F147" s="81">
        <v>1.0</v>
      </c>
      <c r="G147" s="79" t="s">
        <v>128</v>
      </c>
      <c r="H147" s="81" t="str">
        <f t="array" ref="H147">XLOOKUP(B147,municipios,regiao!$D$6:$D$150,0)</f>
        <v>SIM</v>
      </c>
      <c r="I147" s="79" t="s">
        <v>280</v>
      </c>
      <c r="J147" s="82" t="s">
        <v>259</v>
      </c>
      <c r="K147" s="83">
        <v>35.73</v>
      </c>
      <c r="L147" s="85">
        <f>K147/(1-pconfig!$G$2-pconfig!$G$3-pconfig!$G$4)</f>
        <v>67.46601208</v>
      </c>
      <c r="M147" s="83">
        <v>447.5</v>
      </c>
      <c r="N147" s="83">
        <f>M147/(1-pconfig!$G$2-pconfig!$G$3-pconfig!$G$4)</f>
        <v>844.9773414</v>
      </c>
      <c r="O147" s="83">
        <f>((K147*F147)+M147)/(1-pconfig!$G$2-pconfig!$G$3-pconfig!$G$4)</f>
        <v>912.4433535</v>
      </c>
      <c r="P147" s="86">
        <f>K147*F147/(1-pconfig!$G$2-pconfig!$G$3-pconfig!$G$4)</f>
        <v>67.46601208</v>
      </c>
      <c r="Q147" s="86">
        <f>IFS(F147&lt;=pconfig!$B$12,P147*pconfig!$C$12,F147&lt;=pconfig!$B$13,P147*pconfig!$C$13,F147&lt;=pconfig!$B$14,P147*pconfig!$C$14,F147&lt;=pconfig!$B$15,P147*pconfig!$C$15,F147&lt;=pconfig!$B$16,P147*pconfig!$C$16,F147&lt;=pconfig!$B$17,P147*pconfig!$C$17,F147&lt;=pconfig!$B$18,P147*pconfig!$C$18,F147&lt;=pconfig!$B$19,P147*pconfig!$C$19,F147&lt;=pconfig!$B$20,P147*pconfig!$C$20,F147&lt;=pconfig!$B$21,P147*pconfig!$C$21)</f>
        <v>67.46601208</v>
      </c>
      <c r="R147" s="87">
        <f t="shared" si="2"/>
        <v>912.4433535</v>
      </c>
    </row>
    <row r="148" ht="22.5" hidden="1" customHeight="1">
      <c r="A148" s="52">
        <f t="shared" si="3"/>
        <v>147</v>
      </c>
      <c r="B148" s="53" t="s">
        <v>840</v>
      </c>
      <c r="C148" s="53" t="s">
        <v>101</v>
      </c>
      <c r="D148" s="56" t="s">
        <v>102</v>
      </c>
      <c r="E148" s="53" t="str">
        <f t="shared" si="1"/>
        <v>FLORESTA DO ARAGUAIASATELITE</v>
      </c>
      <c r="F148" s="59">
        <v>1.0</v>
      </c>
      <c r="G148" s="53" t="s">
        <v>128</v>
      </c>
      <c r="H148" s="59" t="str">
        <f t="array" ref="H148">XLOOKUP(B148,municipios,regiao!$D$6:$D$150,0)</f>
        <v>SIM</v>
      </c>
      <c r="I148" s="53" t="s">
        <v>280</v>
      </c>
      <c r="J148" s="60" t="s">
        <v>106</v>
      </c>
      <c r="K148" s="61">
        <v>4799.0</v>
      </c>
      <c r="L148" s="70">
        <f>K148/(1-pconfig!$G$2-pconfig!$G$3-pconfig!$G$4)</f>
        <v>9061.555891</v>
      </c>
      <c r="M148" s="61">
        <v>447.5</v>
      </c>
      <c r="N148" s="61">
        <f>M148/(1-pconfig!$G$2-pconfig!$G$3-pconfig!$G$4)</f>
        <v>844.9773414</v>
      </c>
      <c r="O148" s="61">
        <f>((K148*F148)+M148)/(1-pconfig!$G$2-pconfig!$G$3-pconfig!$G$4)</f>
        <v>9906.533233</v>
      </c>
      <c r="P148" s="74">
        <f>K148*F148/(1-pconfig!$G$2-pconfig!$G$3-pconfig!$G$4)</f>
        <v>9061.555891</v>
      </c>
      <c r="Q148" s="74">
        <f>IFS(F148&lt;=pconfig!$B$12,P148*pconfig!$C$12,F148&lt;=pconfig!$B$13,P148*pconfig!$C$13,F148&lt;=pconfig!$B$14,P148*pconfig!$C$14,F148&lt;=pconfig!$B$15,P148*pconfig!$C$15,F148&lt;=pconfig!$B$16,P148*pconfig!$C$16,F148&lt;=pconfig!$B$17,P148*pconfig!$C$17,F148&lt;=pconfig!$B$18,P148*pconfig!$C$18,F148&lt;=pconfig!$B$19,P148*pconfig!$C$19,F148&lt;=pconfig!$B$20,P148*pconfig!$C$20,F148&lt;=pconfig!$B$21,P148*pconfig!$C$21)</f>
        <v>9061.555891</v>
      </c>
      <c r="R148" s="76">
        <f t="shared" si="2"/>
        <v>9906.533233</v>
      </c>
    </row>
    <row r="149" ht="22.5" hidden="1" customHeight="1">
      <c r="A149" s="78">
        <f t="shared" si="3"/>
        <v>148</v>
      </c>
      <c r="B149" s="79" t="s">
        <v>844</v>
      </c>
      <c r="C149" s="79" t="s">
        <v>50</v>
      </c>
      <c r="D149" s="80" t="s">
        <v>82</v>
      </c>
      <c r="E149" s="79" t="str">
        <f t="shared" si="1"/>
        <v>GARRAFAO DO NORTEFIBRA</v>
      </c>
      <c r="F149" s="81">
        <v>1.0</v>
      </c>
      <c r="G149" s="79" t="s">
        <v>61</v>
      </c>
      <c r="H149" s="81" t="str">
        <f t="array" ref="H149">XLOOKUP(B149,municipios,regiao!$D$6:$D$150,0)</f>
        <v>SIM</v>
      </c>
      <c r="I149" s="79" t="s">
        <v>132</v>
      </c>
      <c r="J149" s="82" t="s">
        <v>133</v>
      </c>
      <c r="K149" s="83">
        <v>29.29</v>
      </c>
      <c r="L149" s="85">
        <f>K149/(1-pconfig!$G$2-pconfig!$G$3-pconfig!$G$4)</f>
        <v>55.30589124</v>
      </c>
      <c r="M149" s="83">
        <v>63.39</v>
      </c>
      <c r="N149" s="83">
        <f>M149/(1-pconfig!$G$2-pconfig!$G$3-pconfig!$G$4)</f>
        <v>119.6941088</v>
      </c>
      <c r="O149" s="83">
        <f>((K149*F149)+M149)/(1-pconfig!$G$2-pconfig!$G$3-pconfig!$G$4)</f>
        <v>175</v>
      </c>
      <c r="P149" s="86">
        <f>K149*F149/(1-pconfig!$G$2-pconfig!$G$3-pconfig!$G$4)</f>
        <v>55.30589124</v>
      </c>
      <c r="Q149" s="86">
        <f>IFS(F149&lt;=pconfig!$B$12,P149*pconfig!$C$12,F149&lt;=pconfig!$B$13,P149*pconfig!$C$13,F149&lt;=pconfig!$B$14,P149*pconfig!$C$14,F149&lt;=pconfig!$B$15,P149*pconfig!$C$15,F149&lt;=pconfig!$B$16,P149*pconfig!$C$16,F149&lt;=pconfig!$B$17,P149*pconfig!$C$17,F149&lt;=pconfig!$B$18,P149*pconfig!$C$18,F149&lt;=pconfig!$B$19,P149*pconfig!$C$19,F149&lt;=pconfig!$B$20,P149*pconfig!$C$20,F149&lt;=pconfig!$B$21,P149*pconfig!$C$21)</f>
        <v>55.30589124</v>
      </c>
      <c r="R149" s="87">
        <f t="shared" si="2"/>
        <v>175</v>
      </c>
    </row>
    <row r="150" ht="22.5" hidden="1" customHeight="1">
      <c r="A150" s="52">
        <f t="shared" si="3"/>
        <v>149</v>
      </c>
      <c r="B150" s="53" t="s">
        <v>844</v>
      </c>
      <c r="C150" s="53" t="s">
        <v>101</v>
      </c>
      <c r="D150" s="56" t="s">
        <v>102</v>
      </c>
      <c r="E150" s="53" t="str">
        <f t="shared" si="1"/>
        <v>GARRAFAO DO NORTESATELITE</v>
      </c>
      <c r="F150" s="59">
        <v>1.0</v>
      </c>
      <c r="G150" s="53" t="s">
        <v>61</v>
      </c>
      <c r="H150" s="59" t="str">
        <f t="array" ref="H150">XLOOKUP(B150,municipios,regiao!$D$6:$D$150,0)</f>
        <v>SIM</v>
      </c>
      <c r="I150" s="53" t="s">
        <v>132</v>
      </c>
      <c r="J150" s="60" t="s">
        <v>106</v>
      </c>
      <c r="K150" s="61">
        <v>4799.0</v>
      </c>
      <c r="L150" s="70">
        <f>K150/(1-pconfig!$G$2-pconfig!$G$3-pconfig!$G$4)</f>
        <v>9061.555891</v>
      </c>
      <c r="M150" s="61">
        <v>63.39</v>
      </c>
      <c r="N150" s="61">
        <f>M150/(1-pconfig!$G$2-pconfig!$G$3-pconfig!$G$4)</f>
        <v>119.6941088</v>
      </c>
      <c r="O150" s="61">
        <f>((K150*F150)+M150)/(1-pconfig!$G$2-pconfig!$G$3-pconfig!$G$4)</f>
        <v>9181.25</v>
      </c>
      <c r="P150" s="74">
        <f>K150*F150/(1-pconfig!$G$2-pconfig!$G$3-pconfig!$G$4)</f>
        <v>9061.555891</v>
      </c>
      <c r="Q150" s="74">
        <f>IFS(F150&lt;=pconfig!$B$12,P150*pconfig!$C$12,F150&lt;=pconfig!$B$13,P150*pconfig!$C$13,F150&lt;=pconfig!$B$14,P150*pconfig!$C$14,F150&lt;=pconfig!$B$15,P150*pconfig!$C$15,F150&lt;=pconfig!$B$16,P150*pconfig!$C$16,F150&lt;=pconfig!$B$17,P150*pconfig!$C$17,F150&lt;=pconfig!$B$18,P150*pconfig!$C$18,F150&lt;=pconfig!$B$19,P150*pconfig!$C$19,F150&lt;=pconfig!$B$20,P150*pconfig!$C$20,F150&lt;=pconfig!$B$21,P150*pconfig!$C$21)</f>
        <v>9061.555891</v>
      </c>
      <c r="R150" s="76">
        <f t="shared" si="2"/>
        <v>9181.25</v>
      </c>
    </row>
    <row r="151" ht="22.5" hidden="1" customHeight="1">
      <c r="A151" s="78">
        <f t="shared" si="3"/>
        <v>150</v>
      </c>
      <c r="B151" s="79" t="s">
        <v>844</v>
      </c>
      <c r="C151" s="79" t="s">
        <v>59</v>
      </c>
      <c r="D151" s="80" t="s">
        <v>60</v>
      </c>
      <c r="E151" s="79" t="str">
        <f t="shared" si="1"/>
        <v>GARRAFAO DO NORTERADIO</v>
      </c>
      <c r="F151" s="81">
        <v>1.0</v>
      </c>
      <c r="G151" s="79" t="s">
        <v>61</v>
      </c>
      <c r="H151" s="81" t="str">
        <f t="array" ref="H151">XLOOKUP(B151,municipios,regiao!$D$6:$D$150,0)</f>
        <v>SIM</v>
      </c>
      <c r="I151" s="79" t="s">
        <v>132</v>
      </c>
      <c r="J151" s="82" t="s">
        <v>133</v>
      </c>
      <c r="K151" s="83">
        <v>29.29</v>
      </c>
      <c r="L151" s="85">
        <f>K151/(1-pconfig!$G$2-pconfig!$G$3-pconfig!$G$4)</f>
        <v>55.30589124</v>
      </c>
      <c r="M151" s="83">
        <v>130.6225</v>
      </c>
      <c r="N151" s="83">
        <f>M151/(1-pconfig!$G$2-pconfig!$G$3-pconfig!$G$4)</f>
        <v>246.6436934</v>
      </c>
      <c r="O151" s="83">
        <f>((K151*F151)+M151)/(1-pconfig!$G$2-pconfig!$G$3-pconfig!$G$4)</f>
        <v>301.9495846</v>
      </c>
      <c r="P151" s="86">
        <f>K151*F151/(1-pconfig!$G$2-pconfig!$G$3-pconfig!$G$4)</f>
        <v>55.30589124</v>
      </c>
      <c r="Q151" s="86">
        <f>IFS(F151&lt;=pconfig!$B$12,P151*pconfig!$C$12,F151&lt;=pconfig!$B$13,P151*pconfig!$C$13,F151&lt;=pconfig!$B$14,P151*pconfig!$C$14,F151&lt;=pconfig!$B$15,P151*pconfig!$C$15,F151&lt;=pconfig!$B$16,P151*pconfig!$C$16,F151&lt;=pconfig!$B$17,P151*pconfig!$C$17,F151&lt;=pconfig!$B$18,P151*pconfig!$C$18,F151&lt;=pconfig!$B$19,P151*pconfig!$C$19,F151&lt;=pconfig!$B$20,P151*pconfig!$C$20,F151&lt;=pconfig!$B$21,P151*pconfig!$C$21)</f>
        <v>55.30589124</v>
      </c>
      <c r="R151" s="87">
        <f t="shared" si="2"/>
        <v>301.9495846</v>
      </c>
    </row>
    <row r="152" ht="22.5" hidden="1" customHeight="1">
      <c r="A152" s="52">
        <f t="shared" si="3"/>
        <v>151</v>
      </c>
      <c r="B152" s="53" t="s">
        <v>845</v>
      </c>
      <c r="C152" s="53" t="s">
        <v>50</v>
      </c>
      <c r="D152" s="56" t="s">
        <v>82</v>
      </c>
      <c r="E152" s="53" t="str">
        <f t="shared" si="1"/>
        <v>GOIANESIA DO PARAFIBRA</v>
      </c>
      <c r="F152" s="59">
        <v>1.0</v>
      </c>
      <c r="G152" s="53" t="s">
        <v>128</v>
      </c>
      <c r="H152" s="59" t="str">
        <f t="array" ref="H152">XLOOKUP(B152,municipios,regiao!$D$6:$D$150,0)</f>
        <v>NÃO</v>
      </c>
      <c r="I152" s="53" t="s">
        <v>717</v>
      </c>
      <c r="J152" s="60" t="s">
        <v>133</v>
      </c>
      <c r="K152" s="61">
        <v>29.29</v>
      </c>
      <c r="L152" s="70">
        <f>K152/(1-pconfig!$G$2-pconfig!$G$3-pconfig!$G$4)</f>
        <v>55.30589124</v>
      </c>
      <c r="M152" s="61">
        <v>204.76</v>
      </c>
      <c r="N152" s="61">
        <f>M152/(1-pconfig!$G$2-pconfig!$G$3-pconfig!$G$4)</f>
        <v>386.6314199</v>
      </c>
      <c r="O152" s="61">
        <f>((K152*F152)+M152)/(1-pconfig!$G$2-pconfig!$G$3-pconfig!$G$4)</f>
        <v>441.9373112</v>
      </c>
      <c r="P152" s="74">
        <f>K152*F152/(1-pconfig!$G$2-pconfig!$G$3-pconfig!$G$4)</f>
        <v>55.30589124</v>
      </c>
      <c r="Q152" s="74">
        <f>IFS(F152&lt;=pconfig!$B$12,P152*pconfig!$C$12,F152&lt;=pconfig!$B$13,P152*pconfig!$C$13,F152&lt;=pconfig!$B$14,P152*pconfig!$C$14,F152&lt;=pconfig!$B$15,P152*pconfig!$C$15,F152&lt;=pconfig!$B$16,P152*pconfig!$C$16,F152&lt;=pconfig!$B$17,P152*pconfig!$C$17,F152&lt;=pconfig!$B$18,P152*pconfig!$C$18,F152&lt;=pconfig!$B$19,P152*pconfig!$C$19,F152&lt;=pconfig!$B$20,P152*pconfig!$C$20,F152&lt;=pconfig!$B$21,P152*pconfig!$C$21)</f>
        <v>55.30589124</v>
      </c>
      <c r="R152" s="76">
        <f t="shared" si="2"/>
        <v>441.9373112</v>
      </c>
    </row>
    <row r="153" ht="22.5" hidden="1" customHeight="1">
      <c r="A153" s="78">
        <f t="shared" si="3"/>
        <v>152</v>
      </c>
      <c r="B153" s="79" t="s">
        <v>845</v>
      </c>
      <c r="C153" s="79" t="s">
        <v>101</v>
      </c>
      <c r="D153" s="80" t="s">
        <v>102</v>
      </c>
      <c r="E153" s="79" t="str">
        <f t="shared" si="1"/>
        <v>GOIANESIA DO PARASATELITE</v>
      </c>
      <c r="F153" s="81">
        <v>1.0</v>
      </c>
      <c r="G153" s="79" t="s">
        <v>128</v>
      </c>
      <c r="H153" s="81" t="str">
        <f t="array" ref="H153">XLOOKUP(B153,municipios,regiao!$D$6:$D$150,0)</f>
        <v>NÃO</v>
      </c>
      <c r="I153" s="79" t="s">
        <v>717</v>
      </c>
      <c r="J153" s="82" t="s">
        <v>106</v>
      </c>
      <c r="K153" s="83">
        <v>4799.0</v>
      </c>
      <c r="L153" s="85">
        <f>K153/(1-pconfig!$G$2-pconfig!$G$3-pconfig!$G$4)</f>
        <v>9061.555891</v>
      </c>
      <c r="M153" s="83">
        <v>204.76</v>
      </c>
      <c r="N153" s="83">
        <f>M153/(1-pconfig!$G$2-pconfig!$G$3-pconfig!$G$4)</f>
        <v>386.6314199</v>
      </c>
      <c r="O153" s="83">
        <f>((K153*F153)+M153)/(1-pconfig!$G$2-pconfig!$G$3-pconfig!$G$4)</f>
        <v>9448.187311</v>
      </c>
      <c r="P153" s="86">
        <f>K153*F153/(1-pconfig!$G$2-pconfig!$G$3-pconfig!$G$4)</f>
        <v>9061.555891</v>
      </c>
      <c r="Q153" s="86">
        <f>IFS(F153&lt;=pconfig!$B$12,P153*pconfig!$C$12,F153&lt;=pconfig!$B$13,P153*pconfig!$C$13,F153&lt;=pconfig!$B$14,P153*pconfig!$C$14,F153&lt;=pconfig!$B$15,P153*pconfig!$C$15,F153&lt;=pconfig!$B$16,P153*pconfig!$C$16,F153&lt;=pconfig!$B$17,P153*pconfig!$C$17,F153&lt;=pconfig!$B$18,P153*pconfig!$C$18,F153&lt;=pconfig!$B$19,P153*pconfig!$C$19,F153&lt;=pconfig!$B$20,P153*pconfig!$C$20,F153&lt;=pconfig!$B$21,P153*pconfig!$C$21)</f>
        <v>9061.555891</v>
      </c>
      <c r="R153" s="87">
        <f t="shared" si="2"/>
        <v>9448.187311</v>
      </c>
    </row>
    <row r="154" ht="22.5" hidden="1" customHeight="1">
      <c r="A154" s="52">
        <f t="shared" si="3"/>
        <v>153</v>
      </c>
      <c r="B154" s="53" t="s">
        <v>845</v>
      </c>
      <c r="C154" s="53" t="s">
        <v>59</v>
      </c>
      <c r="D154" s="56" t="s">
        <v>60</v>
      </c>
      <c r="E154" s="53" t="str">
        <f t="shared" si="1"/>
        <v>GOIANESIA DO PARARADIO</v>
      </c>
      <c r="F154" s="59">
        <v>1.0</v>
      </c>
      <c r="G154" s="53" t="s">
        <v>128</v>
      </c>
      <c r="H154" s="59" t="str">
        <f t="array" ref="H154">XLOOKUP(B154,municipios,regiao!$D$6:$D$150,0)</f>
        <v>NÃO</v>
      </c>
      <c r="I154" s="53" t="s">
        <v>717</v>
      </c>
      <c r="J154" s="60" t="s">
        <v>133</v>
      </c>
      <c r="K154" s="61">
        <v>29.29</v>
      </c>
      <c r="L154" s="70">
        <f>K154/(1-pconfig!$G$2-pconfig!$G$3-pconfig!$G$4)</f>
        <v>55.30589124</v>
      </c>
      <c r="M154" s="61">
        <v>333.333333333333</v>
      </c>
      <c r="N154" s="61">
        <f>M154/(1-pconfig!$G$2-pconfig!$G$3-pconfig!$G$4)</f>
        <v>629.4058409</v>
      </c>
      <c r="O154" s="61">
        <f>((K154*F154)+M154)/(1-pconfig!$G$2-pconfig!$G$3-pconfig!$G$4)</f>
        <v>684.7117321</v>
      </c>
      <c r="P154" s="74">
        <f>K154*F154/(1-pconfig!$G$2-pconfig!$G$3-pconfig!$G$4)</f>
        <v>55.30589124</v>
      </c>
      <c r="Q154" s="74">
        <f>IFS(F154&lt;=pconfig!$B$12,P154*pconfig!$C$12,F154&lt;=pconfig!$B$13,P154*pconfig!$C$13,F154&lt;=pconfig!$B$14,P154*pconfig!$C$14,F154&lt;=pconfig!$B$15,P154*pconfig!$C$15,F154&lt;=pconfig!$B$16,P154*pconfig!$C$16,F154&lt;=pconfig!$B$17,P154*pconfig!$C$17,F154&lt;=pconfig!$B$18,P154*pconfig!$C$18,F154&lt;=pconfig!$B$19,P154*pconfig!$C$19,F154&lt;=pconfig!$B$20,P154*pconfig!$C$20,F154&lt;=pconfig!$B$21,P154*pconfig!$C$21)</f>
        <v>55.30589124</v>
      </c>
      <c r="R154" s="76">
        <f t="shared" si="2"/>
        <v>684.7117321</v>
      </c>
    </row>
    <row r="155" ht="22.5" hidden="1" customHeight="1">
      <c r="A155" s="78">
        <f t="shared" si="3"/>
        <v>154</v>
      </c>
      <c r="B155" s="79" t="s">
        <v>846</v>
      </c>
      <c r="C155" s="79" t="s">
        <v>59</v>
      </c>
      <c r="D155" s="80" t="s">
        <v>60</v>
      </c>
      <c r="E155" s="79" t="str">
        <f t="shared" si="1"/>
        <v>GURUPARADIO</v>
      </c>
      <c r="F155" s="81">
        <v>1.0</v>
      </c>
      <c r="G155" s="79" t="s">
        <v>258</v>
      </c>
      <c r="H155" s="81" t="str">
        <f t="array" ref="H155">XLOOKUP(B155,municipios,regiao!$D$6:$D$150,0)</f>
        <v>NÃO</v>
      </c>
      <c r="I155" s="79" t="s">
        <v>258</v>
      </c>
      <c r="J155" s="82" t="s">
        <v>259</v>
      </c>
      <c r="K155" s="83">
        <v>35.73</v>
      </c>
      <c r="L155" s="85">
        <f>K155/(1-pconfig!$G$2-pconfig!$G$3-pconfig!$G$4)</f>
        <v>67.46601208</v>
      </c>
      <c r="M155" s="83">
        <v>106.693333333333</v>
      </c>
      <c r="N155" s="83">
        <f>M155/(1-pconfig!$G$2-pconfig!$G$3-pconfig!$G$4)</f>
        <v>201.4602216</v>
      </c>
      <c r="O155" s="83">
        <f>((K155*F155)+M155)/(1-pconfig!$G$2-pconfig!$G$3-pconfig!$G$4)</f>
        <v>268.9262336</v>
      </c>
      <c r="P155" s="86">
        <f>K155*F155/(1-pconfig!$G$2-pconfig!$G$3-pconfig!$G$4)</f>
        <v>67.46601208</v>
      </c>
      <c r="Q155" s="86">
        <f>IFS(F155&lt;=pconfig!$B$12,P155*pconfig!$C$12,F155&lt;=pconfig!$B$13,P155*pconfig!$C$13,F155&lt;=pconfig!$B$14,P155*pconfig!$C$14,F155&lt;=pconfig!$B$15,P155*pconfig!$C$15,F155&lt;=pconfig!$B$16,P155*pconfig!$C$16,F155&lt;=pconfig!$B$17,P155*pconfig!$C$17,F155&lt;=pconfig!$B$18,P155*pconfig!$C$18,F155&lt;=pconfig!$B$19,P155*pconfig!$C$19,F155&lt;=pconfig!$B$20,P155*pconfig!$C$20,F155&lt;=pconfig!$B$21,P155*pconfig!$C$21)</f>
        <v>67.46601208</v>
      </c>
      <c r="R155" s="87">
        <f t="shared" si="2"/>
        <v>268.9262336</v>
      </c>
    </row>
    <row r="156" ht="22.5" hidden="1" customHeight="1">
      <c r="A156" s="52">
        <f t="shared" si="3"/>
        <v>155</v>
      </c>
      <c r="B156" s="53" t="s">
        <v>846</v>
      </c>
      <c r="C156" s="53" t="s">
        <v>50</v>
      </c>
      <c r="D156" s="56" t="s">
        <v>82</v>
      </c>
      <c r="E156" s="53" t="str">
        <f t="shared" si="1"/>
        <v>GURUPAFIBRA</v>
      </c>
      <c r="F156" s="59">
        <v>1.0</v>
      </c>
      <c r="G156" s="53" t="s">
        <v>258</v>
      </c>
      <c r="H156" s="59" t="str">
        <f t="array" ref="H156">XLOOKUP(B156,municipios,regiao!$D$6:$D$150,0)</f>
        <v>NÃO</v>
      </c>
      <c r="I156" s="53" t="s">
        <v>258</v>
      </c>
      <c r="J156" s="60" t="s">
        <v>259</v>
      </c>
      <c r="K156" s="61">
        <v>35.73</v>
      </c>
      <c r="L156" s="70">
        <f>K156/(1-pconfig!$G$2-pconfig!$G$3-pconfig!$G$4)</f>
        <v>67.46601208</v>
      </c>
      <c r="M156" s="61">
        <v>519.17</v>
      </c>
      <c r="N156" s="61">
        <f>M156/(1-pconfig!$G$2-pconfig!$G$3-pconfig!$G$4)</f>
        <v>980.3058912</v>
      </c>
      <c r="O156" s="61">
        <f>((K156*F156)+M156)/(1-pconfig!$G$2-pconfig!$G$3-pconfig!$G$4)</f>
        <v>1047.771903</v>
      </c>
      <c r="P156" s="74">
        <f>K156*F156/(1-pconfig!$G$2-pconfig!$G$3-pconfig!$G$4)</f>
        <v>67.46601208</v>
      </c>
      <c r="Q156" s="74">
        <f>IFS(F156&lt;=pconfig!$B$12,P156*pconfig!$C$12,F156&lt;=pconfig!$B$13,P156*pconfig!$C$13,F156&lt;=pconfig!$B$14,P156*pconfig!$C$14,F156&lt;=pconfig!$B$15,P156*pconfig!$C$15,F156&lt;=pconfig!$B$16,P156*pconfig!$C$16,F156&lt;=pconfig!$B$17,P156*pconfig!$C$17,F156&lt;=pconfig!$B$18,P156*pconfig!$C$18,F156&lt;=pconfig!$B$19,P156*pconfig!$C$19,F156&lt;=pconfig!$B$20,P156*pconfig!$C$20,F156&lt;=pconfig!$B$21,P156*pconfig!$C$21)</f>
        <v>67.46601208</v>
      </c>
      <c r="R156" s="76">
        <f t="shared" si="2"/>
        <v>1047.771903</v>
      </c>
    </row>
    <row r="157" ht="22.5" hidden="1" customHeight="1">
      <c r="A157" s="78">
        <f t="shared" si="3"/>
        <v>156</v>
      </c>
      <c r="B157" s="79" t="s">
        <v>846</v>
      </c>
      <c r="C157" s="79" t="s">
        <v>101</v>
      </c>
      <c r="D157" s="80" t="s">
        <v>102</v>
      </c>
      <c r="E157" s="79" t="str">
        <f t="shared" si="1"/>
        <v>GURUPASATELITE</v>
      </c>
      <c r="F157" s="81">
        <v>1.0</v>
      </c>
      <c r="G157" s="79" t="s">
        <v>258</v>
      </c>
      <c r="H157" s="81" t="str">
        <f t="array" ref="H157">XLOOKUP(B157,municipios,regiao!$D$6:$D$150,0)</f>
        <v>NÃO</v>
      </c>
      <c r="I157" s="79" t="s">
        <v>258</v>
      </c>
      <c r="J157" s="82" t="s">
        <v>106</v>
      </c>
      <c r="K157" s="83">
        <v>4799.0</v>
      </c>
      <c r="L157" s="85">
        <f>K157/(1-pconfig!$G$2-pconfig!$G$3-pconfig!$G$4)</f>
        <v>9061.555891</v>
      </c>
      <c r="M157" s="83">
        <v>519.17</v>
      </c>
      <c r="N157" s="83">
        <f>M157/(1-pconfig!$G$2-pconfig!$G$3-pconfig!$G$4)</f>
        <v>980.3058912</v>
      </c>
      <c r="O157" s="83">
        <f>((K157*F157)+M157)/(1-pconfig!$G$2-pconfig!$G$3-pconfig!$G$4)</f>
        <v>10041.86178</v>
      </c>
      <c r="P157" s="86">
        <f>K157*F157/(1-pconfig!$G$2-pconfig!$G$3-pconfig!$G$4)</f>
        <v>9061.555891</v>
      </c>
      <c r="Q157" s="86">
        <f>IFS(F157&lt;=pconfig!$B$12,P157*pconfig!$C$12,F157&lt;=pconfig!$B$13,P157*pconfig!$C$13,F157&lt;=pconfig!$B$14,P157*pconfig!$C$14,F157&lt;=pconfig!$B$15,P157*pconfig!$C$15,F157&lt;=pconfig!$B$16,P157*pconfig!$C$16,F157&lt;=pconfig!$B$17,P157*pconfig!$C$17,F157&lt;=pconfig!$B$18,P157*pconfig!$C$18,F157&lt;=pconfig!$B$19,P157*pconfig!$C$19,F157&lt;=pconfig!$B$20,P157*pconfig!$C$20,F157&lt;=pconfig!$B$21,P157*pconfig!$C$21)</f>
        <v>9061.555891</v>
      </c>
      <c r="R157" s="87">
        <f t="shared" si="2"/>
        <v>10041.86178</v>
      </c>
    </row>
    <row r="158" ht="22.5" hidden="1" customHeight="1">
      <c r="A158" s="52">
        <f t="shared" si="3"/>
        <v>157</v>
      </c>
      <c r="B158" s="53" t="s">
        <v>848</v>
      </c>
      <c r="C158" s="53" t="s">
        <v>50</v>
      </c>
      <c r="D158" s="56" t="s">
        <v>82</v>
      </c>
      <c r="E158" s="53" t="str">
        <f t="shared" si="1"/>
        <v>IGARAPE-ACUFIBRA</v>
      </c>
      <c r="F158" s="59">
        <v>1.0</v>
      </c>
      <c r="G158" s="53" t="s">
        <v>61</v>
      </c>
      <c r="H158" s="59" t="str">
        <f t="array" ref="H158">XLOOKUP(B158,municipios,regiao!$D$6:$D$150,0)</f>
        <v>SIM</v>
      </c>
      <c r="I158" s="53" t="s">
        <v>798</v>
      </c>
      <c r="J158" s="60" t="s">
        <v>337</v>
      </c>
      <c r="K158" s="61">
        <v>17.84</v>
      </c>
      <c r="L158" s="70">
        <f>K158/(1-pconfig!$G$2-pconfig!$G$3-pconfig!$G$4)</f>
        <v>33.6858006</v>
      </c>
      <c r="M158" s="61">
        <v>70.72</v>
      </c>
      <c r="N158" s="61">
        <f>M158/(1-pconfig!$G$2-pconfig!$G$3-pconfig!$G$4)</f>
        <v>133.5347432</v>
      </c>
      <c r="O158" s="61">
        <f>((K158*F158)+M158)/(1-pconfig!$G$2-pconfig!$G$3-pconfig!$G$4)</f>
        <v>167.2205438</v>
      </c>
      <c r="P158" s="74">
        <f>K158*F158/(1-pconfig!$G$2-pconfig!$G$3-pconfig!$G$4)</f>
        <v>33.6858006</v>
      </c>
      <c r="Q158" s="74">
        <f>IFS(F158&lt;=pconfig!$B$12,P158*pconfig!$C$12,F158&lt;=pconfig!$B$13,P158*pconfig!$C$13,F158&lt;=pconfig!$B$14,P158*pconfig!$C$14,F158&lt;=pconfig!$B$15,P158*pconfig!$C$15,F158&lt;=pconfig!$B$16,P158*pconfig!$C$16,F158&lt;=pconfig!$B$17,P158*pconfig!$C$17,F158&lt;=pconfig!$B$18,P158*pconfig!$C$18,F158&lt;=pconfig!$B$19,P158*pconfig!$C$19,F158&lt;=pconfig!$B$20,P158*pconfig!$C$20,F158&lt;=pconfig!$B$21,P158*pconfig!$C$21)</f>
        <v>33.6858006</v>
      </c>
      <c r="R158" s="76">
        <f t="shared" si="2"/>
        <v>167.2205438</v>
      </c>
    </row>
    <row r="159" ht="22.5" hidden="1" customHeight="1">
      <c r="A159" s="78">
        <f t="shared" si="3"/>
        <v>158</v>
      </c>
      <c r="B159" s="79" t="s">
        <v>848</v>
      </c>
      <c r="C159" s="79" t="s">
        <v>101</v>
      </c>
      <c r="D159" s="80" t="s">
        <v>102</v>
      </c>
      <c r="E159" s="79" t="str">
        <f t="shared" si="1"/>
        <v>IGARAPE-ACUSATELITE</v>
      </c>
      <c r="F159" s="81">
        <v>1.0</v>
      </c>
      <c r="G159" s="79" t="s">
        <v>61</v>
      </c>
      <c r="H159" s="81" t="str">
        <f t="array" ref="H159">XLOOKUP(B159,municipios,regiao!$D$6:$D$150,0)</f>
        <v>SIM</v>
      </c>
      <c r="I159" s="79" t="s">
        <v>798</v>
      </c>
      <c r="J159" s="82" t="s">
        <v>106</v>
      </c>
      <c r="K159" s="83">
        <v>4799.0</v>
      </c>
      <c r="L159" s="85">
        <f>K159/(1-pconfig!$G$2-pconfig!$G$3-pconfig!$G$4)</f>
        <v>9061.555891</v>
      </c>
      <c r="M159" s="83">
        <v>70.72</v>
      </c>
      <c r="N159" s="83">
        <f>M159/(1-pconfig!$G$2-pconfig!$G$3-pconfig!$G$4)</f>
        <v>133.5347432</v>
      </c>
      <c r="O159" s="83">
        <f>((K159*F159)+M159)/(1-pconfig!$G$2-pconfig!$G$3-pconfig!$G$4)</f>
        <v>9195.090634</v>
      </c>
      <c r="P159" s="86">
        <f>K159*F159/(1-pconfig!$G$2-pconfig!$G$3-pconfig!$G$4)</f>
        <v>9061.555891</v>
      </c>
      <c r="Q159" s="86">
        <f>IFS(F159&lt;=pconfig!$B$12,P159*pconfig!$C$12,F159&lt;=pconfig!$B$13,P159*pconfig!$C$13,F159&lt;=pconfig!$B$14,P159*pconfig!$C$14,F159&lt;=pconfig!$B$15,P159*pconfig!$C$15,F159&lt;=pconfig!$B$16,P159*pconfig!$C$16,F159&lt;=pconfig!$B$17,P159*pconfig!$C$17,F159&lt;=pconfig!$B$18,P159*pconfig!$C$18,F159&lt;=pconfig!$B$19,P159*pconfig!$C$19,F159&lt;=pconfig!$B$20,P159*pconfig!$C$20,F159&lt;=pconfig!$B$21,P159*pconfig!$C$21)</f>
        <v>9061.555891</v>
      </c>
      <c r="R159" s="87">
        <f t="shared" si="2"/>
        <v>9195.090634</v>
      </c>
    </row>
    <row r="160" ht="22.5" hidden="1" customHeight="1">
      <c r="A160" s="52">
        <f t="shared" si="3"/>
        <v>159</v>
      </c>
      <c r="B160" s="53" t="s">
        <v>848</v>
      </c>
      <c r="C160" s="53" t="s">
        <v>59</v>
      </c>
      <c r="D160" s="56" t="s">
        <v>60</v>
      </c>
      <c r="E160" s="53" t="str">
        <f t="shared" si="1"/>
        <v>IGARAPE-ACURADIO</v>
      </c>
      <c r="F160" s="59">
        <v>1.0</v>
      </c>
      <c r="G160" s="53" t="s">
        <v>61</v>
      </c>
      <c r="H160" s="59" t="str">
        <f t="array" ref="H160">XLOOKUP(B160,municipios,regiao!$D$6:$D$150,0)</f>
        <v>SIM</v>
      </c>
      <c r="I160" s="53" t="s">
        <v>798</v>
      </c>
      <c r="J160" s="60" t="s">
        <v>337</v>
      </c>
      <c r="K160" s="61">
        <v>17.84</v>
      </c>
      <c r="L160" s="70">
        <f>K160/(1-pconfig!$G$2-pconfig!$G$3-pconfig!$G$4)</f>
        <v>33.6858006</v>
      </c>
      <c r="M160" s="61">
        <v>137.604166666667</v>
      </c>
      <c r="N160" s="61">
        <f>M160/(1-pconfig!$G$2-pconfig!$G$3-pconfig!$G$4)</f>
        <v>259.8265987</v>
      </c>
      <c r="O160" s="61">
        <f>((K160*F160)+M160)/(1-pconfig!$G$2-pconfig!$G$3-pconfig!$G$4)</f>
        <v>293.5123993</v>
      </c>
      <c r="P160" s="74">
        <f>K160*F160/(1-pconfig!$G$2-pconfig!$G$3-pconfig!$G$4)</f>
        <v>33.6858006</v>
      </c>
      <c r="Q160" s="74">
        <f>IFS(F160&lt;=pconfig!$B$12,P160*pconfig!$C$12,F160&lt;=pconfig!$B$13,P160*pconfig!$C$13,F160&lt;=pconfig!$B$14,P160*pconfig!$C$14,F160&lt;=pconfig!$B$15,P160*pconfig!$C$15,F160&lt;=pconfig!$B$16,P160*pconfig!$C$16,F160&lt;=pconfig!$B$17,P160*pconfig!$C$17,F160&lt;=pconfig!$B$18,P160*pconfig!$C$18,F160&lt;=pconfig!$B$19,P160*pconfig!$C$19,F160&lt;=pconfig!$B$20,P160*pconfig!$C$20,F160&lt;=pconfig!$B$21,P160*pconfig!$C$21)</f>
        <v>33.6858006</v>
      </c>
      <c r="R160" s="76">
        <f t="shared" si="2"/>
        <v>293.5123993</v>
      </c>
    </row>
    <row r="161" ht="22.5" hidden="1" customHeight="1">
      <c r="A161" s="78">
        <f t="shared" si="3"/>
        <v>160</v>
      </c>
      <c r="B161" s="79" t="s">
        <v>850</v>
      </c>
      <c r="C161" s="79" t="s">
        <v>59</v>
      </c>
      <c r="D161" s="80" t="s">
        <v>60</v>
      </c>
      <c r="E161" s="79" t="str">
        <f t="shared" si="1"/>
        <v>IGARAPE-MIRIRADIO</v>
      </c>
      <c r="F161" s="81">
        <v>1.0</v>
      </c>
      <c r="G161" s="79" t="s">
        <v>61</v>
      </c>
      <c r="H161" s="81" t="str">
        <f t="array" ref="H161">XLOOKUP(B161,municipios,regiao!$D$6:$D$150,0)</f>
        <v>SIM</v>
      </c>
      <c r="I161" s="79" t="s">
        <v>63</v>
      </c>
      <c r="J161" s="82" t="s">
        <v>235</v>
      </c>
      <c r="K161" s="83">
        <v>20.69</v>
      </c>
      <c r="L161" s="85">
        <f>K161/(1-pconfig!$G$2-pconfig!$G$3-pconfig!$G$4)</f>
        <v>39.06722054</v>
      </c>
      <c r="M161" s="83">
        <v>138.285</v>
      </c>
      <c r="N161" s="83">
        <f>M161/(1-pconfig!$G$2-pconfig!$G$3-pconfig!$G$4)</f>
        <v>261.1121601</v>
      </c>
      <c r="O161" s="83">
        <f>((K161*F161)+M161)/(1-pconfig!$G$2-pconfig!$G$3-pconfig!$G$4)</f>
        <v>300.1793807</v>
      </c>
      <c r="P161" s="86">
        <f>K161*F161/(1-pconfig!$G$2-pconfig!$G$3-pconfig!$G$4)</f>
        <v>39.06722054</v>
      </c>
      <c r="Q161" s="86">
        <f>IFS(F161&lt;=pconfig!$B$12,P161*pconfig!$C$12,F161&lt;=pconfig!$B$13,P161*pconfig!$C$13,F161&lt;=pconfig!$B$14,P161*pconfig!$C$14,F161&lt;=pconfig!$B$15,P161*pconfig!$C$15,F161&lt;=pconfig!$B$16,P161*pconfig!$C$16,F161&lt;=pconfig!$B$17,P161*pconfig!$C$17,F161&lt;=pconfig!$B$18,P161*pconfig!$C$18,F161&lt;=pconfig!$B$19,P161*pconfig!$C$19,F161&lt;=pconfig!$B$20,P161*pconfig!$C$20,F161&lt;=pconfig!$B$21,P161*pconfig!$C$21)</f>
        <v>39.06722054</v>
      </c>
      <c r="R161" s="87">
        <f t="shared" si="2"/>
        <v>300.1793807</v>
      </c>
    </row>
    <row r="162" ht="22.5" hidden="1" customHeight="1">
      <c r="A162" s="52">
        <f t="shared" si="3"/>
        <v>161</v>
      </c>
      <c r="B162" s="53" t="s">
        <v>850</v>
      </c>
      <c r="C162" s="53" t="s">
        <v>50</v>
      </c>
      <c r="D162" s="56" t="s">
        <v>82</v>
      </c>
      <c r="E162" s="53" t="str">
        <f t="shared" si="1"/>
        <v>IGARAPE-MIRIFIBRA</v>
      </c>
      <c r="F162" s="59">
        <v>1.0</v>
      </c>
      <c r="G162" s="53" t="s">
        <v>61</v>
      </c>
      <c r="H162" s="59" t="str">
        <f t="array" ref="H162">XLOOKUP(B162,municipios,regiao!$D$6:$D$150,0)</f>
        <v>SIM</v>
      </c>
      <c r="I162" s="53" t="s">
        <v>63</v>
      </c>
      <c r="J162" s="60" t="s">
        <v>235</v>
      </c>
      <c r="K162" s="61">
        <v>20.69</v>
      </c>
      <c r="L162" s="70">
        <f>K162/(1-pconfig!$G$2-pconfig!$G$3-pconfig!$G$4)</f>
        <v>39.06722054</v>
      </c>
      <c r="M162" s="61">
        <v>314.77</v>
      </c>
      <c r="N162" s="61">
        <f>M162/(1-pconfig!$G$2-pconfig!$G$3-pconfig!$G$4)</f>
        <v>594.3542296</v>
      </c>
      <c r="O162" s="61">
        <f>((K162*F162)+M162)/(1-pconfig!$G$2-pconfig!$G$3-pconfig!$G$4)</f>
        <v>633.4214502</v>
      </c>
      <c r="P162" s="74">
        <f>K162*F162/(1-pconfig!$G$2-pconfig!$G$3-pconfig!$G$4)</f>
        <v>39.06722054</v>
      </c>
      <c r="Q162" s="74">
        <f>IFS(F162&lt;=pconfig!$B$12,P162*pconfig!$C$12,F162&lt;=pconfig!$B$13,P162*pconfig!$C$13,F162&lt;=pconfig!$B$14,P162*pconfig!$C$14,F162&lt;=pconfig!$B$15,P162*pconfig!$C$15,F162&lt;=pconfig!$B$16,P162*pconfig!$C$16,F162&lt;=pconfig!$B$17,P162*pconfig!$C$17,F162&lt;=pconfig!$B$18,P162*pconfig!$C$18,F162&lt;=pconfig!$B$19,P162*pconfig!$C$19,F162&lt;=pconfig!$B$20,P162*pconfig!$C$20,F162&lt;=pconfig!$B$21,P162*pconfig!$C$21)</f>
        <v>39.06722054</v>
      </c>
      <c r="R162" s="76">
        <f t="shared" si="2"/>
        <v>633.4214502</v>
      </c>
    </row>
    <row r="163" ht="22.5" hidden="1" customHeight="1">
      <c r="A163" s="78">
        <f t="shared" si="3"/>
        <v>162</v>
      </c>
      <c r="B163" s="79" t="s">
        <v>850</v>
      </c>
      <c r="C163" s="79" t="s">
        <v>101</v>
      </c>
      <c r="D163" s="80" t="s">
        <v>102</v>
      </c>
      <c r="E163" s="79" t="str">
        <f t="shared" si="1"/>
        <v>IGARAPE-MIRISATELITE</v>
      </c>
      <c r="F163" s="81">
        <v>1.0</v>
      </c>
      <c r="G163" s="79" t="s">
        <v>61</v>
      </c>
      <c r="H163" s="81" t="str">
        <f t="array" ref="H163">XLOOKUP(B163,municipios,regiao!$D$6:$D$150,0)</f>
        <v>SIM</v>
      </c>
      <c r="I163" s="79" t="s">
        <v>63</v>
      </c>
      <c r="J163" s="82" t="s">
        <v>106</v>
      </c>
      <c r="K163" s="83">
        <v>4799.0</v>
      </c>
      <c r="L163" s="85">
        <f>K163/(1-pconfig!$G$2-pconfig!$G$3-pconfig!$G$4)</f>
        <v>9061.555891</v>
      </c>
      <c r="M163" s="83">
        <v>314.77</v>
      </c>
      <c r="N163" s="83">
        <f>M163/(1-pconfig!$G$2-pconfig!$G$3-pconfig!$G$4)</f>
        <v>594.3542296</v>
      </c>
      <c r="O163" s="83">
        <f>((K163*F163)+M163)/(1-pconfig!$G$2-pconfig!$G$3-pconfig!$G$4)</f>
        <v>9655.910121</v>
      </c>
      <c r="P163" s="86">
        <f>K163*F163/(1-pconfig!$G$2-pconfig!$G$3-pconfig!$G$4)</f>
        <v>9061.555891</v>
      </c>
      <c r="Q163" s="86">
        <f>IFS(F163&lt;=pconfig!$B$12,P163*pconfig!$C$12,F163&lt;=pconfig!$B$13,P163*pconfig!$C$13,F163&lt;=pconfig!$B$14,P163*pconfig!$C$14,F163&lt;=pconfig!$B$15,P163*pconfig!$C$15,F163&lt;=pconfig!$B$16,P163*pconfig!$C$16,F163&lt;=pconfig!$B$17,P163*pconfig!$C$17,F163&lt;=pconfig!$B$18,P163*pconfig!$C$18,F163&lt;=pconfig!$B$19,P163*pconfig!$C$19,F163&lt;=pconfig!$B$20,P163*pconfig!$C$20,F163&lt;=pconfig!$B$21,P163*pconfig!$C$21)</f>
        <v>9061.555891</v>
      </c>
      <c r="R163" s="87">
        <f t="shared" si="2"/>
        <v>9655.910121</v>
      </c>
    </row>
    <row r="164" ht="22.5" hidden="1" customHeight="1">
      <c r="A164" s="52">
        <f t="shared" si="3"/>
        <v>163</v>
      </c>
      <c r="B164" s="53" t="s">
        <v>851</v>
      </c>
      <c r="C164" s="53" t="s">
        <v>50</v>
      </c>
      <c r="D164" s="56" t="s">
        <v>82</v>
      </c>
      <c r="E164" s="53" t="str">
        <f t="shared" si="1"/>
        <v>INHANGAPIFIBRA</v>
      </c>
      <c r="F164" s="59">
        <v>1.0</v>
      </c>
      <c r="G164" s="53" t="s">
        <v>411</v>
      </c>
      <c r="H164" s="59" t="str">
        <f t="array" ref="H164">XLOOKUP(B164,municipios,regiao!$D$6:$D$150,0)</f>
        <v>SIM</v>
      </c>
      <c r="I164" s="53" t="s">
        <v>798</v>
      </c>
      <c r="J164" s="60" t="s">
        <v>337</v>
      </c>
      <c r="K164" s="61">
        <v>17.84</v>
      </c>
      <c r="L164" s="70">
        <f>K164/(1-pconfig!$G$2-pconfig!$G$3-pconfig!$G$4)</f>
        <v>33.6858006</v>
      </c>
      <c r="M164" s="61">
        <v>70.72</v>
      </c>
      <c r="N164" s="61">
        <f>M164/(1-pconfig!$G$2-pconfig!$G$3-pconfig!$G$4)</f>
        <v>133.5347432</v>
      </c>
      <c r="O164" s="61">
        <f>((K164*F164)+M164)/(1-pconfig!$G$2-pconfig!$G$3-pconfig!$G$4)</f>
        <v>167.2205438</v>
      </c>
      <c r="P164" s="74">
        <f>K164*F164/(1-pconfig!$G$2-pconfig!$G$3-pconfig!$G$4)</f>
        <v>33.6858006</v>
      </c>
      <c r="Q164" s="74">
        <f>IFS(F164&lt;=pconfig!$B$12,P164*pconfig!$C$12,F164&lt;=pconfig!$B$13,P164*pconfig!$C$13,F164&lt;=pconfig!$B$14,P164*pconfig!$C$14,F164&lt;=pconfig!$B$15,P164*pconfig!$C$15,F164&lt;=pconfig!$B$16,P164*pconfig!$C$16,F164&lt;=pconfig!$B$17,P164*pconfig!$C$17,F164&lt;=pconfig!$B$18,P164*pconfig!$C$18,F164&lt;=pconfig!$B$19,P164*pconfig!$C$19,F164&lt;=pconfig!$B$20,P164*pconfig!$C$20,F164&lt;=pconfig!$B$21,P164*pconfig!$C$21)</f>
        <v>33.6858006</v>
      </c>
      <c r="R164" s="76">
        <f t="shared" si="2"/>
        <v>167.2205438</v>
      </c>
    </row>
    <row r="165" ht="22.5" hidden="1" customHeight="1">
      <c r="A165" s="78">
        <f t="shared" si="3"/>
        <v>164</v>
      </c>
      <c r="B165" s="79" t="s">
        <v>851</v>
      </c>
      <c r="C165" s="79" t="s">
        <v>101</v>
      </c>
      <c r="D165" s="80" t="s">
        <v>102</v>
      </c>
      <c r="E165" s="79" t="str">
        <f t="shared" si="1"/>
        <v>INHANGAPISATELITE</v>
      </c>
      <c r="F165" s="81">
        <v>1.0</v>
      </c>
      <c r="G165" s="79" t="s">
        <v>411</v>
      </c>
      <c r="H165" s="81" t="str">
        <f t="array" ref="H165">XLOOKUP(B165,municipios,regiao!$D$6:$D$150,0)</f>
        <v>SIM</v>
      </c>
      <c r="I165" s="79" t="s">
        <v>798</v>
      </c>
      <c r="J165" s="82" t="s">
        <v>106</v>
      </c>
      <c r="K165" s="83">
        <v>4799.0</v>
      </c>
      <c r="L165" s="85">
        <f>K165/(1-pconfig!$G$2-pconfig!$G$3-pconfig!$G$4)</f>
        <v>9061.555891</v>
      </c>
      <c r="M165" s="83">
        <v>70.72</v>
      </c>
      <c r="N165" s="83">
        <f>M165/(1-pconfig!$G$2-pconfig!$G$3-pconfig!$G$4)</f>
        <v>133.5347432</v>
      </c>
      <c r="O165" s="83">
        <f>((K165*F165)+M165)/(1-pconfig!$G$2-pconfig!$G$3-pconfig!$G$4)</f>
        <v>9195.090634</v>
      </c>
      <c r="P165" s="86">
        <f>K165*F165/(1-pconfig!$G$2-pconfig!$G$3-pconfig!$G$4)</f>
        <v>9061.555891</v>
      </c>
      <c r="Q165" s="86">
        <f>IFS(F165&lt;=pconfig!$B$12,P165*pconfig!$C$12,F165&lt;=pconfig!$B$13,P165*pconfig!$C$13,F165&lt;=pconfig!$B$14,P165*pconfig!$C$14,F165&lt;=pconfig!$B$15,P165*pconfig!$C$15,F165&lt;=pconfig!$B$16,P165*pconfig!$C$16,F165&lt;=pconfig!$B$17,P165*pconfig!$C$17,F165&lt;=pconfig!$B$18,P165*pconfig!$C$18,F165&lt;=pconfig!$B$19,P165*pconfig!$C$19,F165&lt;=pconfig!$B$20,P165*pconfig!$C$20,F165&lt;=pconfig!$B$21,P165*pconfig!$C$21)</f>
        <v>9061.555891</v>
      </c>
      <c r="R165" s="87">
        <f t="shared" si="2"/>
        <v>9195.090634</v>
      </c>
    </row>
    <row r="166" ht="22.5" hidden="1" customHeight="1">
      <c r="A166" s="52">
        <f t="shared" si="3"/>
        <v>165</v>
      </c>
      <c r="B166" s="53" t="s">
        <v>851</v>
      </c>
      <c r="C166" s="53" t="s">
        <v>59</v>
      </c>
      <c r="D166" s="56" t="s">
        <v>60</v>
      </c>
      <c r="E166" s="53" t="str">
        <f t="shared" si="1"/>
        <v>INHANGAPIRADIO</v>
      </c>
      <c r="F166" s="59">
        <v>1.0</v>
      </c>
      <c r="G166" s="53" t="s">
        <v>411</v>
      </c>
      <c r="H166" s="59" t="str">
        <f t="array" ref="H166">XLOOKUP(B166,municipios,regiao!$D$6:$D$150,0)</f>
        <v>SIM</v>
      </c>
      <c r="I166" s="53" t="s">
        <v>798</v>
      </c>
      <c r="J166" s="60" t="s">
        <v>337</v>
      </c>
      <c r="K166" s="61">
        <v>17.84</v>
      </c>
      <c r="L166" s="70">
        <f>K166/(1-pconfig!$G$2-pconfig!$G$3-pconfig!$G$4)</f>
        <v>33.6858006</v>
      </c>
      <c r="M166" s="61">
        <v>137.604166666667</v>
      </c>
      <c r="N166" s="61">
        <f>M166/(1-pconfig!$G$2-pconfig!$G$3-pconfig!$G$4)</f>
        <v>259.8265987</v>
      </c>
      <c r="O166" s="61">
        <f>((K166*F166)+M166)/(1-pconfig!$G$2-pconfig!$G$3-pconfig!$G$4)</f>
        <v>293.5123993</v>
      </c>
      <c r="P166" s="74">
        <f>K166*F166/(1-pconfig!$G$2-pconfig!$G$3-pconfig!$G$4)</f>
        <v>33.6858006</v>
      </c>
      <c r="Q166" s="74">
        <f>IFS(F166&lt;=pconfig!$B$12,P166*pconfig!$C$12,F166&lt;=pconfig!$B$13,P166*pconfig!$C$13,F166&lt;=pconfig!$B$14,P166*pconfig!$C$14,F166&lt;=pconfig!$B$15,P166*pconfig!$C$15,F166&lt;=pconfig!$B$16,P166*pconfig!$C$16,F166&lt;=pconfig!$B$17,P166*pconfig!$C$17,F166&lt;=pconfig!$B$18,P166*pconfig!$C$18,F166&lt;=pconfig!$B$19,P166*pconfig!$C$19,F166&lt;=pconfig!$B$20,P166*pconfig!$C$20,F166&lt;=pconfig!$B$21,P166*pconfig!$C$21)</f>
        <v>33.6858006</v>
      </c>
      <c r="R166" s="76">
        <f t="shared" si="2"/>
        <v>293.5123993</v>
      </c>
    </row>
    <row r="167" ht="22.5" hidden="1" customHeight="1">
      <c r="A167" s="78">
        <f t="shared" si="3"/>
        <v>166</v>
      </c>
      <c r="B167" s="79" t="s">
        <v>852</v>
      </c>
      <c r="C167" s="79" t="s">
        <v>50</v>
      </c>
      <c r="D167" s="80" t="s">
        <v>82</v>
      </c>
      <c r="E167" s="79" t="str">
        <f t="shared" si="1"/>
        <v>IPIXUNA DO PARAFIBRA</v>
      </c>
      <c r="F167" s="81">
        <v>1.0</v>
      </c>
      <c r="G167" s="79" t="s">
        <v>61</v>
      </c>
      <c r="H167" s="81" t="str">
        <f t="array" ref="H167">XLOOKUP(B167,municipios,regiao!$D$6:$D$150,0)</f>
        <v>SIM</v>
      </c>
      <c r="I167" s="79" t="s">
        <v>132</v>
      </c>
      <c r="J167" s="82" t="s">
        <v>64</v>
      </c>
      <c r="K167" s="83">
        <v>15.65</v>
      </c>
      <c r="L167" s="85">
        <f>K167/(1-pconfig!$G$2-pconfig!$G$3-pconfig!$G$4)</f>
        <v>29.55060423</v>
      </c>
      <c r="M167" s="83">
        <v>63.39</v>
      </c>
      <c r="N167" s="83">
        <f>M167/(1-pconfig!$G$2-pconfig!$G$3-pconfig!$G$4)</f>
        <v>119.6941088</v>
      </c>
      <c r="O167" s="83">
        <f>((K167*F167)+M167)/(1-pconfig!$G$2-pconfig!$G$3-pconfig!$G$4)</f>
        <v>149.244713</v>
      </c>
      <c r="P167" s="86">
        <f>K167*F167/(1-pconfig!$G$2-pconfig!$G$3-pconfig!$G$4)</f>
        <v>29.55060423</v>
      </c>
      <c r="Q167" s="86">
        <f>IFS(F167&lt;=pconfig!$B$12,P167*pconfig!$C$12,F167&lt;=pconfig!$B$13,P167*pconfig!$C$13,F167&lt;=pconfig!$B$14,P167*pconfig!$C$14,F167&lt;=pconfig!$B$15,P167*pconfig!$C$15,F167&lt;=pconfig!$B$16,P167*pconfig!$C$16,F167&lt;=pconfig!$B$17,P167*pconfig!$C$17,F167&lt;=pconfig!$B$18,P167*pconfig!$C$18,F167&lt;=pconfig!$B$19,P167*pconfig!$C$19,F167&lt;=pconfig!$B$20,P167*pconfig!$C$20,F167&lt;=pconfig!$B$21,P167*pconfig!$C$21)</f>
        <v>29.55060423</v>
      </c>
      <c r="R167" s="87">
        <f t="shared" si="2"/>
        <v>149.244713</v>
      </c>
    </row>
    <row r="168" ht="22.5" hidden="1" customHeight="1">
      <c r="A168" s="52">
        <f t="shared" si="3"/>
        <v>167</v>
      </c>
      <c r="B168" s="53" t="s">
        <v>852</v>
      </c>
      <c r="C168" s="53" t="s">
        <v>101</v>
      </c>
      <c r="D168" s="56" t="s">
        <v>102</v>
      </c>
      <c r="E168" s="53" t="str">
        <f t="shared" si="1"/>
        <v>IPIXUNA DO PARASATELITE</v>
      </c>
      <c r="F168" s="59">
        <v>1.0</v>
      </c>
      <c r="G168" s="53" t="s">
        <v>61</v>
      </c>
      <c r="H168" s="59" t="str">
        <f t="array" ref="H168">XLOOKUP(B168,municipios,regiao!$D$6:$D$150,0)</f>
        <v>SIM</v>
      </c>
      <c r="I168" s="53" t="s">
        <v>132</v>
      </c>
      <c r="J168" s="60" t="s">
        <v>106</v>
      </c>
      <c r="K168" s="61">
        <v>4799.0</v>
      </c>
      <c r="L168" s="70">
        <f>K168/(1-pconfig!$G$2-pconfig!$G$3-pconfig!$G$4)</f>
        <v>9061.555891</v>
      </c>
      <c r="M168" s="61">
        <v>63.39</v>
      </c>
      <c r="N168" s="61">
        <f>M168/(1-pconfig!$G$2-pconfig!$G$3-pconfig!$G$4)</f>
        <v>119.6941088</v>
      </c>
      <c r="O168" s="61">
        <f>((K168*F168)+M168)/(1-pconfig!$G$2-pconfig!$G$3-pconfig!$G$4)</f>
        <v>9181.25</v>
      </c>
      <c r="P168" s="74">
        <f>K168*F168/(1-pconfig!$G$2-pconfig!$G$3-pconfig!$G$4)</f>
        <v>9061.555891</v>
      </c>
      <c r="Q168" s="74">
        <f>IFS(F168&lt;=pconfig!$B$12,P168*pconfig!$C$12,F168&lt;=pconfig!$B$13,P168*pconfig!$C$13,F168&lt;=pconfig!$B$14,P168*pconfig!$C$14,F168&lt;=pconfig!$B$15,P168*pconfig!$C$15,F168&lt;=pconfig!$B$16,P168*pconfig!$C$16,F168&lt;=pconfig!$B$17,P168*pconfig!$C$17,F168&lt;=pconfig!$B$18,P168*pconfig!$C$18,F168&lt;=pconfig!$B$19,P168*pconfig!$C$19,F168&lt;=pconfig!$B$20,P168*pconfig!$C$20,F168&lt;=pconfig!$B$21,P168*pconfig!$C$21)</f>
        <v>9061.555891</v>
      </c>
      <c r="R168" s="76">
        <f t="shared" si="2"/>
        <v>9181.25</v>
      </c>
    </row>
    <row r="169" ht="22.5" hidden="1" customHeight="1">
      <c r="A169" s="78">
        <f t="shared" si="3"/>
        <v>168</v>
      </c>
      <c r="B169" s="79" t="s">
        <v>852</v>
      </c>
      <c r="C169" s="79" t="s">
        <v>59</v>
      </c>
      <c r="D169" s="80" t="s">
        <v>60</v>
      </c>
      <c r="E169" s="79" t="str">
        <f t="shared" si="1"/>
        <v>IPIXUNA DO PARARADIO</v>
      </c>
      <c r="F169" s="81">
        <v>1.0</v>
      </c>
      <c r="G169" s="79" t="s">
        <v>61</v>
      </c>
      <c r="H169" s="81" t="str">
        <f t="array" ref="H169">XLOOKUP(B169,municipios,regiao!$D$6:$D$150,0)</f>
        <v>SIM</v>
      </c>
      <c r="I169" s="79" t="s">
        <v>132</v>
      </c>
      <c r="J169" s="82" t="s">
        <v>64</v>
      </c>
      <c r="K169" s="83">
        <v>15.65</v>
      </c>
      <c r="L169" s="85">
        <f>K169/(1-pconfig!$G$2-pconfig!$G$3-pconfig!$G$4)</f>
        <v>29.55060423</v>
      </c>
      <c r="M169" s="83">
        <v>130.6225</v>
      </c>
      <c r="N169" s="83">
        <f>M169/(1-pconfig!$G$2-pconfig!$G$3-pconfig!$G$4)</f>
        <v>246.6436934</v>
      </c>
      <c r="O169" s="83">
        <f>((K169*F169)+M169)/(1-pconfig!$G$2-pconfig!$G$3-pconfig!$G$4)</f>
        <v>276.1942976</v>
      </c>
      <c r="P169" s="86">
        <f>K169*F169/(1-pconfig!$G$2-pconfig!$G$3-pconfig!$G$4)</f>
        <v>29.55060423</v>
      </c>
      <c r="Q169" s="86">
        <f>IFS(F169&lt;=pconfig!$B$12,P169*pconfig!$C$12,F169&lt;=pconfig!$B$13,P169*pconfig!$C$13,F169&lt;=pconfig!$B$14,P169*pconfig!$C$14,F169&lt;=pconfig!$B$15,P169*pconfig!$C$15,F169&lt;=pconfig!$B$16,P169*pconfig!$C$16,F169&lt;=pconfig!$B$17,P169*pconfig!$C$17,F169&lt;=pconfig!$B$18,P169*pconfig!$C$18,F169&lt;=pconfig!$B$19,P169*pconfig!$C$19,F169&lt;=pconfig!$B$20,P169*pconfig!$C$20,F169&lt;=pconfig!$B$21,P169*pconfig!$C$21)</f>
        <v>29.55060423</v>
      </c>
      <c r="R169" s="87">
        <f t="shared" si="2"/>
        <v>276.1942976</v>
      </c>
    </row>
    <row r="170" ht="22.5" hidden="1" customHeight="1">
      <c r="A170" s="52">
        <f t="shared" si="3"/>
        <v>169</v>
      </c>
      <c r="B170" s="53" t="s">
        <v>854</v>
      </c>
      <c r="C170" s="53" t="s">
        <v>50</v>
      </c>
      <c r="D170" s="56" t="s">
        <v>82</v>
      </c>
      <c r="E170" s="53" t="str">
        <f t="shared" si="1"/>
        <v>IRITUIAFIBRA</v>
      </c>
      <c r="F170" s="59">
        <v>1.0</v>
      </c>
      <c r="G170" s="53" t="s">
        <v>61</v>
      </c>
      <c r="H170" s="59" t="str">
        <f t="array" ref="H170">XLOOKUP(B170,municipios,regiao!$D$6:$D$150,0)</f>
        <v>SIM</v>
      </c>
      <c r="I170" s="53" t="s">
        <v>132</v>
      </c>
      <c r="J170" s="60" t="s">
        <v>133</v>
      </c>
      <c r="K170" s="61">
        <v>29.29</v>
      </c>
      <c r="L170" s="70">
        <f>K170/(1-pconfig!$G$2-pconfig!$G$3-pconfig!$G$4)</f>
        <v>55.30589124</v>
      </c>
      <c r="M170" s="61">
        <v>63.39</v>
      </c>
      <c r="N170" s="61">
        <f>M170/(1-pconfig!$G$2-pconfig!$G$3-pconfig!$G$4)</f>
        <v>119.6941088</v>
      </c>
      <c r="O170" s="61">
        <f>((K170*F170)+M170)/(1-pconfig!$G$2-pconfig!$G$3-pconfig!$G$4)</f>
        <v>175</v>
      </c>
      <c r="P170" s="74">
        <f>K170*F170/(1-pconfig!$G$2-pconfig!$G$3-pconfig!$G$4)</f>
        <v>55.30589124</v>
      </c>
      <c r="Q170" s="74">
        <f>IFS(F170&lt;=pconfig!$B$12,P170*pconfig!$C$12,F170&lt;=pconfig!$B$13,P170*pconfig!$C$13,F170&lt;=pconfig!$B$14,P170*pconfig!$C$14,F170&lt;=pconfig!$B$15,P170*pconfig!$C$15,F170&lt;=pconfig!$B$16,P170*pconfig!$C$16,F170&lt;=pconfig!$B$17,P170*pconfig!$C$17,F170&lt;=pconfig!$B$18,P170*pconfig!$C$18,F170&lt;=pconfig!$B$19,P170*pconfig!$C$19,F170&lt;=pconfig!$B$20,P170*pconfig!$C$20,F170&lt;=pconfig!$B$21,P170*pconfig!$C$21)</f>
        <v>55.30589124</v>
      </c>
      <c r="R170" s="76">
        <f t="shared" si="2"/>
        <v>175</v>
      </c>
    </row>
    <row r="171" ht="22.5" hidden="1" customHeight="1">
      <c r="A171" s="78">
        <f t="shared" si="3"/>
        <v>170</v>
      </c>
      <c r="B171" s="79" t="s">
        <v>854</v>
      </c>
      <c r="C171" s="79" t="s">
        <v>101</v>
      </c>
      <c r="D171" s="80" t="s">
        <v>102</v>
      </c>
      <c r="E171" s="79" t="str">
        <f t="shared" si="1"/>
        <v>IRITUIASATELITE</v>
      </c>
      <c r="F171" s="81">
        <v>1.0</v>
      </c>
      <c r="G171" s="79" t="s">
        <v>61</v>
      </c>
      <c r="H171" s="81" t="str">
        <f t="array" ref="H171">XLOOKUP(B171,municipios,regiao!$D$6:$D$150,0)</f>
        <v>SIM</v>
      </c>
      <c r="I171" s="79" t="s">
        <v>132</v>
      </c>
      <c r="J171" s="82" t="s">
        <v>106</v>
      </c>
      <c r="K171" s="83">
        <v>4799.0</v>
      </c>
      <c r="L171" s="85">
        <f>K171/(1-pconfig!$G$2-pconfig!$G$3-pconfig!$G$4)</f>
        <v>9061.555891</v>
      </c>
      <c r="M171" s="83">
        <v>63.39</v>
      </c>
      <c r="N171" s="83">
        <f>M171/(1-pconfig!$G$2-pconfig!$G$3-pconfig!$G$4)</f>
        <v>119.6941088</v>
      </c>
      <c r="O171" s="83">
        <f>((K171*F171)+M171)/(1-pconfig!$G$2-pconfig!$G$3-pconfig!$G$4)</f>
        <v>9181.25</v>
      </c>
      <c r="P171" s="86">
        <f>K171*F171/(1-pconfig!$G$2-pconfig!$G$3-pconfig!$G$4)</f>
        <v>9061.555891</v>
      </c>
      <c r="Q171" s="86">
        <f>IFS(F171&lt;=pconfig!$B$12,P171*pconfig!$C$12,F171&lt;=pconfig!$B$13,P171*pconfig!$C$13,F171&lt;=pconfig!$B$14,P171*pconfig!$C$14,F171&lt;=pconfig!$B$15,P171*pconfig!$C$15,F171&lt;=pconfig!$B$16,P171*pconfig!$C$16,F171&lt;=pconfig!$B$17,P171*pconfig!$C$17,F171&lt;=pconfig!$B$18,P171*pconfig!$C$18,F171&lt;=pconfig!$B$19,P171*pconfig!$C$19,F171&lt;=pconfig!$B$20,P171*pconfig!$C$20,F171&lt;=pconfig!$B$21,P171*pconfig!$C$21)</f>
        <v>9061.555891</v>
      </c>
      <c r="R171" s="87">
        <f t="shared" si="2"/>
        <v>9181.25</v>
      </c>
    </row>
    <row r="172" ht="22.5" hidden="1" customHeight="1">
      <c r="A172" s="52">
        <f t="shared" si="3"/>
        <v>171</v>
      </c>
      <c r="B172" s="53" t="s">
        <v>854</v>
      </c>
      <c r="C172" s="53" t="s">
        <v>59</v>
      </c>
      <c r="D172" s="56" t="s">
        <v>60</v>
      </c>
      <c r="E172" s="53" t="str">
        <f t="shared" si="1"/>
        <v>IRITUIARADIO</v>
      </c>
      <c r="F172" s="59">
        <v>1.0</v>
      </c>
      <c r="G172" s="53" t="s">
        <v>61</v>
      </c>
      <c r="H172" s="59" t="str">
        <f t="array" ref="H172">XLOOKUP(B172,municipios,regiao!$D$6:$D$150,0)</f>
        <v>SIM</v>
      </c>
      <c r="I172" s="53" t="s">
        <v>132</v>
      </c>
      <c r="J172" s="60" t="s">
        <v>133</v>
      </c>
      <c r="K172" s="61">
        <v>29.29</v>
      </c>
      <c r="L172" s="70">
        <f>K172/(1-pconfig!$G$2-pconfig!$G$3-pconfig!$G$4)</f>
        <v>55.30589124</v>
      </c>
      <c r="M172" s="61">
        <v>130.6225</v>
      </c>
      <c r="N172" s="61">
        <f>M172/(1-pconfig!$G$2-pconfig!$G$3-pconfig!$G$4)</f>
        <v>246.6436934</v>
      </c>
      <c r="O172" s="61">
        <f>((K172*F172)+M172)/(1-pconfig!$G$2-pconfig!$G$3-pconfig!$G$4)</f>
        <v>301.9495846</v>
      </c>
      <c r="P172" s="74">
        <f>K172*F172/(1-pconfig!$G$2-pconfig!$G$3-pconfig!$G$4)</f>
        <v>55.30589124</v>
      </c>
      <c r="Q172" s="74">
        <f>IFS(F172&lt;=pconfig!$B$12,P172*pconfig!$C$12,F172&lt;=pconfig!$B$13,P172*pconfig!$C$13,F172&lt;=pconfig!$B$14,P172*pconfig!$C$14,F172&lt;=pconfig!$B$15,P172*pconfig!$C$15,F172&lt;=pconfig!$B$16,P172*pconfig!$C$16,F172&lt;=pconfig!$B$17,P172*pconfig!$C$17,F172&lt;=pconfig!$B$18,P172*pconfig!$C$18,F172&lt;=pconfig!$B$19,P172*pconfig!$C$19,F172&lt;=pconfig!$B$20,P172*pconfig!$C$20,F172&lt;=pconfig!$B$21,P172*pconfig!$C$21)</f>
        <v>55.30589124</v>
      </c>
      <c r="R172" s="76">
        <f t="shared" si="2"/>
        <v>301.9495846</v>
      </c>
    </row>
    <row r="173" ht="22.5" hidden="1" customHeight="1">
      <c r="A173" s="78">
        <f t="shared" si="3"/>
        <v>172</v>
      </c>
      <c r="B173" s="79" t="s">
        <v>855</v>
      </c>
      <c r="C173" s="79" t="s">
        <v>59</v>
      </c>
      <c r="D173" s="80" t="s">
        <v>60</v>
      </c>
      <c r="E173" s="79" t="str">
        <f t="shared" si="1"/>
        <v>ITAITUBARADIO</v>
      </c>
      <c r="F173" s="81">
        <v>1.0</v>
      </c>
      <c r="G173" s="79" t="s">
        <v>374</v>
      </c>
      <c r="H173" s="81" t="str">
        <f t="array" ref="H173">XLOOKUP(B173,municipios,regiao!$D$6:$D$150,0)</f>
        <v>SIM</v>
      </c>
      <c r="I173" s="79" t="s">
        <v>555</v>
      </c>
      <c r="J173" s="82" t="s">
        <v>337</v>
      </c>
      <c r="K173" s="83">
        <v>17.84</v>
      </c>
      <c r="L173" s="85">
        <f>K173/(1-pconfig!$G$2-pconfig!$G$3-pconfig!$G$4)</f>
        <v>33.6858006</v>
      </c>
      <c r="M173" s="83">
        <v>166.666666666667</v>
      </c>
      <c r="N173" s="83">
        <f>M173/(1-pconfig!$G$2-pconfig!$G$3-pconfig!$G$4)</f>
        <v>314.7029204</v>
      </c>
      <c r="O173" s="83">
        <f>((K173*F173)+M173)/(1-pconfig!$G$2-pconfig!$G$3-pconfig!$G$4)</f>
        <v>348.388721</v>
      </c>
      <c r="P173" s="86">
        <f>K173*F173/(1-pconfig!$G$2-pconfig!$G$3-pconfig!$G$4)</f>
        <v>33.6858006</v>
      </c>
      <c r="Q173" s="86">
        <f>IFS(F173&lt;=pconfig!$B$12,P173*pconfig!$C$12,F173&lt;=pconfig!$B$13,P173*pconfig!$C$13,F173&lt;=pconfig!$B$14,P173*pconfig!$C$14,F173&lt;=pconfig!$B$15,P173*pconfig!$C$15,F173&lt;=pconfig!$B$16,P173*pconfig!$C$16,F173&lt;=pconfig!$B$17,P173*pconfig!$C$17,F173&lt;=pconfig!$B$18,P173*pconfig!$C$18,F173&lt;=pconfig!$B$19,P173*pconfig!$C$19,F173&lt;=pconfig!$B$20,P173*pconfig!$C$20,F173&lt;=pconfig!$B$21,P173*pconfig!$C$21)</f>
        <v>33.6858006</v>
      </c>
      <c r="R173" s="87">
        <f t="shared" si="2"/>
        <v>348.388721</v>
      </c>
    </row>
    <row r="174" ht="22.5" hidden="1" customHeight="1">
      <c r="A174" s="52">
        <f t="shared" si="3"/>
        <v>173</v>
      </c>
      <c r="B174" s="53" t="s">
        <v>855</v>
      </c>
      <c r="C174" s="53" t="s">
        <v>50</v>
      </c>
      <c r="D174" s="56" t="s">
        <v>82</v>
      </c>
      <c r="E174" s="53" t="str">
        <f t="shared" si="1"/>
        <v>ITAITUBAFIBRA</v>
      </c>
      <c r="F174" s="59">
        <v>1.0</v>
      </c>
      <c r="G174" s="53" t="s">
        <v>374</v>
      </c>
      <c r="H174" s="59" t="str">
        <f t="array" ref="H174">XLOOKUP(B174,municipios,regiao!$D$6:$D$150,0)</f>
        <v>SIM</v>
      </c>
      <c r="I174" s="53" t="s">
        <v>555</v>
      </c>
      <c r="J174" s="60" t="s">
        <v>337</v>
      </c>
      <c r="K174" s="61">
        <v>17.84</v>
      </c>
      <c r="L174" s="70">
        <f>K174/(1-pconfig!$G$2-pconfig!$G$3-pconfig!$G$4)</f>
        <v>33.6858006</v>
      </c>
      <c r="M174" s="61">
        <v>407.5</v>
      </c>
      <c r="N174" s="61">
        <f>M174/(1-pconfig!$G$2-pconfig!$G$3-pconfig!$G$4)</f>
        <v>769.4486405</v>
      </c>
      <c r="O174" s="61">
        <f>((K174*F174)+M174)/(1-pconfig!$G$2-pconfig!$G$3-pconfig!$G$4)</f>
        <v>803.1344411</v>
      </c>
      <c r="P174" s="74">
        <f>K174*F174/(1-pconfig!$G$2-pconfig!$G$3-pconfig!$G$4)</f>
        <v>33.6858006</v>
      </c>
      <c r="Q174" s="74">
        <f>IFS(F174&lt;=pconfig!$B$12,P174*pconfig!$C$12,F174&lt;=pconfig!$B$13,P174*pconfig!$C$13,F174&lt;=pconfig!$B$14,P174*pconfig!$C$14,F174&lt;=pconfig!$B$15,P174*pconfig!$C$15,F174&lt;=pconfig!$B$16,P174*pconfig!$C$16,F174&lt;=pconfig!$B$17,P174*pconfig!$C$17,F174&lt;=pconfig!$B$18,P174*pconfig!$C$18,F174&lt;=pconfig!$B$19,P174*pconfig!$C$19,F174&lt;=pconfig!$B$20,P174*pconfig!$C$20,F174&lt;=pconfig!$B$21,P174*pconfig!$C$21)</f>
        <v>33.6858006</v>
      </c>
      <c r="R174" s="76">
        <f t="shared" si="2"/>
        <v>803.1344411</v>
      </c>
    </row>
    <row r="175" ht="22.5" hidden="1" customHeight="1">
      <c r="A175" s="78">
        <f t="shared" si="3"/>
        <v>174</v>
      </c>
      <c r="B175" s="79" t="s">
        <v>855</v>
      </c>
      <c r="C175" s="79" t="s">
        <v>101</v>
      </c>
      <c r="D175" s="80" t="s">
        <v>102</v>
      </c>
      <c r="E175" s="79" t="str">
        <f t="shared" si="1"/>
        <v>ITAITUBASATELITE</v>
      </c>
      <c r="F175" s="81">
        <v>1.0</v>
      </c>
      <c r="G175" s="79" t="s">
        <v>374</v>
      </c>
      <c r="H175" s="81" t="str">
        <f t="array" ref="H175">XLOOKUP(B175,municipios,regiao!$D$6:$D$150,0)</f>
        <v>SIM</v>
      </c>
      <c r="I175" s="79" t="s">
        <v>555</v>
      </c>
      <c r="J175" s="82" t="s">
        <v>106</v>
      </c>
      <c r="K175" s="83">
        <v>4799.0</v>
      </c>
      <c r="L175" s="85">
        <f>K175/(1-pconfig!$G$2-pconfig!$G$3-pconfig!$G$4)</f>
        <v>9061.555891</v>
      </c>
      <c r="M175" s="83">
        <v>407.5</v>
      </c>
      <c r="N175" s="83">
        <f>M175/(1-pconfig!$G$2-pconfig!$G$3-pconfig!$G$4)</f>
        <v>769.4486405</v>
      </c>
      <c r="O175" s="83">
        <f>((K175*F175)+M175)/(1-pconfig!$G$2-pconfig!$G$3-pconfig!$G$4)</f>
        <v>9831.004532</v>
      </c>
      <c r="P175" s="86">
        <f>K175*F175/(1-pconfig!$G$2-pconfig!$G$3-pconfig!$G$4)</f>
        <v>9061.555891</v>
      </c>
      <c r="Q175" s="86">
        <f>IFS(F175&lt;=pconfig!$B$12,P175*pconfig!$C$12,F175&lt;=pconfig!$B$13,P175*pconfig!$C$13,F175&lt;=pconfig!$B$14,P175*pconfig!$C$14,F175&lt;=pconfig!$B$15,P175*pconfig!$C$15,F175&lt;=pconfig!$B$16,P175*pconfig!$C$16,F175&lt;=pconfig!$B$17,P175*pconfig!$C$17,F175&lt;=pconfig!$B$18,P175*pconfig!$C$18,F175&lt;=pconfig!$B$19,P175*pconfig!$C$19,F175&lt;=pconfig!$B$20,P175*pconfig!$C$20,F175&lt;=pconfig!$B$21,P175*pconfig!$C$21)</f>
        <v>9061.555891</v>
      </c>
      <c r="R175" s="87">
        <f t="shared" si="2"/>
        <v>9831.004532</v>
      </c>
    </row>
    <row r="176" ht="22.5" hidden="1" customHeight="1">
      <c r="A176" s="52">
        <f t="shared" si="3"/>
        <v>175</v>
      </c>
      <c r="B176" s="53" t="s">
        <v>856</v>
      </c>
      <c r="C176" s="53" t="s">
        <v>50</v>
      </c>
      <c r="D176" s="56" t="s">
        <v>82</v>
      </c>
      <c r="E176" s="53" t="str">
        <f t="shared" si="1"/>
        <v>ITUPIRANGAFIBRA</v>
      </c>
      <c r="F176" s="59">
        <v>1.0</v>
      </c>
      <c r="G176" s="53" t="s">
        <v>128</v>
      </c>
      <c r="H176" s="59" t="str">
        <f t="array" ref="H176">XLOOKUP(B176,municipios,regiao!$D$6:$D$150,0)</f>
        <v>SIM</v>
      </c>
      <c r="I176" s="53" t="s">
        <v>717</v>
      </c>
      <c r="J176" s="60" t="s">
        <v>133</v>
      </c>
      <c r="K176" s="61">
        <v>29.29</v>
      </c>
      <c r="L176" s="70">
        <f>K176/(1-pconfig!$G$2-pconfig!$G$3-pconfig!$G$4)</f>
        <v>55.30589124</v>
      </c>
      <c r="M176" s="61">
        <v>204.76</v>
      </c>
      <c r="N176" s="61">
        <f>M176/(1-pconfig!$G$2-pconfig!$G$3-pconfig!$G$4)</f>
        <v>386.6314199</v>
      </c>
      <c r="O176" s="61">
        <f>((K176*F176)+M176)/(1-pconfig!$G$2-pconfig!$G$3-pconfig!$G$4)</f>
        <v>441.9373112</v>
      </c>
      <c r="P176" s="74">
        <f>K176*F176/(1-pconfig!$G$2-pconfig!$G$3-pconfig!$G$4)</f>
        <v>55.30589124</v>
      </c>
      <c r="Q176" s="74">
        <f>IFS(F176&lt;=pconfig!$B$12,P176*pconfig!$C$12,F176&lt;=pconfig!$B$13,P176*pconfig!$C$13,F176&lt;=pconfig!$B$14,P176*pconfig!$C$14,F176&lt;=pconfig!$B$15,P176*pconfig!$C$15,F176&lt;=pconfig!$B$16,P176*pconfig!$C$16,F176&lt;=pconfig!$B$17,P176*pconfig!$C$17,F176&lt;=pconfig!$B$18,P176*pconfig!$C$18,F176&lt;=pconfig!$B$19,P176*pconfig!$C$19,F176&lt;=pconfig!$B$20,P176*pconfig!$C$20,F176&lt;=pconfig!$B$21,P176*pconfig!$C$21)</f>
        <v>55.30589124</v>
      </c>
      <c r="R176" s="76">
        <f t="shared" si="2"/>
        <v>441.9373112</v>
      </c>
    </row>
    <row r="177" ht="22.5" hidden="1" customHeight="1">
      <c r="A177" s="78">
        <f t="shared" si="3"/>
        <v>176</v>
      </c>
      <c r="B177" s="79" t="s">
        <v>856</v>
      </c>
      <c r="C177" s="79" t="s">
        <v>101</v>
      </c>
      <c r="D177" s="80" t="s">
        <v>102</v>
      </c>
      <c r="E177" s="79" t="str">
        <f t="shared" si="1"/>
        <v>ITUPIRANGASATELITE</v>
      </c>
      <c r="F177" s="81">
        <v>1.0</v>
      </c>
      <c r="G177" s="79" t="s">
        <v>128</v>
      </c>
      <c r="H177" s="81" t="str">
        <f t="array" ref="H177">XLOOKUP(B177,municipios,regiao!$D$6:$D$150,0)</f>
        <v>SIM</v>
      </c>
      <c r="I177" s="79" t="s">
        <v>717</v>
      </c>
      <c r="J177" s="82" t="s">
        <v>106</v>
      </c>
      <c r="K177" s="83">
        <v>4799.0</v>
      </c>
      <c r="L177" s="85">
        <f>K177/(1-pconfig!$G$2-pconfig!$G$3-pconfig!$G$4)</f>
        <v>9061.555891</v>
      </c>
      <c r="M177" s="83">
        <v>204.76</v>
      </c>
      <c r="N177" s="83">
        <f>M177/(1-pconfig!$G$2-pconfig!$G$3-pconfig!$G$4)</f>
        <v>386.6314199</v>
      </c>
      <c r="O177" s="83">
        <f>((K177*F177)+M177)/(1-pconfig!$G$2-pconfig!$G$3-pconfig!$G$4)</f>
        <v>9448.187311</v>
      </c>
      <c r="P177" s="86">
        <f>K177*F177/(1-pconfig!$G$2-pconfig!$G$3-pconfig!$G$4)</f>
        <v>9061.555891</v>
      </c>
      <c r="Q177" s="86">
        <f>IFS(F177&lt;=pconfig!$B$12,P177*pconfig!$C$12,F177&lt;=pconfig!$B$13,P177*pconfig!$C$13,F177&lt;=pconfig!$B$14,P177*pconfig!$C$14,F177&lt;=pconfig!$B$15,P177*pconfig!$C$15,F177&lt;=pconfig!$B$16,P177*pconfig!$C$16,F177&lt;=pconfig!$B$17,P177*pconfig!$C$17,F177&lt;=pconfig!$B$18,P177*pconfig!$C$18,F177&lt;=pconfig!$B$19,P177*pconfig!$C$19,F177&lt;=pconfig!$B$20,P177*pconfig!$C$20,F177&lt;=pconfig!$B$21,P177*pconfig!$C$21)</f>
        <v>9061.555891</v>
      </c>
      <c r="R177" s="87">
        <f t="shared" si="2"/>
        <v>9448.187311</v>
      </c>
    </row>
    <row r="178" ht="22.5" hidden="1" customHeight="1">
      <c r="A178" s="52">
        <f t="shared" si="3"/>
        <v>177</v>
      </c>
      <c r="B178" s="53" t="s">
        <v>856</v>
      </c>
      <c r="C178" s="53" t="s">
        <v>59</v>
      </c>
      <c r="D178" s="56" t="s">
        <v>60</v>
      </c>
      <c r="E178" s="53" t="str">
        <f t="shared" si="1"/>
        <v>ITUPIRANGARADIO</v>
      </c>
      <c r="F178" s="59">
        <v>1.0</v>
      </c>
      <c r="G178" s="53" t="s">
        <v>128</v>
      </c>
      <c r="H178" s="59" t="str">
        <f t="array" ref="H178">XLOOKUP(B178,municipios,regiao!$D$6:$D$150,0)</f>
        <v>SIM</v>
      </c>
      <c r="I178" s="53" t="s">
        <v>717</v>
      </c>
      <c r="J178" s="60" t="s">
        <v>133</v>
      </c>
      <c r="K178" s="61">
        <v>29.29</v>
      </c>
      <c r="L178" s="70">
        <f>K178/(1-pconfig!$G$2-pconfig!$G$3-pconfig!$G$4)</f>
        <v>55.30589124</v>
      </c>
      <c r="M178" s="61">
        <v>333.333333333333</v>
      </c>
      <c r="N178" s="61">
        <f>M178/(1-pconfig!$G$2-pconfig!$G$3-pconfig!$G$4)</f>
        <v>629.4058409</v>
      </c>
      <c r="O178" s="61">
        <f>((K178*F178)+M178)/(1-pconfig!$G$2-pconfig!$G$3-pconfig!$G$4)</f>
        <v>684.7117321</v>
      </c>
      <c r="P178" s="74">
        <f>K178*F178/(1-pconfig!$G$2-pconfig!$G$3-pconfig!$G$4)</f>
        <v>55.30589124</v>
      </c>
      <c r="Q178" s="74">
        <f>IFS(F178&lt;=pconfig!$B$12,P178*pconfig!$C$12,F178&lt;=pconfig!$B$13,P178*pconfig!$C$13,F178&lt;=pconfig!$B$14,P178*pconfig!$C$14,F178&lt;=pconfig!$B$15,P178*pconfig!$C$15,F178&lt;=pconfig!$B$16,P178*pconfig!$C$16,F178&lt;=pconfig!$B$17,P178*pconfig!$C$17,F178&lt;=pconfig!$B$18,P178*pconfig!$C$18,F178&lt;=pconfig!$B$19,P178*pconfig!$C$19,F178&lt;=pconfig!$B$20,P178*pconfig!$C$20,F178&lt;=pconfig!$B$21,P178*pconfig!$C$21)</f>
        <v>55.30589124</v>
      </c>
      <c r="R178" s="76">
        <f t="shared" si="2"/>
        <v>684.7117321</v>
      </c>
    </row>
    <row r="179" ht="22.5" hidden="1" customHeight="1">
      <c r="A179" s="78">
        <f t="shared" si="3"/>
        <v>178</v>
      </c>
      <c r="B179" s="79" t="s">
        <v>858</v>
      </c>
      <c r="C179" s="79" t="s">
        <v>59</v>
      </c>
      <c r="D179" s="80" t="s">
        <v>60</v>
      </c>
      <c r="E179" s="79" t="str">
        <f t="shared" si="1"/>
        <v>JACAREACANGARADIO</v>
      </c>
      <c r="F179" s="81">
        <v>1.0</v>
      </c>
      <c r="G179" s="79" t="s">
        <v>374</v>
      </c>
      <c r="H179" s="81" t="str">
        <f t="array" ref="H179">XLOOKUP(B179,municipios,regiao!$D$6:$D$150,0)</f>
        <v>NÃO</v>
      </c>
      <c r="I179" s="79" t="s">
        <v>555</v>
      </c>
      <c r="J179" s="82" t="s">
        <v>259</v>
      </c>
      <c r="K179" s="83">
        <v>35.73</v>
      </c>
      <c r="L179" s="85">
        <f>K179/(1-pconfig!$G$2-pconfig!$G$3-pconfig!$G$4)</f>
        <v>67.46601208</v>
      </c>
      <c r="M179" s="83">
        <v>166.666666666667</v>
      </c>
      <c r="N179" s="83">
        <f>M179/(1-pconfig!$G$2-pconfig!$G$3-pconfig!$G$4)</f>
        <v>314.7029204</v>
      </c>
      <c r="O179" s="83">
        <f>((K179*F179)+M179)/(1-pconfig!$G$2-pconfig!$G$3-pconfig!$G$4)</f>
        <v>382.1689325</v>
      </c>
      <c r="P179" s="86">
        <f>K179*F179/(1-pconfig!$G$2-pconfig!$G$3-pconfig!$G$4)</f>
        <v>67.46601208</v>
      </c>
      <c r="Q179" s="86">
        <f>IFS(F179&lt;=pconfig!$B$12,P179*pconfig!$C$12,F179&lt;=pconfig!$B$13,P179*pconfig!$C$13,F179&lt;=pconfig!$B$14,P179*pconfig!$C$14,F179&lt;=pconfig!$B$15,P179*pconfig!$C$15,F179&lt;=pconfig!$B$16,P179*pconfig!$C$16,F179&lt;=pconfig!$B$17,P179*pconfig!$C$17,F179&lt;=pconfig!$B$18,P179*pconfig!$C$18,F179&lt;=pconfig!$B$19,P179*pconfig!$C$19,F179&lt;=pconfig!$B$20,P179*pconfig!$C$20,F179&lt;=pconfig!$B$21,P179*pconfig!$C$21)</f>
        <v>67.46601208</v>
      </c>
      <c r="R179" s="87">
        <f t="shared" si="2"/>
        <v>382.1689325</v>
      </c>
    </row>
    <row r="180" ht="22.5" hidden="1" customHeight="1">
      <c r="A180" s="52">
        <f t="shared" si="3"/>
        <v>179</v>
      </c>
      <c r="B180" s="53" t="s">
        <v>858</v>
      </c>
      <c r="C180" s="53" t="s">
        <v>50</v>
      </c>
      <c r="D180" s="56" t="s">
        <v>82</v>
      </c>
      <c r="E180" s="53" t="str">
        <f t="shared" si="1"/>
        <v>JACAREACANGAFIBRA</v>
      </c>
      <c r="F180" s="59">
        <v>1.0</v>
      </c>
      <c r="G180" s="53" t="s">
        <v>374</v>
      </c>
      <c r="H180" s="59" t="str">
        <f t="array" ref="H180">XLOOKUP(B180,municipios,regiao!$D$6:$D$150,0)</f>
        <v>NÃO</v>
      </c>
      <c r="I180" s="53" t="s">
        <v>555</v>
      </c>
      <c r="J180" s="60" t="s">
        <v>259</v>
      </c>
      <c r="K180" s="61">
        <v>35.73</v>
      </c>
      <c r="L180" s="70">
        <f>K180/(1-pconfig!$G$2-pconfig!$G$3-pconfig!$G$4)</f>
        <v>67.46601208</v>
      </c>
      <c r="M180" s="61">
        <v>407.5</v>
      </c>
      <c r="N180" s="61">
        <f>M180/(1-pconfig!$G$2-pconfig!$G$3-pconfig!$G$4)</f>
        <v>769.4486405</v>
      </c>
      <c r="O180" s="61">
        <f>((K180*F180)+M180)/(1-pconfig!$G$2-pconfig!$G$3-pconfig!$G$4)</f>
        <v>836.9146526</v>
      </c>
      <c r="P180" s="74">
        <f>K180*F180/(1-pconfig!$G$2-pconfig!$G$3-pconfig!$G$4)</f>
        <v>67.46601208</v>
      </c>
      <c r="Q180" s="74">
        <f>IFS(F180&lt;=pconfig!$B$12,P180*pconfig!$C$12,F180&lt;=pconfig!$B$13,P180*pconfig!$C$13,F180&lt;=pconfig!$B$14,P180*pconfig!$C$14,F180&lt;=pconfig!$B$15,P180*pconfig!$C$15,F180&lt;=pconfig!$B$16,P180*pconfig!$C$16,F180&lt;=pconfig!$B$17,P180*pconfig!$C$17,F180&lt;=pconfig!$B$18,P180*pconfig!$C$18,F180&lt;=pconfig!$B$19,P180*pconfig!$C$19,F180&lt;=pconfig!$B$20,P180*pconfig!$C$20,F180&lt;=pconfig!$B$21,P180*pconfig!$C$21)</f>
        <v>67.46601208</v>
      </c>
      <c r="R180" s="76">
        <f t="shared" si="2"/>
        <v>836.9146526</v>
      </c>
    </row>
    <row r="181" ht="22.5" hidden="1" customHeight="1">
      <c r="A181" s="78">
        <f t="shared" si="3"/>
        <v>180</v>
      </c>
      <c r="B181" s="79" t="s">
        <v>858</v>
      </c>
      <c r="C181" s="79" t="s">
        <v>101</v>
      </c>
      <c r="D181" s="80" t="s">
        <v>102</v>
      </c>
      <c r="E181" s="79" t="str">
        <f t="shared" si="1"/>
        <v>JACAREACANGASATELITE</v>
      </c>
      <c r="F181" s="81">
        <v>1.0</v>
      </c>
      <c r="G181" s="79" t="s">
        <v>374</v>
      </c>
      <c r="H181" s="81" t="str">
        <f t="array" ref="H181">XLOOKUP(B181,municipios,regiao!$D$6:$D$150,0)</f>
        <v>NÃO</v>
      </c>
      <c r="I181" s="79" t="s">
        <v>555</v>
      </c>
      <c r="J181" s="82" t="s">
        <v>106</v>
      </c>
      <c r="K181" s="83">
        <v>4799.0</v>
      </c>
      <c r="L181" s="85">
        <f>K181/(1-pconfig!$G$2-pconfig!$G$3-pconfig!$G$4)</f>
        <v>9061.555891</v>
      </c>
      <c r="M181" s="83">
        <v>407.5</v>
      </c>
      <c r="N181" s="83">
        <f>M181/(1-pconfig!$G$2-pconfig!$G$3-pconfig!$G$4)</f>
        <v>769.4486405</v>
      </c>
      <c r="O181" s="83">
        <f>((K181*F181)+M181)/(1-pconfig!$G$2-pconfig!$G$3-pconfig!$G$4)</f>
        <v>9831.004532</v>
      </c>
      <c r="P181" s="86">
        <f>K181*F181/(1-pconfig!$G$2-pconfig!$G$3-pconfig!$G$4)</f>
        <v>9061.555891</v>
      </c>
      <c r="Q181" s="86">
        <f>IFS(F181&lt;=pconfig!$B$12,P181*pconfig!$C$12,F181&lt;=pconfig!$B$13,P181*pconfig!$C$13,F181&lt;=pconfig!$B$14,P181*pconfig!$C$14,F181&lt;=pconfig!$B$15,P181*pconfig!$C$15,F181&lt;=pconfig!$B$16,P181*pconfig!$C$16,F181&lt;=pconfig!$B$17,P181*pconfig!$C$17,F181&lt;=pconfig!$B$18,P181*pconfig!$C$18,F181&lt;=pconfig!$B$19,P181*pconfig!$C$19,F181&lt;=pconfig!$B$20,P181*pconfig!$C$20,F181&lt;=pconfig!$B$21,P181*pconfig!$C$21)</f>
        <v>9061.555891</v>
      </c>
      <c r="R181" s="87">
        <f t="shared" si="2"/>
        <v>9831.004532</v>
      </c>
    </row>
    <row r="182" ht="22.5" hidden="1" customHeight="1">
      <c r="A182" s="52">
        <f t="shared" si="3"/>
        <v>181</v>
      </c>
      <c r="B182" s="53" t="s">
        <v>860</v>
      </c>
      <c r="C182" s="53" t="s">
        <v>50</v>
      </c>
      <c r="D182" s="56" t="s">
        <v>82</v>
      </c>
      <c r="E182" s="53" t="str">
        <f t="shared" si="1"/>
        <v>JACUNDAFIBRA</v>
      </c>
      <c r="F182" s="59">
        <v>1.0</v>
      </c>
      <c r="G182" s="53" t="s">
        <v>128</v>
      </c>
      <c r="H182" s="59" t="str">
        <f t="array" ref="H182">XLOOKUP(B182,municipios,regiao!$D$6:$D$150,0)</f>
        <v>SIM</v>
      </c>
      <c r="I182" s="53" t="s">
        <v>717</v>
      </c>
      <c r="J182" s="60" t="s">
        <v>624</v>
      </c>
      <c r="K182" s="61">
        <v>24.41</v>
      </c>
      <c r="L182" s="70">
        <f>K182/(1-pconfig!$G$2-pconfig!$G$3-pconfig!$G$4)</f>
        <v>46.09138973</v>
      </c>
      <c r="M182" s="61">
        <v>204.76</v>
      </c>
      <c r="N182" s="61">
        <f>M182/(1-pconfig!$G$2-pconfig!$G$3-pconfig!$G$4)</f>
        <v>386.6314199</v>
      </c>
      <c r="O182" s="61">
        <f>((K182*F182)+M182)/(1-pconfig!$G$2-pconfig!$G$3-pconfig!$G$4)</f>
        <v>432.7228097</v>
      </c>
      <c r="P182" s="74">
        <f>K182*F182/(1-pconfig!$G$2-pconfig!$G$3-pconfig!$G$4)</f>
        <v>46.09138973</v>
      </c>
      <c r="Q182" s="74">
        <f>IFS(F182&lt;=pconfig!$B$12,P182*pconfig!$C$12,F182&lt;=pconfig!$B$13,P182*pconfig!$C$13,F182&lt;=pconfig!$B$14,P182*pconfig!$C$14,F182&lt;=pconfig!$B$15,P182*pconfig!$C$15,F182&lt;=pconfig!$B$16,P182*pconfig!$C$16,F182&lt;=pconfig!$B$17,P182*pconfig!$C$17,F182&lt;=pconfig!$B$18,P182*pconfig!$C$18,F182&lt;=pconfig!$B$19,P182*pconfig!$C$19,F182&lt;=pconfig!$B$20,P182*pconfig!$C$20,F182&lt;=pconfig!$B$21,P182*pconfig!$C$21)</f>
        <v>46.09138973</v>
      </c>
      <c r="R182" s="76">
        <f t="shared" si="2"/>
        <v>432.7228097</v>
      </c>
    </row>
    <row r="183" ht="22.5" hidden="1" customHeight="1">
      <c r="A183" s="78">
        <f t="shared" si="3"/>
        <v>182</v>
      </c>
      <c r="B183" s="79" t="s">
        <v>860</v>
      </c>
      <c r="C183" s="79" t="s">
        <v>101</v>
      </c>
      <c r="D183" s="80" t="s">
        <v>102</v>
      </c>
      <c r="E183" s="79" t="str">
        <f t="shared" si="1"/>
        <v>JACUNDASATELITE</v>
      </c>
      <c r="F183" s="81">
        <v>1.0</v>
      </c>
      <c r="G183" s="79" t="s">
        <v>128</v>
      </c>
      <c r="H183" s="81" t="str">
        <f t="array" ref="H183">XLOOKUP(B183,municipios,regiao!$D$6:$D$150,0)</f>
        <v>SIM</v>
      </c>
      <c r="I183" s="79" t="s">
        <v>717</v>
      </c>
      <c r="J183" s="82" t="s">
        <v>106</v>
      </c>
      <c r="K183" s="83">
        <v>4799.0</v>
      </c>
      <c r="L183" s="85">
        <f>K183/(1-pconfig!$G$2-pconfig!$G$3-pconfig!$G$4)</f>
        <v>9061.555891</v>
      </c>
      <c r="M183" s="83">
        <v>204.76</v>
      </c>
      <c r="N183" s="83">
        <f>M183/(1-pconfig!$G$2-pconfig!$G$3-pconfig!$G$4)</f>
        <v>386.6314199</v>
      </c>
      <c r="O183" s="83">
        <f>((K183*F183)+M183)/(1-pconfig!$G$2-pconfig!$G$3-pconfig!$G$4)</f>
        <v>9448.187311</v>
      </c>
      <c r="P183" s="86">
        <f>K183*F183/(1-pconfig!$G$2-pconfig!$G$3-pconfig!$G$4)</f>
        <v>9061.555891</v>
      </c>
      <c r="Q183" s="86">
        <f>IFS(F183&lt;=pconfig!$B$12,P183*pconfig!$C$12,F183&lt;=pconfig!$B$13,P183*pconfig!$C$13,F183&lt;=pconfig!$B$14,P183*pconfig!$C$14,F183&lt;=pconfig!$B$15,P183*pconfig!$C$15,F183&lt;=pconfig!$B$16,P183*pconfig!$C$16,F183&lt;=pconfig!$B$17,P183*pconfig!$C$17,F183&lt;=pconfig!$B$18,P183*pconfig!$C$18,F183&lt;=pconfig!$B$19,P183*pconfig!$C$19,F183&lt;=pconfig!$B$20,P183*pconfig!$C$20,F183&lt;=pconfig!$B$21,P183*pconfig!$C$21)</f>
        <v>9061.555891</v>
      </c>
      <c r="R183" s="87">
        <f t="shared" si="2"/>
        <v>9448.187311</v>
      </c>
    </row>
    <row r="184" ht="22.5" hidden="1" customHeight="1">
      <c r="A184" s="52">
        <f t="shared" si="3"/>
        <v>183</v>
      </c>
      <c r="B184" s="53" t="s">
        <v>860</v>
      </c>
      <c r="C184" s="53" t="s">
        <v>59</v>
      </c>
      <c r="D184" s="56" t="s">
        <v>60</v>
      </c>
      <c r="E184" s="53" t="str">
        <f t="shared" si="1"/>
        <v>JACUNDARADIO</v>
      </c>
      <c r="F184" s="59">
        <v>1.0</v>
      </c>
      <c r="G184" s="53" t="s">
        <v>128</v>
      </c>
      <c r="H184" s="59" t="str">
        <f t="array" ref="H184">XLOOKUP(B184,municipios,regiao!$D$6:$D$150,0)</f>
        <v>SIM</v>
      </c>
      <c r="I184" s="53" t="s">
        <v>717</v>
      </c>
      <c r="J184" s="60" t="s">
        <v>624</v>
      </c>
      <c r="K184" s="61">
        <v>24.41</v>
      </c>
      <c r="L184" s="70">
        <f>K184/(1-pconfig!$G$2-pconfig!$G$3-pconfig!$G$4)</f>
        <v>46.09138973</v>
      </c>
      <c r="M184" s="61">
        <v>333.333333333333</v>
      </c>
      <c r="N184" s="61">
        <f>M184/(1-pconfig!$G$2-pconfig!$G$3-pconfig!$G$4)</f>
        <v>629.4058409</v>
      </c>
      <c r="O184" s="61">
        <f>((K184*F184)+M184)/(1-pconfig!$G$2-pconfig!$G$3-pconfig!$G$4)</f>
        <v>675.4972306</v>
      </c>
      <c r="P184" s="74">
        <f>K184*F184/(1-pconfig!$G$2-pconfig!$G$3-pconfig!$G$4)</f>
        <v>46.09138973</v>
      </c>
      <c r="Q184" s="74">
        <f>IFS(F184&lt;=pconfig!$B$12,P184*pconfig!$C$12,F184&lt;=pconfig!$B$13,P184*pconfig!$C$13,F184&lt;=pconfig!$B$14,P184*pconfig!$C$14,F184&lt;=pconfig!$B$15,P184*pconfig!$C$15,F184&lt;=pconfig!$B$16,P184*pconfig!$C$16,F184&lt;=pconfig!$B$17,P184*pconfig!$C$17,F184&lt;=pconfig!$B$18,P184*pconfig!$C$18,F184&lt;=pconfig!$B$19,P184*pconfig!$C$19,F184&lt;=pconfig!$B$20,P184*pconfig!$C$20,F184&lt;=pconfig!$B$21,P184*pconfig!$C$21)</f>
        <v>46.09138973</v>
      </c>
      <c r="R184" s="76">
        <f t="shared" si="2"/>
        <v>675.4972306</v>
      </c>
    </row>
    <row r="185" ht="22.5" hidden="1" customHeight="1">
      <c r="A185" s="78">
        <f t="shared" si="3"/>
        <v>184</v>
      </c>
      <c r="B185" s="79" t="s">
        <v>861</v>
      </c>
      <c r="C185" s="79" t="s">
        <v>50</v>
      </c>
      <c r="D185" s="80" t="s">
        <v>82</v>
      </c>
      <c r="E185" s="79" t="str">
        <f t="shared" si="1"/>
        <v>JURUTIFIBRA</v>
      </c>
      <c r="F185" s="81">
        <v>1.0</v>
      </c>
      <c r="G185" s="79" t="s">
        <v>297</v>
      </c>
      <c r="H185" s="81" t="str">
        <f t="array" ref="H185">XLOOKUP(B185,municipios,regiao!$D$6:$D$150,0)</f>
        <v>SIM</v>
      </c>
      <c r="I185" s="79" t="s">
        <v>297</v>
      </c>
      <c r="J185" s="82" t="s">
        <v>133</v>
      </c>
      <c r="K185" s="83">
        <v>29.29</v>
      </c>
      <c r="L185" s="85">
        <f>K185/(1-pconfig!$G$2-pconfig!$G$3-pconfig!$G$4)</f>
        <v>55.30589124</v>
      </c>
      <c r="M185" s="83">
        <v>133.3</v>
      </c>
      <c r="N185" s="83">
        <f>M185/(1-pconfig!$G$2-pconfig!$G$3-pconfig!$G$4)</f>
        <v>251.6993958</v>
      </c>
      <c r="O185" s="83">
        <f>((K185*F185)+M185)/(1-pconfig!$G$2-pconfig!$G$3-pconfig!$G$4)</f>
        <v>307.005287</v>
      </c>
      <c r="P185" s="86">
        <f>K185*F185/(1-pconfig!$G$2-pconfig!$G$3-pconfig!$G$4)</f>
        <v>55.30589124</v>
      </c>
      <c r="Q185" s="86">
        <f>IFS(F185&lt;=pconfig!$B$12,P185*pconfig!$C$12,F185&lt;=pconfig!$B$13,P185*pconfig!$C$13,F185&lt;=pconfig!$B$14,P185*pconfig!$C$14,F185&lt;=pconfig!$B$15,P185*pconfig!$C$15,F185&lt;=pconfig!$B$16,P185*pconfig!$C$16,F185&lt;=pconfig!$B$17,P185*pconfig!$C$17,F185&lt;=pconfig!$B$18,P185*pconfig!$C$18,F185&lt;=pconfig!$B$19,P185*pconfig!$C$19,F185&lt;=pconfig!$B$20,P185*pconfig!$C$20,F185&lt;=pconfig!$B$21,P185*pconfig!$C$21)</f>
        <v>55.30589124</v>
      </c>
      <c r="R185" s="87">
        <f t="shared" si="2"/>
        <v>307.005287</v>
      </c>
    </row>
    <row r="186" ht="22.5" hidden="1" customHeight="1">
      <c r="A186" s="52">
        <f t="shared" si="3"/>
        <v>185</v>
      </c>
      <c r="B186" s="53" t="s">
        <v>861</v>
      </c>
      <c r="C186" s="53" t="s">
        <v>101</v>
      </c>
      <c r="D186" s="56" t="s">
        <v>102</v>
      </c>
      <c r="E186" s="53" t="str">
        <f t="shared" si="1"/>
        <v>JURUTISATELITE</v>
      </c>
      <c r="F186" s="59">
        <v>1.0</v>
      </c>
      <c r="G186" s="53" t="s">
        <v>297</v>
      </c>
      <c r="H186" s="59" t="str">
        <f t="array" ref="H186">XLOOKUP(B186,municipios,regiao!$D$6:$D$150,0)</f>
        <v>SIM</v>
      </c>
      <c r="I186" s="53" t="s">
        <v>297</v>
      </c>
      <c r="J186" s="60" t="s">
        <v>106</v>
      </c>
      <c r="K186" s="61">
        <v>4799.0</v>
      </c>
      <c r="L186" s="70">
        <f>K186/(1-pconfig!$G$2-pconfig!$G$3-pconfig!$G$4)</f>
        <v>9061.555891</v>
      </c>
      <c r="M186" s="61">
        <v>133.3</v>
      </c>
      <c r="N186" s="61">
        <f>M186/(1-pconfig!$G$2-pconfig!$G$3-pconfig!$G$4)</f>
        <v>251.6993958</v>
      </c>
      <c r="O186" s="61">
        <f>((K186*F186)+M186)/(1-pconfig!$G$2-pconfig!$G$3-pconfig!$G$4)</f>
        <v>9313.255287</v>
      </c>
      <c r="P186" s="74">
        <f>K186*F186/(1-pconfig!$G$2-pconfig!$G$3-pconfig!$G$4)</f>
        <v>9061.555891</v>
      </c>
      <c r="Q186" s="74">
        <f>IFS(F186&lt;=pconfig!$B$12,P186*pconfig!$C$12,F186&lt;=pconfig!$B$13,P186*pconfig!$C$13,F186&lt;=pconfig!$B$14,P186*pconfig!$C$14,F186&lt;=pconfig!$B$15,P186*pconfig!$C$15,F186&lt;=pconfig!$B$16,P186*pconfig!$C$16,F186&lt;=pconfig!$B$17,P186*pconfig!$C$17,F186&lt;=pconfig!$B$18,P186*pconfig!$C$18,F186&lt;=pconfig!$B$19,P186*pconfig!$C$19,F186&lt;=pconfig!$B$20,P186*pconfig!$C$20,F186&lt;=pconfig!$B$21,P186*pconfig!$C$21)</f>
        <v>9061.555891</v>
      </c>
      <c r="R186" s="76">
        <f t="shared" si="2"/>
        <v>9313.255287</v>
      </c>
    </row>
    <row r="187" ht="22.5" hidden="1" customHeight="1">
      <c r="A187" s="78">
        <f t="shared" si="3"/>
        <v>186</v>
      </c>
      <c r="B187" s="79" t="s">
        <v>861</v>
      </c>
      <c r="C187" s="79" t="s">
        <v>59</v>
      </c>
      <c r="D187" s="80" t="s">
        <v>60</v>
      </c>
      <c r="E187" s="79" t="str">
        <f t="shared" si="1"/>
        <v>JURUTIRADIO</v>
      </c>
      <c r="F187" s="81">
        <v>1.0</v>
      </c>
      <c r="G187" s="79" t="s">
        <v>297</v>
      </c>
      <c r="H187" s="81" t="str">
        <f t="array" ref="H187">XLOOKUP(B187,municipios,regiao!$D$6:$D$150,0)</f>
        <v>SIM</v>
      </c>
      <c r="I187" s="79" t="s">
        <v>297</v>
      </c>
      <c r="J187" s="82" t="s">
        <v>133</v>
      </c>
      <c r="K187" s="83">
        <v>29.29</v>
      </c>
      <c r="L187" s="85">
        <f>K187/(1-pconfig!$G$2-pconfig!$G$3-pconfig!$G$4)</f>
        <v>55.30589124</v>
      </c>
      <c r="M187" s="83">
        <v>166.666666666667</v>
      </c>
      <c r="N187" s="83">
        <f>M187/(1-pconfig!$G$2-pconfig!$G$3-pconfig!$G$4)</f>
        <v>314.7029204</v>
      </c>
      <c r="O187" s="83">
        <f>((K187*F187)+M187)/(1-pconfig!$G$2-pconfig!$G$3-pconfig!$G$4)</f>
        <v>370.0088117</v>
      </c>
      <c r="P187" s="86">
        <f>K187*F187/(1-pconfig!$G$2-pconfig!$G$3-pconfig!$G$4)</f>
        <v>55.30589124</v>
      </c>
      <c r="Q187" s="86">
        <f>IFS(F187&lt;=pconfig!$B$12,P187*pconfig!$C$12,F187&lt;=pconfig!$B$13,P187*pconfig!$C$13,F187&lt;=pconfig!$B$14,P187*pconfig!$C$14,F187&lt;=pconfig!$B$15,P187*pconfig!$C$15,F187&lt;=pconfig!$B$16,P187*pconfig!$C$16,F187&lt;=pconfig!$B$17,P187*pconfig!$C$17,F187&lt;=pconfig!$B$18,P187*pconfig!$C$18,F187&lt;=pconfig!$B$19,P187*pconfig!$C$19,F187&lt;=pconfig!$B$20,P187*pconfig!$C$20,F187&lt;=pconfig!$B$21,P187*pconfig!$C$21)</f>
        <v>55.30589124</v>
      </c>
      <c r="R187" s="87">
        <f t="shared" si="2"/>
        <v>370.0088117</v>
      </c>
    </row>
    <row r="188" ht="22.5" hidden="1" customHeight="1">
      <c r="A188" s="52">
        <f t="shared" si="3"/>
        <v>187</v>
      </c>
      <c r="B188" s="53" t="s">
        <v>862</v>
      </c>
      <c r="C188" s="53" t="s">
        <v>59</v>
      </c>
      <c r="D188" s="56" t="s">
        <v>60</v>
      </c>
      <c r="E188" s="53" t="str">
        <f t="shared" si="1"/>
        <v>LIMOEIRO DO AJURURADIO</v>
      </c>
      <c r="F188" s="59">
        <v>1.0</v>
      </c>
      <c r="G188" s="53" t="s">
        <v>61</v>
      </c>
      <c r="H188" s="59" t="str">
        <f t="array" ref="H188">XLOOKUP(B188,municipios,regiao!$D$6:$D$150,0)</f>
        <v>SIM</v>
      </c>
      <c r="I188" s="53" t="s">
        <v>63</v>
      </c>
      <c r="J188" s="60" t="s">
        <v>235</v>
      </c>
      <c r="K188" s="61">
        <v>20.69</v>
      </c>
      <c r="L188" s="70">
        <f>K188/(1-pconfig!$G$2-pconfig!$G$3-pconfig!$G$4)</f>
        <v>39.06722054</v>
      </c>
      <c r="M188" s="61">
        <v>138.285</v>
      </c>
      <c r="N188" s="61">
        <f>M188/(1-pconfig!$G$2-pconfig!$G$3-pconfig!$G$4)</f>
        <v>261.1121601</v>
      </c>
      <c r="O188" s="61">
        <f>((K188*F188)+M188)/(1-pconfig!$G$2-pconfig!$G$3-pconfig!$G$4)</f>
        <v>300.1793807</v>
      </c>
      <c r="P188" s="74">
        <f>K188*F188/(1-pconfig!$G$2-pconfig!$G$3-pconfig!$G$4)</f>
        <v>39.06722054</v>
      </c>
      <c r="Q188" s="74">
        <f>IFS(F188&lt;=pconfig!$B$12,P188*pconfig!$C$12,F188&lt;=pconfig!$B$13,P188*pconfig!$C$13,F188&lt;=pconfig!$B$14,P188*pconfig!$C$14,F188&lt;=pconfig!$B$15,P188*pconfig!$C$15,F188&lt;=pconfig!$B$16,P188*pconfig!$C$16,F188&lt;=pconfig!$B$17,P188*pconfig!$C$17,F188&lt;=pconfig!$B$18,P188*pconfig!$C$18,F188&lt;=pconfig!$B$19,P188*pconfig!$C$19,F188&lt;=pconfig!$B$20,P188*pconfig!$C$20,F188&lt;=pconfig!$B$21,P188*pconfig!$C$21)</f>
        <v>39.06722054</v>
      </c>
      <c r="R188" s="76">
        <f t="shared" si="2"/>
        <v>300.1793807</v>
      </c>
    </row>
    <row r="189" ht="22.5" hidden="1" customHeight="1">
      <c r="A189" s="78">
        <f t="shared" si="3"/>
        <v>188</v>
      </c>
      <c r="B189" s="79" t="s">
        <v>862</v>
      </c>
      <c r="C189" s="79" t="s">
        <v>50</v>
      </c>
      <c r="D189" s="80" t="s">
        <v>82</v>
      </c>
      <c r="E189" s="79" t="str">
        <f t="shared" si="1"/>
        <v>LIMOEIRO DO AJURUFIBRA</v>
      </c>
      <c r="F189" s="81">
        <v>1.0</v>
      </c>
      <c r="G189" s="79" t="s">
        <v>61</v>
      </c>
      <c r="H189" s="81" t="str">
        <f t="array" ref="H189">XLOOKUP(B189,municipios,regiao!$D$6:$D$150,0)</f>
        <v>SIM</v>
      </c>
      <c r="I189" s="79" t="s">
        <v>63</v>
      </c>
      <c r="J189" s="82" t="s">
        <v>235</v>
      </c>
      <c r="K189" s="83">
        <v>20.69</v>
      </c>
      <c r="L189" s="85">
        <f>K189/(1-pconfig!$G$2-pconfig!$G$3-pconfig!$G$4)</f>
        <v>39.06722054</v>
      </c>
      <c r="M189" s="83">
        <v>314.77</v>
      </c>
      <c r="N189" s="83">
        <f>M189/(1-pconfig!$G$2-pconfig!$G$3-pconfig!$G$4)</f>
        <v>594.3542296</v>
      </c>
      <c r="O189" s="83">
        <f>((K189*F189)+M189)/(1-pconfig!$G$2-pconfig!$G$3-pconfig!$G$4)</f>
        <v>633.4214502</v>
      </c>
      <c r="P189" s="86">
        <f>K189*F189/(1-pconfig!$G$2-pconfig!$G$3-pconfig!$G$4)</f>
        <v>39.06722054</v>
      </c>
      <c r="Q189" s="86">
        <f>IFS(F189&lt;=pconfig!$B$12,P189*pconfig!$C$12,F189&lt;=pconfig!$B$13,P189*pconfig!$C$13,F189&lt;=pconfig!$B$14,P189*pconfig!$C$14,F189&lt;=pconfig!$B$15,P189*pconfig!$C$15,F189&lt;=pconfig!$B$16,P189*pconfig!$C$16,F189&lt;=pconfig!$B$17,P189*pconfig!$C$17,F189&lt;=pconfig!$B$18,P189*pconfig!$C$18,F189&lt;=pconfig!$B$19,P189*pconfig!$C$19,F189&lt;=pconfig!$B$20,P189*pconfig!$C$20,F189&lt;=pconfig!$B$21,P189*pconfig!$C$21)</f>
        <v>39.06722054</v>
      </c>
      <c r="R189" s="87">
        <f t="shared" si="2"/>
        <v>633.4214502</v>
      </c>
    </row>
    <row r="190" ht="22.5" hidden="1" customHeight="1">
      <c r="A190" s="52">
        <f t="shared" si="3"/>
        <v>189</v>
      </c>
      <c r="B190" s="53" t="s">
        <v>862</v>
      </c>
      <c r="C190" s="53" t="s">
        <v>101</v>
      </c>
      <c r="D190" s="56" t="s">
        <v>102</v>
      </c>
      <c r="E190" s="53" t="str">
        <f t="shared" si="1"/>
        <v>LIMOEIRO DO AJURUSATELITE</v>
      </c>
      <c r="F190" s="59">
        <v>1.0</v>
      </c>
      <c r="G190" s="53" t="s">
        <v>61</v>
      </c>
      <c r="H190" s="59" t="str">
        <f t="array" ref="H190">XLOOKUP(B190,municipios,regiao!$D$6:$D$150,0)</f>
        <v>SIM</v>
      </c>
      <c r="I190" s="53" t="s">
        <v>63</v>
      </c>
      <c r="J190" s="60" t="s">
        <v>106</v>
      </c>
      <c r="K190" s="61">
        <v>4799.0</v>
      </c>
      <c r="L190" s="70">
        <f>K190/(1-pconfig!$G$2-pconfig!$G$3-pconfig!$G$4)</f>
        <v>9061.555891</v>
      </c>
      <c r="M190" s="61">
        <v>314.77</v>
      </c>
      <c r="N190" s="61">
        <f>M190/(1-pconfig!$G$2-pconfig!$G$3-pconfig!$G$4)</f>
        <v>594.3542296</v>
      </c>
      <c r="O190" s="61">
        <f>((K190*F190)+M190)/(1-pconfig!$G$2-pconfig!$G$3-pconfig!$G$4)</f>
        <v>9655.910121</v>
      </c>
      <c r="P190" s="74">
        <f>K190*F190/(1-pconfig!$G$2-pconfig!$G$3-pconfig!$G$4)</f>
        <v>9061.555891</v>
      </c>
      <c r="Q190" s="74">
        <f>IFS(F190&lt;=pconfig!$B$12,P190*pconfig!$C$12,F190&lt;=pconfig!$B$13,P190*pconfig!$C$13,F190&lt;=pconfig!$B$14,P190*pconfig!$C$14,F190&lt;=pconfig!$B$15,P190*pconfig!$C$15,F190&lt;=pconfig!$B$16,P190*pconfig!$C$16,F190&lt;=pconfig!$B$17,P190*pconfig!$C$17,F190&lt;=pconfig!$B$18,P190*pconfig!$C$18,F190&lt;=pconfig!$B$19,P190*pconfig!$C$19,F190&lt;=pconfig!$B$20,P190*pconfig!$C$20,F190&lt;=pconfig!$B$21,P190*pconfig!$C$21)</f>
        <v>9061.555891</v>
      </c>
      <c r="R190" s="76">
        <f t="shared" si="2"/>
        <v>9655.910121</v>
      </c>
    </row>
    <row r="191" ht="22.5" hidden="1" customHeight="1">
      <c r="A191" s="78">
        <f t="shared" si="3"/>
        <v>190</v>
      </c>
      <c r="B191" s="79" t="s">
        <v>863</v>
      </c>
      <c r="C191" s="79" t="s">
        <v>50</v>
      </c>
      <c r="D191" s="80" t="s">
        <v>82</v>
      </c>
      <c r="E191" s="79" t="str">
        <f t="shared" si="1"/>
        <v>MAE DO RIOFIBRA</v>
      </c>
      <c r="F191" s="81">
        <v>1.0</v>
      </c>
      <c r="G191" s="79" t="s">
        <v>61</v>
      </c>
      <c r="H191" s="81" t="str">
        <f t="array" ref="H191">XLOOKUP(B191,municipios,regiao!$D$6:$D$150,0)</f>
        <v>SIM</v>
      </c>
      <c r="I191" s="79" t="s">
        <v>132</v>
      </c>
      <c r="J191" s="82" t="s">
        <v>337</v>
      </c>
      <c r="K191" s="83">
        <v>17.84</v>
      </c>
      <c r="L191" s="85">
        <f>K191/(1-pconfig!$G$2-pconfig!$G$3-pconfig!$G$4)</f>
        <v>33.6858006</v>
      </c>
      <c r="M191" s="83">
        <v>63.39</v>
      </c>
      <c r="N191" s="83">
        <f>M191/(1-pconfig!$G$2-pconfig!$G$3-pconfig!$G$4)</f>
        <v>119.6941088</v>
      </c>
      <c r="O191" s="83">
        <f>((K191*F191)+M191)/(1-pconfig!$G$2-pconfig!$G$3-pconfig!$G$4)</f>
        <v>153.3799094</v>
      </c>
      <c r="P191" s="86">
        <f>K191*F191/(1-pconfig!$G$2-pconfig!$G$3-pconfig!$G$4)</f>
        <v>33.6858006</v>
      </c>
      <c r="Q191" s="86">
        <f>IFS(F191&lt;=pconfig!$B$12,P191*pconfig!$C$12,F191&lt;=pconfig!$B$13,P191*pconfig!$C$13,F191&lt;=pconfig!$B$14,P191*pconfig!$C$14,F191&lt;=pconfig!$B$15,P191*pconfig!$C$15,F191&lt;=pconfig!$B$16,P191*pconfig!$C$16,F191&lt;=pconfig!$B$17,P191*pconfig!$C$17,F191&lt;=pconfig!$B$18,P191*pconfig!$C$18,F191&lt;=pconfig!$B$19,P191*pconfig!$C$19,F191&lt;=pconfig!$B$20,P191*pconfig!$C$20,F191&lt;=pconfig!$B$21,P191*pconfig!$C$21)</f>
        <v>33.6858006</v>
      </c>
      <c r="R191" s="87">
        <f t="shared" si="2"/>
        <v>153.3799094</v>
      </c>
    </row>
    <row r="192" ht="22.5" hidden="1" customHeight="1">
      <c r="A192" s="52">
        <f t="shared" si="3"/>
        <v>191</v>
      </c>
      <c r="B192" s="53" t="s">
        <v>863</v>
      </c>
      <c r="C192" s="53" t="s">
        <v>101</v>
      </c>
      <c r="D192" s="56" t="s">
        <v>102</v>
      </c>
      <c r="E192" s="53" t="str">
        <f t="shared" si="1"/>
        <v>MAE DO RIOSATELITE</v>
      </c>
      <c r="F192" s="59">
        <v>1.0</v>
      </c>
      <c r="G192" s="53" t="s">
        <v>61</v>
      </c>
      <c r="H192" s="59" t="str">
        <f t="array" ref="H192">XLOOKUP(B192,municipios,regiao!$D$6:$D$150,0)</f>
        <v>SIM</v>
      </c>
      <c r="I192" s="53" t="s">
        <v>132</v>
      </c>
      <c r="J192" s="60" t="s">
        <v>106</v>
      </c>
      <c r="K192" s="61">
        <v>4799.0</v>
      </c>
      <c r="L192" s="70">
        <f>K192/(1-pconfig!$G$2-pconfig!$G$3-pconfig!$G$4)</f>
        <v>9061.555891</v>
      </c>
      <c r="M192" s="61">
        <v>63.39</v>
      </c>
      <c r="N192" s="61">
        <f>M192/(1-pconfig!$G$2-pconfig!$G$3-pconfig!$G$4)</f>
        <v>119.6941088</v>
      </c>
      <c r="O192" s="61">
        <f>((K192*F192)+M192)/(1-pconfig!$G$2-pconfig!$G$3-pconfig!$G$4)</f>
        <v>9181.25</v>
      </c>
      <c r="P192" s="74">
        <f>K192*F192/(1-pconfig!$G$2-pconfig!$G$3-pconfig!$G$4)</f>
        <v>9061.555891</v>
      </c>
      <c r="Q192" s="74">
        <f>IFS(F192&lt;=pconfig!$B$12,P192*pconfig!$C$12,F192&lt;=pconfig!$B$13,P192*pconfig!$C$13,F192&lt;=pconfig!$B$14,P192*pconfig!$C$14,F192&lt;=pconfig!$B$15,P192*pconfig!$C$15,F192&lt;=pconfig!$B$16,P192*pconfig!$C$16,F192&lt;=pconfig!$B$17,P192*pconfig!$C$17,F192&lt;=pconfig!$B$18,P192*pconfig!$C$18,F192&lt;=pconfig!$B$19,P192*pconfig!$C$19,F192&lt;=pconfig!$B$20,P192*pconfig!$C$20,F192&lt;=pconfig!$B$21,P192*pconfig!$C$21)</f>
        <v>9061.555891</v>
      </c>
      <c r="R192" s="76">
        <f t="shared" si="2"/>
        <v>9181.25</v>
      </c>
    </row>
    <row r="193" ht="22.5" hidden="1" customHeight="1">
      <c r="A193" s="78">
        <f t="shared" si="3"/>
        <v>192</v>
      </c>
      <c r="B193" s="79" t="s">
        <v>863</v>
      </c>
      <c r="C193" s="79" t="s">
        <v>59</v>
      </c>
      <c r="D193" s="80" t="s">
        <v>60</v>
      </c>
      <c r="E193" s="79" t="str">
        <f t="shared" si="1"/>
        <v>MAE DO RIORADIO</v>
      </c>
      <c r="F193" s="81">
        <v>1.0</v>
      </c>
      <c r="G193" s="79" t="s">
        <v>61</v>
      </c>
      <c r="H193" s="81" t="str">
        <f t="array" ref="H193">XLOOKUP(B193,municipios,regiao!$D$6:$D$150,0)</f>
        <v>SIM</v>
      </c>
      <c r="I193" s="79" t="s">
        <v>132</v>
      </c>
      <c r="J193" s="82" t="s">
        <v>337</v>
      </c>
      <c r="K193" s="83">
        <v>17.84</v>
      </c>
      <c r="L193" s="85">
        <f>K193/(1-pconfig!$G$2-pconfig!$G$3-pconfig!$G$4)</f>
        <v>33.6858006</v>
      </c>
      <c r="M193" s="83">
        <v>130.6225</v>
      </c>
      <c r="N193" s="83">
        <f>M193/(1-pconfig!$G$2-pconfig!$G$3-pconfig!$G$4)</f>
        <v>246.6436934</v>
      </c>
      <c r="O193" s="83">
        <f>((K193*F193)+M193)/(1-pconfig!$G$2-pconfig!$G$3-pconfig!$G$4)</f>
        <v>280.329494</v>
      </c>
      <c r="P193" s="86">
        <f>K193*F193/(1-pconfig!$G$2-pconfig!$G$3-pconfig!$G$4)</f>
        <v>33.6858006</v>
      </c>
      <c r="Q193" s="86">
        <f>IFS(F193&lt;=pconfig!$B$12,P193*pconfig!$C$12,F193&lt;=pconfig!$B$13,P193*pconfig!$C$13,F193&lt;=pconfig!$B$14,P193*pconfig!$C$14,F193&lt;=pconfig!$B$15,P193*pconfig!$C$15,F193&lt;=pconfig!$B$16,P193*pconfig!$C$16,F193&lt;=pconfig!$B$17,P193*pconfig!$C$17,F193&lt;=pconfig!$B$18,P193*pconfig!$C$18,F193&lt;=pconfig!$B$19,P193*pconfig!$C$19,F193&lt;=pconfig!$B$20,P193*pconfig!$C$20,F193&lt;=pconfig!$B$21,P193*pconfig!$C$21)</f>
        <v>33.6858006</v>
      </c>
      <c r="R193" s="87">
        <f t="shared" si="2"/>
        <v>280.329494</v>
      </c>
    </row>
    <row r="194" ht="22.5" hidden="1" customHeight="1">
      <c r="A194" s="52">
        <f t="shared" si="3"/>
        <v>193</v>
      </c>
      <c r="B194" s="53" t="s">
        <v>865</v>
      </c>
      <c r="C194" s="53" t="s">
        <v>50</v>
      </c>
      <c r="D194" s="56" t="s">
        <v>82</v>
      </c>
      <c r="E194" s="53" t="str">
        <f t="shared" si="1"/>
        <v>MAGALHAES BARATAFIBRA</v>
      </c>
      <c r="F194" s="59">
        <v>1.0</v>
      </c>
      <c r="G194" s="53" t="s">
        <v>61</v>
      </c>
      <c r="H194" s="59" t="str">
        <f t="array" ref="H194">XLOOKUP(B194,municipios,regiao!$D$6:$D$150,0)</f>
        <v>SIM</v>
      </c>
      <c r="I194" s="53" t="s">
        <v>798</v>
      </c>
      <c r="J194" s="60" t="s">
        <v>64</v>
      </c>
      <c r="K194" s="61">
        <v>15.65</v>
      </c>
      <c r="L194" s="70">
        <f>K194/(1-pconfig!$G$2-pconfig!$G$3-pconfig!$G$4)</f>
        <v>29.55060423</v>
      </c>
      <c r="M194" s="61">
        <v>70.72</v>
      </c>
      <c r="N194" s="61">
        <f>M194/(1-pconfig!$G$2-pconfig!$G$3-pconfig!$G$4)</f>
        <v>133.5347432</v>
      </c>
      <c r="O194" s="61">
        <f>((K194*F194)+M194)/(1-pconfig!$G$2-pconfig!$G$3-pconfig!$G$4)</f>
        <v>163.0853474</v>
      </c>
      <c r="P194" s="74">
        <f>K194*F194/(1-pconfig!$G$2-pconfig!$G$3-pconfig!$G$4)</f>
        <v>29.55060423</v>
      </c>
      <c r="Q194" s="74">
        <f>IFS(F194&lt;=pconfig!$B$12,P194*pconfig!$C$12,F194&lt;=pconfig!$B$13,P194*pconfig!$C$13,F194&lt;=pconfig!$B$14,P194*pconfig!$C$14,F194&lt;=pconfig!$B$15,P194*pconfig!$C$15,F194&lt;=pconfig!$B$16,P194*pconfig!$C$16,F194&lt;=pconfig!$B$17,P194*pconfig!$C$17,F194&lt;=pconfig!$B$18,P194*pconfig!$C$18,F194&lt;=pconfig!$B$19,P194*pconfig!$C$19,F194&lt;=pconfig!$B$20,P194*pconfig!$C$20,F194&lt;=pconfig!$B$21,P194*pconfig!$C$21)</f>
        <v>29.55060423</v>
      </c>
      <c r="R194" s="76">
        <f t="shared" si="2"/>
        <v>163.0853474</v>
      </c>
    </row>
    <row r="195" ht="22.5" hidden="1" customHeight="1">
      <c r="A195" s="78">
        <f t="shared" si="3"/>
        <v>194</v>
      </c>
      <c r="B195" s="79" t="s">
        <v>865</v>
      </c>
      <c r="C195" s="79" t="s">
        <v>101</v>
      </c>
      <c r="D195" s="80" t="s">
        <v>102</v>
      </c>
      <c r="E195" s="79" t="str">
        <f t="shared" si="1"/>
        <v>MAGALHAES BARATASATELITE</v>
      </c>
      <c r="F195" s="81">
        <v>1.0</v>
      </c>
      <c r="G195" s="79" t="s">
        <v>61</v>
      </c>
      <c r="H195" s="81" t="str">
        <f t="array" ref="H195">XLOOKUP(B195,municipios,regiao!$D$6:$D$150,0)</f>
        <v>SIM</v>
      </c>
      <c r="I195" s="79" t="s">
        <v>798</v>
      </c>
      <c r="J195" s="82" t="s">
        <v>106</v>
      </c>
      <c r="K195" s="83">
        <v>4799.0</v>
      </c>
      <c r="L195" s="85">
        <f>K195/(1-pconfig!$G$2-pconfig!$G$3-pconfig!$G$4)</f>
        <v>9061.555891</v>
      </c>
      <c r="M195" s="83">
        <v>70.72</v>
      </c>
      <c r="N195" s="83">
        <f>M195/(1-pconfig!$G$2-pconfig!$G$3-pconfig!$G$4)</f>
        <v>133.5347432</v>
      </c>
      <c r="O195" s="83">
        <f>((K195*F195)+M195)/(1-pconfig!$G$2-pconfig!$G$3-pconfig!$G$4)</f>
        <v>9195.090634</v>
      </c>
      <c r="P195" s="86">
        <f>K195*F195/(1-pconfig!$G$2-pconfig!$G$3-pconfig!$G$4)</f>
        <v>9061.555891</v>
      </c>
      <c r="Q195" s="86">
        <f>IFS(F195&lt;=pconfig!$B$12,P195*pconfig!$C$12,F195&lt;=pconfig!$B$13,P195*pconfig!$C$13,F195&lt;=pconfig!$B$14,P195*pconfig!$C$14,F195&lt;=pconfig!$B$15,P195*pconfig!$C$15,F195&lt;=pconfig!$B$16,P195*pconfig!$C$16,F195&lt;=pconfig!$B$17,P195*pconfig!$C$17,F195&lt;=pconfig!$B$18,P195*pconfig!$C$18,F195&lt;=pconfig!$B$19,P195*pconfig!$C$19,F195&lt;=pconfig!$B$20,P195*pconfig!$C$20,F195&lt;=pconfig!$B$21,P195*pconfig!$C$21)</f>
        <v>9061.555891</v>
      </c>
      <c r="R195" s="87">
        <f t="shared" si="2"/>
        <v>9195.090634</v>
      </c>
    </row>
    <row r="196" ht="22.5" hidden="1" customHeight="1">
      <c r="A196" s="52">
        <f t="shared" si="3"/>
        <v>195</v>
      </c>
      <c r="B196" s="53" t="s">
        <v>865</v>
      </c>
      <c r="C196" s="53" t="s">
        <v>59</v>
      </c>
      <c r="D196" s="56" t="s">
        <v>60</v>
      </c>
      <c r="E196" s="53" t="str">
        <f t="shared" si="1"/>
        <v>MAGALHAES BARATARADIO</v>
      </c>
      <c r="F196" s="59">
        <v>1.0</v>
      </c>
      <c r="G196" s="53" t="s">
        <v>61</v>
      </c>
      <c r="H196" s="59" t="str">
        <f t="array" ref="H196">XLOOKUP(B196,municipios,regiao!$D$6:$D$150,0)</f>
        <v>SIM</v>
      </c>
      <c r="I196" s="53" t="s">
        <v>798</v>
      </c>
      <c r="J196" s="60" t="s">
        <v>64</v>
      </c>
      <c r="K196" s="61">
        <v>15.65</v>
      </c>
      <c r="L196" s="70">
        <f>K196/(1-pconfig!$G$2-pconfig!$G$3-pconfig!$G$4)</f>
        <v>29.55060423</v>
      </c>
      <c r="M196" s="61">
        <v>137.604166666667</v>
      </c>
      <c r="N196" s="61">
        <f>M196/(1-pconfig!$G$2-pconfig!$G$3-pconfig!$G$4)</f>
        <v>259.8265987</v>
      </c>
      <c r="O196" s="61">
        <f>((K196*F196)+M196)/(1-pconfig!$G$2-pconfig!$G$3-pconfig!$G$4)</f>
        <v>289.3772029</v>
      </c>
      <c r="P196" s="74">
        <f>K196*F196/(1-pconfig!$G$2-pconfig!$G$3-pconfig!$G$4)</f>
        <v>29.55060423</v>
      </c>
      <c r="Q196" s="74">
        <f>IFS(F196&lt;=pconfig!$B$12,P196*pconfig!$C$12,F196&lt;=pconfig!$B$13,P196*pconfig!$C$13,F196&lt;=pconfig!$B$14,P196*pconfig!$C$14,F196&lt;=pconfig!$B$15,P196*pconfig!$C$15,F196&lt;=pconfig!$B$16,P196*pconfig!$C$16,F196&lt;=pconfig!$B$17,P196*pconfig!$C$17,F196&lt;=pconfig!$B$18,P196*pconfig!$C$18,F196&lt;=pconfig!$B$19,P196*pconfig!$C$19,F196&lt;=pconfig!$B$20,P196*pconfig!$C$20,F196&lt;=pconfig!$B$21,P196*pconfig!$C$21)</f>
        <v>29.55060423</v>
      </c>
      <c r="R196" s="76">
        <f t="shared" si="2"/>
        <v>289.3772029</v>
      </c>
    </row>
    <row r="197" ht="22.5" hidden="1" customHeight="1">
      <c r="A197" s="78">
        <f t="shared" si="3"/>
        <v>196</v>
      </c>
      <c r="B197" s="79" t="s">
        <v>866</v>
      </c>
      <c r="C197" s="79" t="s">
        <v>50</v>
      </c>
      <c r="D197" s="80" t="s">
        <v>82</v>
      </c>
      <c r="E197" s="79" t="str">
        <f t="shared" si="1"/>
        <v>MARABAFIBRA</v>
      </c>
      <c r="F197" s="81">
        <v>1.0</v>
      </c>
      <c r="G197" s="79" t="s">
        <v>128</v>
      </c>
      <c r="H197" s="81" t="str">
        <f t="array" ref="H197">XLOOKUP(B197,municipios,regiao!$D$6:$D$150,0)</f>
        <v>SIM</v>
      </c>
      <c r="I197" s="79" t="s">
        <v>695</v>
      </c>
      <c r="J197" s="82" t="s">
        <v>64</v>
      </c>
      <c r="K197" s="83">
        <v>15.65</v>
      </c>
      <c r="L197" s="85">
        <f>K197/(1-pconfig!$G$2-pconfig!$G$3-pconfig!$G$4)</f>
        <v>29.55060423</v>
      </c>
      <c r="M197" s="83">
        <v>56.88</v>
      </c>
      <c r="N197" s="83">
        <f>M197/(1-pconfig!$G$2-pconfig!$G$3-pconfig!$G$4)</f>
        <v>107.4018127</v>
      </c>
      <c r="O197" s="83">
        <f>((K197*F197)+M197)/(1-pconfig!$G$2-pconfig!$G$3-pconfig!$G$4)</f>
        <v>136.9524169</v>
      </c>
      <c r="P197" s="86">
        <f>K197*F197/(1-pconfig!$G$2-pconfig!$G$3-pconfig!$G$4)</f>
        <v>29.55060423</v>
      </c>
      <c r="Q197" s="86">
        <f>IFS(F197&lt;=pconfig!$B$12,P197*pconfig!$C$12,F197&lt;=pconfig!$B$13,P197*pconfig!$C$13,F197&lt;=pconfig!$B$14,P197*pconfig!$C$14,F197&lt;=pconfig!$B$15,P197*pconfig!$C$15,F197&lt;=pconfig!$B$16,P197*pconfig!$C$16,F197&lt;=pconfig!$B$17,P197*pconfig!$C$17,F197&lt;=pconfig!$B$18,P197*pconfig!$C$18,F197&lt;=pconfig!$B$19,P197*pconfig!$C$19,F197&lt;=pconfig!$B$20,P197*pconfig!$C$20,F197&lt;=pconfig!$B$21,P197*pconfig!$C$21)</f>
        <v>29.55060423</v>
      </c>
      <c r="R197" s="87">
        <f t="shared" si="2"/>
        <v>136.9524169</v>
      </c>
    </row>
    <row r="198" ht="22.5" hidden="1" customHeight="1">
      <c r="A198" s="52">
        <f t="shared" si="3"/>
        <v>197</v>
      </c>
      <c r="B198" s="53" t="s">
        <v>866</v>
      </c>
      <c r="C198" s="53" t="s">
        <v>101</v>
      </c>
      <c r="D198" s="56" t="s">
        <v>102</v>
      </c>
      <c r="E198" s="53" t="str">
        <f t="shared" si="1"/>
        <v>MARABASATELITE</v>
      </c>
      <c r="F198" s="59">
        <v>1.0</v>
      </c>
      <c r="G198" s="53" t="s">
        <v>128</v>
      </c>
      <c r="H198" s="59" t="str">
        <f t="array" ref="H198">XLOOKUP(B198,municipios,regiao!$D$6:$D$150,0)</f>
        <v>SIM</v>
      </c>
      <c r="I198" s="53" t="s">
        <v>695</v>
      </c>
      <c r="J198" s="60" t="s">
        <v>106</v>
      </c>
      <c r="K198" s="61">
        <v>4799.0</v>
      </c>
      <c r="L198" s="70">
        <f>K198/(1-pconfig!$G$2-pconfig!$G$3-pconfig!$G$4)</f>
        <v>9061.555891</v>
      </c>
      <c r="M198" s="61">
        <v>56.88</v>
      </c>
      <c r="N198" s="61">
        <f>M198/(1-pconfig!$G$2-pconfig!$G$3-pconfig!$G$4)</f>
        <v>107.4018127</v>
      </c>
      <c r="O198" s="61">
        <f>((K198*F198)+M198)/(1-pconfig!$G$2-pconfig!$G$3-pconfig!$G$4)</f>
        <v>9168.957704</v>
      </c>
      <c r="P198" s="74">
        <f>K198*F198/(1-pconfig!$G$2-pconfig!$G$3-pconfig!$G$4)</f>
        <v>9061.555891</v>
      </c>
      <c r="Q198" s="74">
        <f>IFS(F198&lt;=pconfig!$B$12,P198*pconfig!$C$12,F198&lt;=pconfig!$B$13,P198*pconfig!$C$13,F198&lt;=pconfig!$B$14,P198*pconfig!$C$14,F198&lt;=pconfig!$B$15,P198*pconfig!$C$15,F198&lt;=pconfig!$B$16,P198*pconfig!$C$16,F198&lt;=pconfig!$B$17,P198*pconfig!$C$17,F198&lt;=pconfig!$B$18,P198*pconfig!$C$18,F198&lt;=pconfig!$B$19,P198*pconfig!$C$19,F198&lt;=pconfig!$B$20,P198*pconfig!$C$20,F198&lt;=pconfig!$B$21,P198*pconfig!$C$21)</f>
        <v>9061.555891</v>
      </c>
      <c r="R198" s="76">
        <f t="shared" si="2"/>
        <v>9168.957704</v>
      </c>
    </row>
    <row r="199" ht="22.5" hidden="1" customHeight="1">
      <c r="A199" s="78">
        <f t="shared" si="3"/>
        <v>198</v>
      </c>
      <c r="B199" s="79" t="s">
        <v>866</v>
      </c>
      <c r="C199" s="79" t="s">
        <v>59</v>
      </c>
      <c r="D199" s="80" t="s">
        <v>60</v>
      </c>
      <c r="E199" s="79" t="str">
        <f t="shared" si="1"/>
        <v>MARABARADIO</v>
      </c>
      <c r="F199" s="81">
        <v>1.0</v>
      </c>
      <c r="G199" s="79" t="s">
        <v>128</v>
      </c>
      <c r="H199" s="81" t="str">
        <f t="array" ref="H199">XLOOKUP(B199,municipios,regiao!$D$6:$D$150,0)</f>
        <v>SIM</v>
      </c>
      <c r="I199" s="79" t="s">
        <v>695</v>
      </c>
      <c r="J199" s="82" t="s">
        <v>64</v>
      </c>
      <c r="K199" s="83">
        <v>15.65</v>
      </c>
      <c r="L199" s="85">
        <f>K199/(1-pconfig!$G$2-pconfig!$G$3-pconfig!$G$4)</f>
        <v>29.55060423</v>
      </c>
      <c r="M199" s="83">
        <v>333.333333333333</v>
      </c>
      <c r="N199" s="83">
        <f>M199/(1-pconfig!$G$2-pconfig!$G$3-pconfig!$G$4)</f>
        <v>629.4058409</v>
      </c>
      <c r="O199" s="83">
        <f>((K199*F199)+M199)/(1-pconfig!$G$2-pconfig!$G$3-pconfig!$G$4)</f>
        <v>658.9564451</v>
      </c>
      <c r="P199" s="86">
        <f>K199*F199/(1-pconfig!$G$2-pconfig!$G$3-pconfig!$G$4)</f>
        <v>29.55060423</v>
      </c>
      <c r="Q199" s="86">
        <f>IFS(F199&lt;=pconfig!$B$12,P199*pconfig!$C$12,F199&lt;=pconfig!$B$13,P199*pconfig!$C$13,F199&lt;=pconfig!$B$14,P199*pconfig!$C$14,F199&lt;=pconfig!$B$15,P199*pconfig!$C$15,F199&lt;=pconfig!$B$16,P199*pconfig!$C$16,F199&lt;=pconfig!$B$17,P199*pconfig!$C$17,F199&lt;=pconfig!$B$18,P199*pconfig!$C$18,F199&lt;=pconfig!$B$19,P199*pconfig!$C$19,F199&lt;=pconfig!$B$20,P199*pconfig!$C$20,F199&lt;=pconfig!$B$21,P199*pconfig!$C$21)</f>
        <v>29.55060423</v>
      </c>
      <c r="R199" s="87">
        <f t="shared" si="2"/>
        <v>658.9564451</v>
      </c>
    </row>
    <row r="200" ht="22.5" hidden="1" customHeight="1">
      <c r="A200" s="52">
        <f t="shared" si="3"/>
        <v>199</v>
      </c>
      <c r="B200" s="53" t="s">
        <v>867</v>
      </c>
      <c r="C200" s="53" t="s">
        <v>50</v>
      </c>
      <c r="D200" s="56" t="s">
        <v>82</v>
      </c>
      <c r="E200" s="53" t="str">
        <f t="shared" si="1"/>
        <v>MARACANAFIBRA</v>
      </c>
      <c r="F200" s="59">
        <v>1.0</v>
      </c>
      <c r="G200" s="53" t="s">
        <v>61</v>
      </c>
      <c r="H200" s="59" t="str">
        <f t="array" ref="H200">XLOOKUP(B200,municipios,regiao!$D$6:$D$150,0)</f>
        <v>SIM</v>
      </c>
      <c r="I200" s="53" t="s">
        <v>798</v>
      </c>
      <c r="J200" s="60" t="s">
        <v>337</v>
      </c>
      <c r="K200" s="61">
        <v>17.84</v>
      </c>
      <c r="L200" s="70">
        <f>K200/(1-pconfig!$G$2-pconfig!$G$3-pconfig!$G$4)</f>
        <v>33.6858006</v>
      </c>
      <c r="M200" s="61">
        <v>70.72</v>
      </c>
      <c r="N200" s="61">
        <f>M200/(1-pconfig!$G$2-pconfig!$G$3-pconfig!$G$4)</f>
        <v>133.5347432</v>
      </c>
      <c r="O200" s="61">
        <f>((K200*F200)+M200)/(1-pconfig!$G$2-pconfig!$G$3-pconfig!$G$4)</f>
        <v>167.2205438</v>
      </c>
      <c r="P200" s="74">
        <f>K200*F200/(1-pconfig!$G$2-pconfig!$G$3-pconfig!$G$4)</f>
        <v>33.6858006</v>
      </c>
      <c r="Q200" s="74">
        <f>IFS(F200&lt;=pconfig!$B$12,P200*pconfig!$C$12,F200&lt;=pconfig!$B$13,P200*pconfig!$C$13,F200&lt;=pconfig!$B$14,P200*pconfig!$C$14,F200&lt;=pconfig!$B$15,P200*pconfig!$C$15,F200&lt;=pconfig!$B$16,P200*pconfig!$C$16,F200&lt;=pconfig!$B$17,P200*pconfig!$C$17,F200&lt;=pconfig!$B$18,P200*pconfig!$C$18,F200&lt;=pconfig!$B$19,P200*pconfig!$C$19,F200&lt;=pconfig!$B$20,P200*pconfig!$C$20,F200&lt;=pconfig!$B$21,P200*pconfig!$C$21)</f>
        <v>33.6858006</v>
      </c>
      <c r="R200" s="76">
        <f t="shared" si="2"/>
        <v>167.2205438</v>
      </c>
    </row>
    <row r="201" ht="22.5" hidden="1" customHeight="1">
      <c r="A201" s="78">
        <f t="shared" si="3"/>
        <v>200</v>
      </c>
      <c r="B201" s="79" t="s">
        <v>867</v>
      </c>
      <c r="C201" s="79" t="s">
        <v>101</v>
      </c>
      <c r="D201" s="80" t="s">
        <v>102</v>
      </c>
      <c r="E201" s="79" t="str">
        <f t="shared" si="1"/>
        <v>MARACANASATELITE</v>
      </c>
      <c r="F201" s="81">
        <v>1.0</v>
      </c>
      <c r="G201" s="79" t="s">
        <v>61</v>
      </c>
      <c r="H201" s="81" t="str">
        <f t="array" ref="H201">XLOOKUP(B201,municipios,regiao!$D$6:$D$150,0)</f>
        <v>SIM</v>
      </c>
      <c r="I201" s="79" t="s">
        <v>798</v>
      </c>
      <c r="J201" s="82" t="s">
        <v>106</v>
      </c>
      <c r="K201" s="83">
        <v>4799.0</v>
      </c>
      <c r="L201" s="85">
        <f>K201/(1-pconfig!$G$2-pconfig!$G$3-pconfig!$G$4)</f>
        <v>9061.555891</v>
      </c>
      <c r="M201" s="83">
        <v>70.72</v>
      </c>
      <c r="N201" s="83">
        <f>M201/(1-pconfig!$G$2-pconfig!$G$3-pconfig!$G$4)</f>
        <v>133.5347432</v>
      </c>
      <c r="O201" s="83">
        <f>((K201*F201)+M201)/(1-pconfig!$G$2-pconfig!$G$3-pconfig!$G$4)</f>
        <v>9195.090634</v>
      </c>
      <c r="P201" s="86">
        <f>K201*F201/(1-pconfig!$G$2-pconfig!$G$3-pconfig!$G$4)</f>
        <v>9061.555891</v>
      </c>
      <c r="Q201" s="86">
        <f>IFS(F201&lt;=pconfig!$B$12,P201*pconfig!$C$12,F201&lt;=pconfig!$B$13,P201*pconfig!$C$13,F201&lt;=pconfig!$B$14,P201*pconfig!$C$14,F201&lt;=pconfig!$B$15,P201*pconfig!$C$15,F201&lt;=pconfig!$B$16,P201*pconfig!$C$16,F201&lt;=pconfig!$B$17,P201*pconfig!$C$17,F201&lt;=pconfig!$B$18,P201*pconfig!$C$18,F201&lt;=pconfig!$B$19,P201*pconfig!$C$19,F201&lt;=pconfig!$B$20,P201*pconfig!$C$20,F201&lt;=pconfig!$B$21,P201*pconfig!$C$21)</f>
        <v>9061.555891</v>
      </c>
      <c r="R201" s="87">
        <f t="shared" si="2"/>
        <v>9195.090634</v>
      </c>
    </row>
    <row r="202" ht="22.5" hidden="1" customHeight="1">
      <c r="A202" s="52">
        <f t="shared" si="3"/>
        <v>201</v>
      </c>
      <c r="B202" s="53" t="s">
        <v>867</v>
      </c>
      <c r="C202" s="53" t="s">
        <v>59</v>
      </c>
      <c r="D202" s="56" t="s">
        <v>60</v>
      </c>
      <c r="E202" s="53" t="str">
        <f t="shared" si="1"/>
        <v>MARACANARADIO</v>
      </c>
      <c r="F202" s="59">
        <v>1.0</v>
      </c>
      <c r="G202" s="53" t="s">
        <v>61</v>
      </c>
      <c r="H202" s="59" t="str">
        <f t="array" ref="H202">XLOOKUP(B202,municipios,regiao!$D$6:$D$150,0)</f>
        <v>SIM</v>
      </c>
      <c r="I202" s="53" t="s">
        <v>798</v>
      </c>
      <c r="J202" s="60" t="s">
        <v>337</v>
      </c>
      <c r="K202" s="61">
        <v>17.84</v>
      </c>
      <c r="L202" s="70">
        <f>K202/(1-pconfig!$G$2-pconfig!$G$3-pconfig!$G$4)</f>
        <v>33.6858006</v>
      </c>
      <c r="M202" s="61">
        <v>137.604166666667</v>
      </c>
      <c r="N202" s="61">
        <f>M202/(1-pconfig!$G$2-pconfig!$G$3-pconfig!$G$4)</f>
        <v>259.8265987</v>
      </c>
      <c r="O202" s="61">
        <f>((K202*F202)+M202)/(1-pconfig!$G$2-pconfig!$G$3-pconfig!$G$4)</f>
        <v>293.5123993</v>
      </c>
      <c r="P202" s="74">
        <f>K202*F202/(1-pconfig!$G$2-pconfig!$G$3-pconfig!$G$4)</f>
        <v>33.6858006</v>
      </c>
      <c r="Q202" s="74">
        <f>IFS(F202&lt;=pconfig!$B$12,P202*pconfig!$C$12,F202&lt;=pconfig!$B$13,P202*pconfig!$C$13,F202&lt;=pconfig!$B$14,P202*pconfig!$C$14,F202&lt;=pconfig!$B$15,P202*pconfig!$C$15,F202&lt;=pconfig!$B$16,P202*pconfig!$C$16,F202&lt;=pconfig!$B$17,P202*pconfig!$C$17,F202&lt;=pconfig!$B$18,P202*pconfig!$C$18,F202&lt;=pconfig!$B$19,P202*pconfig!$C$19,F202&lt;=pconfig!$B$20,P202*pconfig!$C$20,F202&lt;=pconfig!$B$21,P202*pconfig!$C$21)</f>
        <v>33.6858006</v>
      </c>
      <c r="R202" s="76">
        <f t="shared" si="2"/>
        <v>293.5123993</v>
      </c>
    </row>
    <row r="203" ht="22.5" hidden="1" customHeight="1">
      <c r="A203" s="78">
        <f t="shared" si="3"/>
        <v>202</v>
      </c>
      <c r="B203" s="79" t="s">
        <v>868</v>
      </c>
      <c r="C203" s="79" t="s">
        <v>50</v>
      </c>
      <c r="D203" s="80" t="s">
        <v>82</v>
      </c>
      <c r="E203" s="79" t="str">
        <f t="shared" si="1"/>
        <v>MARAPANIMFIBRA</v>
      </c>
      <c r="F203" s="81">
        <v>1.0</v>
      </c>
      <c r="G203" s="79" t="s">
        <v>61</v>
      </c>
      <c r="H203" s="81" t="str">
        <f t="array" ref="H203">XLOOKUP(B203,municipios,regiao!$D$6:$D$150,0)</f>
        <v>SIM</v>
      </c>
      <c r="I203" s="79" t="s">
        <v>798</v>
      </c>
      <c r="J203" s="82" t="s">
        <v>337</v>
      </c>
      <c r="K203" s="83">
        <v>17.84</v>
      </c>
      <c r="L203" s="85">
        <f>K203/(1-pconfig!$G$2-pconfig!$G$3-pconfig!$G$4)</f>
        <v>33.6858006</v>
      </c>
      <c r="M203" s="83">
        <v>70.72</v>
      </c>
      <c r="N203" s="83">
        <f>M203/(1-pconfig!$G$2-pconfig!$G$3-pconfig!$G$4)</f>
        <v>133.5347432</v>
      </c>
      <c r="O203" s="83">
        <f>((K203*F203)+M203)/(1-pconfig!$G$2-pconfig!$G$3-pconfig!$G$4)</f>
        <v>167.2205438</v>
      </c>
      <c r="P203" s="86">
        <f>K203*F203/(1-pconfig!$G$2-pconfig!$G$3-pconfig!$G$4)</f>
        <v>33.6858006</v>
      </c>
      <c r="Q203" s="86">
        <f>IFS(F203&lt;=pconfig!$B$12,P203*pconfig!$C$12,F203&lt;=pconfig!$B$13,P203*pconfig!$C$13,F203&lt;=pconfig!$B$14,P203*pconfig!$C$14,F203&lt;=pconfig!$B$15,P203*pconfig!$C$15,F203&lt;=pconfig!$B$16,P203*pconfig!$C$16,F203&lt;=pconfig!$B$17,P203*pconfig!$C$17,F203&lt;=pconfig!$B$18,P203*pconfig!$C$18,F203&lt;=pconfig!$B$19,P203*pconfig!$C$19,F203&lt;=pconfig!$B$20,P203*pconfig!$C$20,F203&lt;=pconfig!$B$21,P203*pconfig!$C$21)</f>
        <v>33.6858006</v>
      </c>
      <c r="R203" s="87">
        <f t="shared" si="2"/>
        <v>167.2205438</v>
      </c>
    </row>
    <row r="204" ht="22.5" hidden="1" customHeight="1">
      <c r="A204" s="52">
        <f t="shared" si="3"/>
        <v>203</v>
      </c>
      <c r="B204" s="53" t="s">
        <v>868</v>
      </c>
      <c r="C204" s="53" t="s">
        <v>101</v>
      </c>
      <c r="D204" s="56" t="s">
        <v>102</v>
      </c>
      <c r="E204" s="53" t="str">
        <f t="shared" si="1"/>
        <v>MARAPANIMSATELITE</v>
      </c>
      <c r="F204" s="59">
        <v>1.0</v>
      </c>
      <c r="G204" s="53" t="s">
        <v>61</v>
      </c>
      <c r="H204" s="59" t="str">
        <f t="array" ref="H204">XLOOKUP(B204,municipios,regiao!$D$6:$D$150,0)</f>
        <v>SIM</v>
      </c>
      <c r="I204" s="53" t="s">
        <v>798</v>
      </c>
      <c r="J204" s="60" t="s">
        <v>106</v>
      </c>
      <c r="K204" s="61">
        <v>4799.0</v>
      </c>
      <c r="L204" s="70">
        <f>K204/(1-pconfig!$G$2-pconfig!$G$3-pconfig!$G$4)</f>
        <v>9061.555891</v>
      </c>
      <c r="M204" s="61">
        <v>70.72</v>
      </c>
      <c r="N204" s="61">
        <f>M204/(1-pconfig!$G$2-pconfig!$G$3-pconfig!$G$4)</f>
        <v>133.5347432</v>
      </c>
      <c r="O204" s="61">
        <f>((K204*F204)+M204)/(1-pconfig!$G$2-pconfig!$G$3-pconfig!$G$4)</f>
        <v>9195.090634</v>
      </c>
      <c r="P204" s="74">
        <f>K204*F204/(1-pconfig!$G$2-pconfig!$G$3-pconfig!$G$4)</f>
        <v>9061.555891</v>
      </c>
      <c r="Q204" s="74">
        <f>IFS(F204&lt;=pconfig!$B$12,P204*pconfig!$C$12,F204&lt;=pconfig!$B$13,P204*pconfig!$C$13,F204&lt;=pconfig!$B$14,P204*pconfig!$C$14,F204&lt;=pconfig!$B$15,P204*pconfig!$C$15,F204&lt;=pconfig!$B$16,P204*pconfig!$C$16,F204&lt;=pconfig!$B$17,P204*pconfig!$C$17,F204&lt;=pconfig!$B$18,P204*pconfig!$C$18,F204&lt;=pconfig!$B$19,P204*pconfig!$C$19,F204&lt;=pconfig!$B$20,P204*pconfig!$C$20,F204&lt;=pconfig!$B$21,P204*pconfig!$C$21)</f>
        <v>9061.555891</v>
      </c>
      <c r="R204" s="76">
        <f t="shared" si="2"/>
        <v>9195.090634</v>
      </c>
    </row>
    <row r="205" ht="22.5" hidden="1" customHeight="1">
      <c r="A205" s="78">
        <f t="shared" si="3"/>
        <v>204</v>
      </c>
      <c r="B205" s="79" t="s">
        <v>868</v>
      </c>
      <c r="C205" s="79" t="s">
        <v>59</v>
      </c>
      <c r="D205" s="80" t="s">
        <v>60</v>
      </c>
      <c r="E205" s="79" t="str">
        <f t="shared" si="1"/>
        <v>MARAPANIMRADIO</v>
      </c>
      <c r="F205" s="81">
        <v>1.0</v>
      </c>
      <c r="G205" s="79" t="s">
        <v>61</v>
      </c>
      <c r="H205" s="81" t="str">
        <f t="array" ref="H205">XLOOKUP(B205,municipios,regiao!$D$6:$D$150,0)</f>
        <v>SIM</v>
      </c>
      <c r="I205" s="79" t="s">
        <v>798</v>
      </c>
      <c r="J205" s="82" t="s">
        <v>337</v>
      </c>
      <c r="K205" s="83">
        <v>17.84</v>
      </c>
      <c r="L205" s="85">
        <f>K205/(1-pconfig!$G$2-pconfig!$G$3-pconfig!$G$4)</f>
        <v>33.6858006</v>
      </c>
      <c r="M205" s="83">
        <v>137.604166666667</v>
      </c>
      <c r="N205" s="83">
        <f>M205/(1-pconfig!$G$2-pconfig!$G$3-pconfig!$G$4)</f>
        <v>259.8265987</v>
      </c>
      <c r="O205" s="83">
        <f>((K205*F205)+M205)/(1-pconfig!$G$2-pconfig!$G$3-pconfig!$G$4)</f>
        <v>293.5123993</v>
      </c>
      <c r="P205" s="86">
        <f>K205*F205/(1-pconfig!$G$2-pconfig!$G$3-pconfig!$G$4)</f>
        <v>33.6858006</v>
      </c>
      <c r="Q205" s="86">
        <f>IFS(F205&lt;=pconfig!$B$12,P205*pconfig!$C$12,F205&lt;=pconfig!$B$13,P205*pconfig!$C$13,F205&lt;=pconfig!$B$14,P205*pconfig!$C$14,F205&lt;=pconfig!$B$15,P205*pconfig!$C$15,F205&lt;=pconfig!$B$16,P205*pconfig!$C$16,F205&lt;=pconfig!$B$17,P205*pconfig!$C$17,F205&lt;=pconfig!$B$18,P205*pconfig!$C$18,F205&lt;=pconfig!$B$19,P205*pconfig!$C$19,F205&lt;=pconfig!$B$20,P205*pconfig!$C$20,F205&lt;=pconfig!$B$21,P205*pconfig!$C$21)</f>
        <v>33.6858006</v>
      </c>
      <c r="R205" s="87">
        <f t="shared" si="2"/>
        <v>293.5123993</v>
      </c>
    </row>
    <row r="206" ht="22.5" hidden="1" customHeight="1">
      <c r="A206" s="52">
        <f t="shared" si="3"/>
        <v>205</v>
      </c>
      <c r="B206" s="53" t="s">
        <v>869</v>
      </c>
      <c r="C206" s="53" t="s">
        <v>59</v>
      </c>
      <c r="D206" s="56" t="s">
        <v>60</v>
      </c>
      <c r="E206" s="53" t="str">
        <f t="shared" si="1"/>
        <v>MARITUBARADIO</v>
      </c>
      <c r="F206" s="59">
        <v>1.0</v>
      </c>
      <c r="G206" s="53" t="s">
        <v>411</v>
      </c>
      <c r="H206" s="59" t="str">
        <f t="array" ref="H206">XLOOKUP(B206,municipios,regiao!$D$6:$D$150,0)</f>
        <v>SIM</v>
      </c>
      <c r="I206" s="53" t="s">
        <v>414</v>
      </c>
      <c r="J206" s="60" t="s">
        <v>416</v>
      </c>
      <c r="K206" s="61">
        <v>13.97</v>
      </c>
      <c r="L206" s="70">
        <f>K206/(1-pconfig!$G$2-pconfig!$G$3-pconfig!$G$4)</f>
        <v>26.37839879</v>
      </c>
      <c r="M206" s="61">
        <v>89.8608333333333</v>
      </c>
      <c r="N206" s="61">
        <f>M206/(1-pconfig!$G$2-pconfig!$G$3-pconfig!$G$4)</f>
        <v>169.6768001</v>
      </c>
      <c r="O206" s="61">
        <f>((K206*F206)+M206)/(1-pconfig!$G$2-pconfig!$G$3-pconfig!$G$4)</f>
        <v>196.0551989</v>
      </c>
      <c r="P206" s="74">
        <f>K206*F206/(1-pconfig!$G$2-pconfig!$G$3-pconfig!$G$4)</f>
        <v>26.37839879</v>
      </c>
      <c r="Q206" s="74">
        <f>IFS(F206&lt;=pconfig!$B$12,P206*pconfig!$C$12,F206&lt;=pconfig!$B$13,P206*pconfig!$C$13,F206&lt;=pconfig!$B$14,P206*pconfig!$C$14,F206&lt;=pconfig!$B$15,P206*pconfig!$C$15,F206&lt;=pconfig!$B$16,P206*pconfig!$C$16,F206&lt;=pconfig!$B$17,P206*pconfig!$C$17,F206&lt;=pconfig!$B$18,P206*pconfig!$C$18,F206&lt;=pconfig!$B$19,P206*pconfig!$C$19,F206&lt;=pconfig!$B$20,P206*pconfig!$C$20,F206&lt;=pconfig!$B$21,P206*pconfig!$C$21)</f>
        <v>26.37839879</v>
      </c>
      <c r="R206" s="76">
        <f t="shared" si="2"/>
        <v>196.0551989</v>
      </c>
    </row>
    <row r="207" ht="22.5" hidden="1" customHeight="1">
      <c r="A207" s="78">
        <f t="shared" si="3"/>
        <v>206</v>
      </c>
      <c r="B207" s="79" t="s">
        <v>869</v>
      </c>
      <c r="C207" s="79" t="s">
        <v>50</v>
      </c>
      <c r="D207" s="80" t="s">
        <v>82</v>
      </c>
      <c r="E207" s="79" t="str">
        <f t="shared" si="1"/>
        <v>MARITUBAFIBRA</v>
      </c>
      <c r="F207" s="81">
        <v>1.0</v>
      </c>
      <c r="G207" s="79" t="s">
        <v>411</v>
      </c>
      <c r="H207" s="81" t="str">
        <f t="array" ref="H207">XLOOKUP(B207,municipios,regiao!$D$6:$D$150,0)</f>
        <v>SIM</v>
      </c>
      <c r="I207" s="79" t="s">
        <v>414</v>
      </c>
      <c r="J207" s="82" t="s">
        <v>416</v>
      </c>
      <c r="K207" s="83">
        <v>13.97</v>
      </c>
      <c r="L207" s="85">
        <f>K207/(1-pconfig!$G$2-pconfig!$G$3-pconfig!$G$4)</f>
        <v>26.37839879</v>
      </c>
      <c r="M207" s="83">
        <v>94.7</v>
      </c>
      <c r="N207" s="83">
        <f>M207/(1-pconfig!$G$2-pconfig!$G$3-pconfig!$G$4)</f>
        <v>178.8141994</v>
      </c>
      <c r="O207" s="83">
        <f>((K207*F207)+M207)/(1-pconfig!$G$2-pconfig!$G$3-pconfig!$G$4)</f>
        <v>205.1925982</v>
      </c>
      <c r="P207" s="86">
        <f>K207*F207/(1-pconfig!$G$2-pconfig!$G$3-pconfig!$G$4)</f>
        <v>26.37839879</v>
      </c>
      <c r="Q207" s="86">
        <f>IFS(F207&lt;=pconfig!$B$12,P207*pconfig!$C$12,F207&lt;=pconfig!$B$13,P207*pconfig!$C$13,F207&lt;=pconfig!$B$14,P207*pconfig!$C$14,F207&lt;=pconfig!$B$15,P207*pconfig!$C$15,F207&lt;=pconfig!$B$16,P207*pconfig!$C$16,F207&lt;=pconfig!$B$17,P207*pconfig!$C$17,F207&lt;=pconfig!$B$18,P207*pconfig!$C$18,F207&lt;=pconfig!$B$19,P207*pconfig!$C$19,F207&lt;=pconfig!$B$20,P207*pconfig!$C$20,F207&lt;=pconfig!$B$21,P207*pconfig!$C$21)</f>
        <v>26.37839879</v>
      </c>
      <c r="R207" s="87">
        <f t="shared" si="2"/>
        <v>205.1925982</v>
      </c>
    </row>
    <row r="208" ht="22.5" hidden="1" customHeight="1">
      <c r="A208" s="52">
        <f t="shared" si="3"/>
        <v>207</v>
      </c>
      <c r="B208" s="53" t="s">
        <v>869</v>
      </c>
      <c r="C208" s="53" t="s">
        <v>101</v>
      </c>
      <c r="D208" s="56" t="s">
        <v>102</v>
      </c>
      <c r="E208" s="53" t="str">
        <f t="shared" si="1"/>
        <v>MARITUBASATELITE</v>
      </c>
      <c r="F208" s="59">
        <v>1.0</v>
      </c>
      <c r="G208" s="53" t="s">
        <v>411</v>
      </c>
      <c r="H208" s="59" t="str">
        <f t="array" ref="H208">XLOOKUP(B208,municipios,regiao!$D$6:$D$150,0)</f>
        <v>SIM</v>
      </c>
      <c r="I208" s="53" t="s">
        <v>414</v>
      </c>
      <c r="J208" s="60" t="s">
        <v>106</v>
      </c>
      <c r="K208" s="61">
        <v>4799.0</v>
      </c>
      <c r="L208" s="70">
        <f>K208/(1-pconfig!$G$2-pconfig!$G$3-pconfig!$G$4)</f>
        <v>9061.555891</v>
      </c>
      <c r="M208" s="61">
        <v>94.7</v>
      </c>
      <c r="N208" s="61">
        <f>M208/(1-pconfig!$G$2-pconfig!$G$3-pconfig!$G$4)</f>
        <v>178.8141994</v>
      </c>
      <c r="O208" s="61">
        <f>((K208*F208)+M208)/(1-pconfig!$G$2-pconfig!$G$3-pconfig!$G$4)</f>
        <v>9240.370091</v>
      </c>
      <c r="P208" s="74">
        <f>K208*F208/(1-pconfig!$G$2-pconfig!$G$3-pconfig!$G$4)</f>
        <v>9061.555891</v>
      </c>
      <c r="Q208" s="74">
        <f>IFS(F208&lt;=pconfig!$B$12,P208*pconfig!$C$12,F208&lt;=pconfig!$B$13,P208*pconfig!$C$13,F208&lt;=pconfig!$B$14,P208*pconfig!$C$14,F208&lt;=pconfig!$B$15,P208*pconfig!$C$15,F208&lt;=pconfig!$B$16,P208*pconfig!$C$16,F208&lt;=pconfig!$B$17,P208*pconfig!$C$17,F208&lt;=pconfig!$B$18,P208*pconfig!$C$18,F208&lt;=pconfig!$B$19,P208*pconfig!$C$19,F208&lt;=pconfig!$B$20,P208*pconfig!$C$20,F208&lt;=pconfig!$B$21,P208*pconfig!$C$21)</f>
        <v>9061.555891</v>
      </c>
      <c r="R208" s="76">
        <f t="shared" si="2"/>
        <v>9240.370091</v>
      </c>
    </row>
    <row r="209" ht="22.5" hidden="1" customHeight="1">
      <c r="A209" s="78">
        <f t="shared" si="3"/>
        <v>208</v>
      </c>
      <c r="B209" s="79" t="s">
        <v>872</v>
      </c>
      <c r="C209" s="79" t="s">
        <v>50</v>
      </c>
      <c r="D209" s="80" t="s">
        <v>82</v>
      </c>
      <c r="E209" s="79" t="str">
        <f t="shared" si="1"/>
        <v>MEDICILANDIAFIBRA</v>
      </c>
      <c r="F209" s="81">
        <v>1.0</v>
      </c>
      <c r="G209" s="79" t="s">
        <v>374</v>
      </c>
      <c r="H209" s="81" t="str">
        <f t="array" ref="H209">XLOOKUP(B209,municipios,regiao!$D$6:$D$150,0)</f>
        <v>SIM</v>
      </c>
      <c r="I209" s="79" t="s">
        <v>375</v>
      </c>
      <c r="J209" s="82" t="s">
        <v>337</v>
      </c>
      <c r="K209" s="83">
        <v>17.84</v>
      </c>
      <c r="L209" s="85">
        <f>K209/(1-pconfig!$G$2-pconfig!$G$3-pconfig!$G$4)</f>
        <v>33.6858006</v>
      </c>
      <c r="M209" s="83">
        <v>283.33</v>
      </c>
      <c r="N209" s="83">
        <f>M209/(1-pconfig!$G$2-pconfig!$G$3-pconfig!$G$4)</f>
        <v>534.9886707</v>
      </c>
      <c r="O209" s="83">
        <f>((K209*F209)+M209)/(1-pconfig!$G$2-pconfig!$G$3-pconfig!$G$4)</f>
        <v>568.6744713</v>
      </c>
      <c r="P209" s="86">
        <f>K209*F209/(1-pconfig!$G$2-pconfig!$G$3-pconfig!$G$4)</f>
        <v>33.6858006</v>
      </c>
      <c r="Q209" s="86">
        <f>IFS(F209&lt;=pconfig!$B$12,P209*pconfig!$C$12,F209&lt;=pconfig!$B$13,P209*pconfig!$C$13,F209&lt;=pconfig!$B$14,P209*pconfig!$C$14,F209&lt;=pconfig!$B$15,P209*pconfig!$C$15,F209&lt;=pconfig!$B$16,P209*pconfig!$C$16,F209&lt;=pconfig!$B$17,P209*pconfig!$C$17,F209&lt;=pconfig!$B$18,P209*pconfig!$C$18,F209&lt;=pconfig!$B$19,P209*pconfig!$C$19,F209&lt;=pconfig!$B$20,P209*pconfig!$C$20,F209&lt;=pconfig!$B$21,P209*pconfig!$C$21)</f>
        <v>33.6858006</v>
      </c>
      <c r="R209" s="87">
        <f t="shared" si="2"/>
        <v>568.6744713</v>
      </c>
    </row>
    <row r="210" ht="22.5" hidden="1" customHeight="1">
      <c r="A210" s="52">
        <f t="shared" si="3"/>
        <v>209</v>
      </c>
      <c r="B210" s="53" t="s">
        <v>872</v>
      </c>
      <c r="C210" s="53" t="s">
        <v>101</v>
      </c>
      <c r="D210" s="56" t="s">
        <v>102</v>
      </c>
      <c r="E210" s="53" t="str">
        <f t="shared" si="1"/>
        <v>MEDICILANDIASATELITE</v>
      </c>
      <c r="F210" s="59">
        <v>1.0</v>
      </c>
      <c r="G210" s="53" t="s">
        <v>374</v>
      </c>
      <c r="H210" s="59" t="str">
        <f t="array" ref="H210">XLOOKUP(B210,municipios,regiao!$D$6:$D$150,0)</f>
        <v>SIM</v>
      </c>
      <c r="I210" s="53" t="s">
        <v>375</v>
      </c>
      <c r="J210" s="60" t="s">
        <v>106</v>
      </c>
      <c r="K210" s="61">
        <v>4799.0</v>
      </c>
      <c r="L210" s="70">
        <f>K210/(1-pconfig!$G$2-pconfig!$G$3-pconfig!$G$4)</f>
        <v>9061.555891</v>
      </c>
      <c r="M210" s="61">
        <v>283.33</v>
      </c>
      <c r="N210" s="61">
        <f>M210/(1-pconfig!$G$2-pconfig!$G$3-pconfig!$G$4)</f>
        <v>534.9886707</v>
      </c>
      <c r="O210" s="61">
        <f>((K210*F210)+M210)/(1-pconfig!$G$2-pconfig!$G$3-pconfig!$G$4)</f>
        <v>9596.544562</v>
      </c>
      <c r="P210" s="74">
        <f>K210*F210/(1-pconfig!$G$2-pconfig!$G$3-pconfig!$G$4)</f>
        <v>9061.555891</v>
      </c>
      <c r="Q210" s="74">
        <f>IFS(F210&lt;=pconfig!$B$12,P210*pconfig!$C$12,F210&lt;=pconfig!$B$13,P210*pconfig!$C$13,F210&lt;=pconfig!$B$14,P210*pconfig!$C$14,F210&lt;=pconfig!$B$15,P210*pconfig!$C$15,F210&lt;=pconfig!$B$16,P210*pconfig!$C$16,F210&lt;=pconfig!$B$17,P210*pconfig!$C$17,F210&lt;=pconfig!$B$18,P210*pconfig!$C$18,F210&lt;=pconfig!$B$19,P210*pconfig!$C$19,F210&lt;=pconfig!$B$20,P210*pconfig!$C$20,F210&lt;=pconfig!$B$21,P210*pconfig!$C$21)</f>
        <v>9061.555891</v>
      </c>
      <c r="R210" s="76">
        <f t="shared" si="2"/>
        <v>9596.544562</v>
      </c>
    </row>
    <row r="211" ht="22.5" hidden="1" customHeight="1">
      <c r="A211" s="78">
        <f t="shared" si="3"/>
        <v>210</v>
      </c>
      <c r="B211" s="79" t="s">
        <v>872</v>
      </c>
      <c r="C211" s="79" t="s">
        <v>59</v>
      </c>
      <c r="D211" s="80" t="s">
        <v>60</v>
      </c>
      <c r="E211" s="79" t="str">
        <f t="shared" si="1"/>
        <v>MEDICILANDIARADIO</v>
      </c>
      <c r="F211" s="81">
        <v>1.0</v>
      </c>
      <c r="G211" s="79" t="s">
        <v>374</v>
      </c>
      <c r="H211" s="81" t="str">
        <f t="array" ref="H211">XLOOKUP(B211,municipios,regiao!$D$6:$D$150,0)</f>
        <v>SIM</v>
      </c>
      <c r="I211" s="79" t="s">
        <v>375</v>
      </c>
      <c r="J211" s="82" t="s">
        <v>337</v>
      </c>
      <c r="K211" s="83">
        <v>17.84</v>
      </c>
      <c r="L211" s="85">
        <f>K211/(1-pconfig!$G$2-pconfig!$G$3-pconfig!$G$4)</f>
        <v>33.6858006</v>
      </c>
      <c r="M211" s="83">
        <v>416.666666666667</v>
      </c>
      <c r="N211" s="83">
        <f>M211/(1-pconfig!$G$2-pconfig!$G$3-pconfig!$G$4)</f>
        <v>786.7573011</v>
      </c>
      <c r="O211" s="83">
        <f>((K211*F211)+M211)/(1-pconfig!$G$2-pconfig!$G$3-pconfig!$G$4)</f>
        <v>820.4431017</v>
      </c>
      <c r="P211" s="86">
        <f>K211*F211/(1-pconfig!$G$2-pconfig!$G$3-pconfig!$G$4)</f>
        <v>33.6858006</v>
      </c>
      <c r="Q211" s="86">
        <f>IFS(F211&lt;=pconfig!$B$12,P211*pconfig!$C$12,F211&lt;=pconfig!$B$13,P211*pconfig!$C$13,F211&lt;=pconfig!$B$14,P211*pconfig!$C$14,F211&lt;=pconfig!$B$15,P211*pconfig!$C$15,F211&lt;=pconfig!$B$16,P211*pconfig!$C$16,F211&lt;=pconfig!$B$17,P211*pconfig!$C$17,F211&lt;=pconfig!$B$18,P211*pconfig!$C$18,F211&lt;=pconfig!$B$19,P211*pconfig!$C$19,F211&lt;=pconfig!$B$20,P211*pconfig!$C$20,F211&lt;=pconfig!$B$21,P211*pconfig!$C$21)</f>
        <v>33.6858006</v>
      </c>
      <c r="R211" s="87">
        <f t="shared" si="2"/>
        <v>820.4431017</v>
      </c>
    </row>
    <row r="212" ht="22.5" hidden="1" customHeight="1">
      <c r="A212" s="52">
        <f t="shared" si="3"/>
        <v>211</v>
      </c>
      <c r="B212" s="53" t="s">
        <v>957</v>
      </c>
      <c r="C212" s="53" t="s">
        <v>59</v>
      </c>
      <c r="D212" s="56" t="s">
        <v>60</v>
      </c>
      <c r="E212" s="53" t="str">
        <f t="shared" si="1"/>
        <v>MELGAÇORADIO</v>
      </c>
      <c r="F212" s="59">
        <v>1.0</v>
      </c>
      <c r="G212" s="53" t="s">
        <v>258</v>
      </c>
      <c r="H212" s="59">
        <f t="array" ref="H212">XLOOKUP(B212,municipios,regiao!$D$6:$D$150,0)</f>
        <v>0</v>
      </c>
      <c r="I212" s="53" t="s">
        <v>258</v>
      </c>
      <c r="J212" s="60" t="s">
        <v>259</v>
      </c>
      <c r="K212" s="61">
        <v>35.73</v>
      </c>
      <c r="L212" s="70">
        <f>K212/(1-pconfig!$G$2-pconfig!$G$3-pconfig!$G$4)</f>
        <v>67.46601208</v>
      </c>
      <c r="M212" s="61">
        <v>106.693333333333</v>
      </c>
      <c r="N212" s="61">
        <f>M212/(1-pconfig!$G$2-pconfig!$G$3-pconfig!$G$4)</f>
        <v>201.4602216</v>
      </c>
      <c r="O212" s="61">
        <f>((K212*F212)+M212)/(1-pconfig!$G$2-pconfig!$G$3-pconfig!$G$4)</f>
        <v>268.9262336</v>
      </c>
      <c r="P212" s="74">
        <f>K212*F212/(1-pconfig!$G$2-pconfig!$G$3-pconfig!$G$4)</f>
        <v>67.46601208</v>
      </c>
      <c r="Q212" s="74">
        <f>IFS(F212&lt;=pconfig!$B$12,P212*pconfig!$C$12,F212&lt;=pconfig!$B$13,P212*pconfig!$C$13,F212&lt;=pconfig!$B$14,P212*pconfig!$C$14,F212&lt;=pconfig!$B$15,P212*pconfig!$C$15,F212&lt;=pconfig!$B$16,P212*pconfig!$C$16,F212&lt;=pconfig!$B$17,P212*pconfig!$C$17,F212&lt;=pconfig!$B$18,P212*pconfig!$C$18,F212&lt;=pconfig!$B$19,P212*pconfig!$C$19,F212&lt;=pconfig!$B$20,P212*pconfig!$C$20,F212&lt;=pconfig!$B$21,P212*pconfig!$C$21)</f>
        <v>67.46601208</v>
      </c>
      <c r="R212" s="76">
        <f t="shared" si="2"/>
        <v>268.9262336</v>
      </c>
    </row>
    <row r="213" ht="22.5" hidden="1" customHeight="1">
      <c r="A213" s="78">
        <f t="shared" si="3"/>
        <v>212</v>
      </c>
      <c r="B213" s="79" t="s">
        <v>957</v>
      </c>
      <c r="C213" s="79" t="s">
        <v>50</v>
      </c>
      <c r="D213" s="80" t="s">
        <v>82</v>
      </c>
      <c r="E213" s="79" t="str">
        <f t="shared" si="1"/>
        <v>MELGAÇOFIBRA</v>
      </c>
      <c r="F213" s="81">
        <v>1.0</v>
      </c>
      <c r="G213" s="79" t="s">
        <v>258</v>
      </c>
      <c r="H213" s="81">
        <f t="array" ref="H213">XLOOKUP(B213,municipios,regiao!$D$6:$D$150,0)</f>
        <v>0</v>
      </c>
      <c r="I213" s="79" t="s">
        <v>258</v>
      </c>
      <c r="J213" s="82" t="s">
        <v>259</v>
      </c>
      <c r="K213" s="83">
        <v>35.73</v>
      </c>
      <c r="L213" s="85">
        <f>K213/(1-pconfig!$G$2-pconfig!$G$3-pconfig!$G$4)</f>
        <v>67.46601208</v>
      </c>
      <c r="M213" s="83">
        <v>519.17</v>
      </c>
      <c r="N213" s="83">
        <f>M213/(1-pconfig!$G$2-pconfig!$G$3-pconfig!$G$4)</f>
        <v>980.3058912</v>
      </c>
      <c r="O213" s="83">
        <f>((K213*F213)+M213)/(1-pconfig!$G$2-pconfig!$G$3-pconfig!$G$4)</f>
        <v>1047.771903</v>
      </c>
      <c r="P213" s="86">
        <f>K213*F213/(1-pconfig!$G$2-pconfig!$G$3-pconfig!$G$4)</f>
        <v>67.46601208</v>
      </c>
      <c r="Q213" s="86">
        <f>IFS(F213&lt;=pconfig!$B$12,P213*pconfig!$C$12,F213&lt;=pconfig!$B$13,P213*pconfig!$C$13,F213&lt;=pconfig!$B$14,P213*pconfig!$C$14,F213&lt;=pconfig!$B$15,P213*pconfig!$C$15,F213&lt;=pconfig!$B$16,P213*pconfig!$C$16,F213&lt;=pconfig!$B$17,P213*pconfig!$C$17,F213&lt;=pconfig!$B$18,P213*pconfig!$C$18,F213&lt;=pconfig!$B$19,P213*pconfig!$C$19,F213&lt;=pconfig!$B$20,P213*pconfig!$C$20,F213&lt;=pconfig!$B$21,P213*pconfig!$C$21)</f>
        <v>67.46601208</v>
      </c>
      <c r="R213" s="87">
        <f t="shared" si="2"/>
        <v>1047.771903</v>
      </c>
    </row>
    <row r="214" ht="22.5" hidden="1" customHeight="1">
      <c r="A214" s="52">
        <f t="shared" si="3"/>
        <v>213</v>
      </c>
      <c r="B214" s="53" t="s">
        <v>957</v>
      </c>
      <c r="C214" s="53" t="s">
        <v>101</v>
      </c>
      <c r="D214" s="56" t="s">
        <v>102</v>
      </c>
      <c r="E214" s="53" t="str">
        <f t="shared" si="1"/>
        <v>MELGAÇOSATELITE</v>
      </c>
      <c r="F214" s="59">
        <v>1.0</v>
      </c>
      <c r="G214" s="53" t="s">
        <v>258</v>
      </c>
      <c r="H214" s="59">
        <f t="array" ref="H214">XLOOKUP(B214,municipios,regiao!$D$6:$D$150,0)</f>
        <v>0</v>
      </c>
      <c r="I214" s="53" t="s">
        <v>258</v>
      </c>
      <c r="J214" s="60" t="s">
        <v>106</v>
      </c>
      <c r="K214" s="61">
        <v>4799.0</v>
      </c>
      <c r="L214" s="70">
        <f>K214/(1-pconfig!$G$2-pconfig!$G$3-pconfig!$G$4)</f>
        <v>9061.555891</v>
      </c>
      <c r="M214" s="61">
        <v>519.17</v>
      </c>
      <c r="N214" s="61">
        <f>M214/(1-pconfig!$G$2-pconfig!$G$3-pconfig!$G$4)</f>
        <v>980.3058912</v>
      </c>
      <c r="O214" s="61">
        <f>((K214*F214)+M214)/(1-pconfig!$G$2-pconfig!$G$3-pconfig!$G$4)</f>
        <v>10041.86178</v>
      </c>
      <c r="P214" s="74">
        <f>K214*F214/(1-pconfig!$G$2-pconfig!$G$3-pconfig!$G$4)</f>
        <v>9061.555891</v>
      </c>
      <c r="Q214" s="74">
        <f>IFS(F214&lt;=pconfig!$B$12,P214*pconfig!$C$12,F214&lt;=pconfig!$B$13,P214*pconfig!$C$13,F214&lt;=pconfig!$B$14,P214*pconfig!$C$14,F214&lt;=pconfig!$B$15,P214*pconfig!$C$15,F214&lt;=pconfig!$B$16,P214*pconfig!$C$16,F214&lt;=pconfig!$B$17,P214*pconfig!$C$17,F214&lt;=pconfig!$B$18,P214*pconfig!$C$18,F214&lt;=pconfig!$B$19,P214*pconfig!$C$19,F214&lt;=pconfig!$B$20,P214*pconfig!$C$20,F214&lt;=pconfig!$B$21,P214*pconfig!$C$21)</f>
        <v>9061.555891</v>
      </c>
      <c r="R214" s="76">
        <f t="shared" si="2"/>
        <v>10041.86178</v>
      </c>
    </row>
    <row r="215" ht="22.5" hidden="1" customHeight="1">
      <c r="A215" s="78">
        <f t="shared" si="3"/>
        <v>214</v>
      </c>
      <c r="B215" s="79" t="s">
        <v>882</v>
      </c>
      <c r="C215" s="79" t="s">
        <v>59</v>
      </c>
      <c r="D215" s="80" t="s">
        <v>60</v>
      </c>
      <c r="E215" s="79" t="str">
        <f t="shared" si="1"/>
        <v>MOCAJUBARADIO</v>
      </c>
      <c r="F215" s="81">
        <v>1.0</v>
      </c>
      <c r="G215" s="79" t="s">
        <v>61</v>
      </c>
      <c r="H215" s="81" t="str">
        <f t="array" ref="H215">XLOOKUP(B215,municipios,regiao!$D$6:$D$150,0)</f>
        <v>SIM</v>
      </c>
      <c r="I215" s="79" t="s">
        <v>63</v>
      </c>
      <c r="J215" s="82" t="s">
        <v>624</v>
      </c>
      <c r="K215" s="83">
        <v>24.41</v>
      </c>
      <c r="L215" s="85">
        <f>K215/(1-pconfig!$G$2-pconfig!$G$3-pconfig!$G$4)</f>
        <v>46.09138973</v>
      </c>
      <c r="M215" s="83">
        <v>138.285</v>
      </c>
      <c r="N215" s="83">
        <f>M215/(1-pconfig!$G$2-pconfig!$G$3-pconfig!$G$4)</f>
        <v>261.1121601</v>
      </c>
      <c r="O215" s="83">
        <f>((K215*F215)+M215)/(1-pconfig!$G$2-pconfig!$G$3-pconfig!$G$4)</f>
        <v>307.2035498</v>
      </c>
      <c r="P215" s="86">
        <f>K215*F215/(1-pconfig!$G$2-pconfig!$G$3-pconfig!$G$4)</f>
        <v>46.09138973</v>
      </c>
      <c r="Q215" s="86">
        <f>IFS(F215&lt;=pconfig!$B$12,P215*pconfig!$C$12,F215&lt;=pconfig!$B$13,P215*pconfig!$C$13,F215&lt;=pconfig!$B$14,P215*pconfig!$C$14,F215&lt;=pconfig!$B$15,P215*pconfig!$C$15,F215&lt;=pconfig!$B$16,P215*pconfig!$C$16,F215&lt;=pconfig!$B$17,P215*pconfig!$C$17,F215&lt;=pconfig!$B$18,P215*pconfig!$C$18,F215&lt;=pconfig!$B$19,P215*pconfig!$C$19,F215&lt;=pconfig!$B$20,P215*pconfig!$C$20,F215&lt;=pconfig!$B$21,P215*pconfig!$C$21)</f>
        <v>46.09138973</v>
      </c>
      <c r="R215" s="87">
        <f t="shared" si="2"/>
        <v>307.2035498</v>
      </c>
    </row>
    <row r="216" ht="22.5" hidden="1" customHeight="1">
      <c r="A216" s="52">
        <f t="shared" si="3"/>
        <v>215</v>
      </c>
      <c r="B216" s="53" t="s">
        <v>882</v>
      </c>
      <c r="C216" s="53" t="s">
        <v>50</v>
      </c>
      <c r="D216" s="56" t="s">
        <v>82</v>
      </c>
      <c r="E216" s="53" t="str">
        <f t="shared" si="1"/>
        <v>MOCAJUBAFIBRA</v>
      </c>
      <c r="F216" s="59">
        <v>1.0</v>
      </c>
      <c r="G216" s="53" t="s">
        <v>61</v>
      </c>
      <c r="H216" s="59" t="str">
        <f t="array" ref="H216">XLOOKUP(B216,municipios,regiao!$D$6:$D$150,0)</f>
        <v>SIM</v>
      </c>
      <c r="I216" s="53" t="s">
        <v>63</v>
      </c>
      <c r="J216" s="60" t="s">
        <v>624</v>
      </c>
      <c r="K216" s="61">
        <v>24.41</v>
      </c>
      <c r="L216" s="70">
        <f>K216/(1-pconfig!$G$2-pconfig!$G$3-pconfig!$G$4)</f>
        <v>46.09138973</v>
      </c>
      <c r="M216" s="61">
        <v>314.77</v>
      </c>
      <c r="N216" s="61">
        <f>M216/(1-pconfig!$G$2-pconfig!$G$3-pconfig!$G$4)</f>
        <v>594.3542296</v>
      </c>
      <c r="O216" s="61">
        <f>((K216*F216)+M216)/(1-pconfig!$G$2-pconfig!$G$3-pconfig!$G$4)</f>
        <v>640.4456193</v>
      </c>
      <c r="P216" s="74">
        <f>K216*F216/(1-pconfig!$G$2-pconfig!$G$3-pconfig!$G$4)</f>
        <v>46.09138973</v>
      </c>
      <c r="Q216" s="74">
        <f>IFS(F216&lt;=pconfig!$B$12,P216*pconfig!$C$12,F216&lt;=pconfig!$B$13,P216*pconfig!$C$13,F216&lt;=pconfig!$B$14,P216*pconfig!$C$14,F216&lt;=pconfig!$B$15,P216*pconfig!$C$15,F216&lt;=pconfig!$B$16,P216*pconfig!$C$16,F216&lt;=pconfig!$B$17,P216*pconfig!$C$17,F216&lt;=pconfig!$B$18,P216*pconfig!$C$18,F216&lt;=pconfig!$B$19,P216*pconfig!$C$19,F216&lt;=pconfig!$B$20,P216*pconfig!$C$20,F216&lt;=pconfig!$B$21,P216*pconfig!$C$21)</f>
        <v>46.09138973</v>
      </c>
      <c r="R216" s="76">
        <f t="shared" si="2"/>
        <v>640.4456193</v>
      </c>
    </row>
    <row r="217" ht="22.5" hidden="1" customHeight="1">
      <c r="A217" s="78">
        <f t="shared" si="3"/>
        <v>216</v>
      </c>
      <c r="B217" s="79" t="s">
        <v>882</v>
      </c>
      <c r="C217" s="79" t="s">
        <v>101</v>
      </c>
      <c r="D217" s="80" t="s">
        <v>102</v>
      </c>
      <c r="E217" s="79" t="str">
        <f t="shared" si="1"/>
        <v>MOCAJUBASATELITE</v>
      </c>
      <c r="F217" s="81">
        <v>1.0</v>
      </c>
      <c r="G217" s="79" t="s">
        <v>61</v>
      </c>
      <c r="H217" s="81" t="str">
        <f t="array" ref="H217">XLOOKUP(B217,municipios,regiao!$D$6:$D$150,0)</f>
        <v>SIM</v>
      </c>
      <c r="I217" s="79" t="s">
        <v>63</v>
      </c>
      <c r="J217" s="82" t="s">
        <v>106</v>
      </c>
      <c r="K217" s="83">
        <v>4799.0</v>
      </c>
      <c r="L217" s="85">
        <f>K217/(1-pconfig!$G$2-pconfig!$G$3-pconfig!$G$4)</f>
        <v>9061.555891</v>
      </c>
      <c r="M217" s="83">
        <v>314.77</v>
      </c>
      <c r="N217" s="83">
        <f>M217/(1-pconfig!$G$2-pconfig!$G$3-pconfig!$G$4)</f>
        <v>594.3542296</v>
      </c>
      <c r="O217" s="83">
        <f>((K217*F217)+M217)/(1-pconfig!$G$2-pconfig!$G$3-pconfig!$G$4)</f>
        <v>9655.910121</v>
      </c>
      <c r="P217" s="86">
        <f>K217*F217/(1-pconfig!$G$2-pconfig!$G$3-pconfig!$G$4)</f>
        <v>9061.555891</v>
      </c>
      <c r="Q217" s="86">
        <f>IFS(F217&lt;=pconfig!$B$12,P217*pconfig!$C$12,F217&lt;=pconfig!$B$13,P217*pconfig!$C$13,F217&lt;=pconfig!$B$14,P217*pconfig!$C$14,F217&lt;=pconfig!$B$15,P217*pconfig!$C$15,F217&lt;=pconfig!$B$16,P217*pconfig!$C$16,F217&lt;=pconfig!$B$17,P217*pconfig!$C$17,F217&lt;=pconfig!$B$18,P217*pconfig!$C$18,F217&lt;=pconfig!$B$19,P217*pconfig!$C$19,F217&lt;=pconfig!$B$20,P217*pconfig!$C$20,F217&lt;=pconfig!$B$21,P217*pconfig!$C$21)</f>
        <v>9061.555891</v>
      </c>
      <c r="R217" s="87">
        <f t="shared" si="2"/>
        <v>9655.910121</v>
      </c>
    </row>
    <row r="218" ht="22.5" hidden="1" customHeight="1">
      <c r="A218" s="52">
        <f t="shared" si="3"/>
        <v>217</v>
      </c>
      <c r="B218" s="53" t="s">
        <v>883</v>
      </c>
      <c r="C218" s="53" t="s">
        <v>59</v>
      </c>
      <c r="D218" s="56" t="s">
        <v>60</v>
      </c>
      <c r="E218" s="53" t="str">
        <f t="shared" si="1"/>
        <v>MOJURADIO</v>
      </c>
      <c r="F218" s="59">
        <v>1.0</v>
      </c>
      <c r="G218" s="53" t="s">
        <v>61</v>
      </c>
      <c r="H218" s="59" t="str">
        <f t="array" ref="H218">XLOOKUP(B218,municipios,regiao!$D$6:$D$150,0)</f>
        <v>SIM</v>
      </c>
      <c r="I218" s="53" t="s">
        <v>63</v>
      </c>
      <c r="J218" s="60" t="s">
        <v>235</v>
      </c>
      <c r="K218" s="61">
        <v>20.69</v>
      </c>
      <c r="L218" s="70">
        <f>K218/(1-pconfig!$G$2-pconfig!$G$3-pconfig!$G$4)</f>
        <v>39.06722054</v>
      </c>
      <c r="M218" s="61">
        <v>138.285</v>
      </c>
      <c r="N218" s="61">
        <f>M218/(1-pconfig!$G$2-pconfig!$G$3-pconfig!$G$4)</f>
        <v>261.1121601</v>
      </c>
      <c r="O218" s="61">
        <f>((K218*F218)+M218)/(1-pconfig!$G$2-pconfig!$G$3-pconfig!$G$4)</f>
        <v>300.1793807</v>
      </c>
      <c r="P218" s="74">
        <f>K218*F218/(1-pconfig!$G$2-pconfig!$G$3-pconfig!$G$4)</f>
        <v>39.06722054</v>
      </c>
      <c r="Q218" s="74">
        <f>IFS(F218&lt;=pconfig!$B$12,P218*pconfig!$C$12,F218&lt;=pconfig!$B$13,P218*pconfig!$C$13,F218&lt;=pconfig!$B$14,P218*pconfig!$C$14,F218&lt;=pconfig!$B$15,P218*pconfig!$C$15,F218&lt;=pconfig!$B$16,P218*pconfig!$C$16,F218&lt;=pconfig!$B$17,P218*pconfig!$C$17,F218&lt;=pconfig!$B$18,P218*pconfig!$C$18,F218&lt;=pconfig!$B$19,P218*pconfig!$C$19,F218&lt;=pconfig!$B$20,P218*pconfig!$C$20,F218&lt;=pconfig!$B$21,P218*pconfig!$C$21)</f>
        <v>39.06722054</v>
      </c>
      <c r="R218" s="76">
        <f t="shared" si="2"/>
        <v>300.1793807</v>
      </c>
    </row>
    <row r="219" ht="22.5" hidden="1" customHeight="1">
      <c r="A219" s="78">
        <f t="shared" si="3"/>
        <v>218</v>
      </c>
      <c r="B219" s="79" t="s">
        <v>883</v>
      </c>
      <c r="C219" s="79" t="s">
        <v>50</v>
      </c>
      <c r="D219" s="80" t="s">
        <v>82</v>
      </c>
      <c r="E219" s="79" t="str">
        <f t="shared" si="1"/>
        <v>MOJUFIBRA</v>
      </c>
      <c r="F219" s="81">
        <v>1.0</v>
      </c>
      <c r="G219" s="79" t="s">
        <v>61</v>
      </c>
      <c r="H219" s="81" t="str">
        <f t="array" ref="H219">XLOOKUP(B219,municipios,regiao!$D$6:$D$150,0)</f>
        <v>SIM</v>
      </c>
      <c r="I219" s="79" t="s">
        <v>63</v>
      </c>
      <c r="J219" s="82" t="s">
        <v>235</v>
      </c>
      <c r="K219" s="83">
        <v>20.69</v>
      </c>
      <c r="L219" s="85">
        <f>K219/(1-pconfig!$G$2-pconfig!$G$3-pconfig!$G$4)</f>
        <v>39.06722054</v>
      </c>
      <c r="M219" s="83">
        <v>314.77</v>
      </c>
      <c r="N219" s="83">
        <f>M219/(1-pconfig!$G$2-pconfig!$G$3-pconfig!$G$4)</f>
        <v>594.3542296</v>
      </c>
      <c r="O219" s="83">
        <f>((K219*F219)+M219)/(1-pconfig!$G$2-pconfig!$G$3-pconfig!$G$4)</f>
        <v>633.4214502</v>
      </c>
      <c r="P219" s="86">
        <f>K219*F219/(1-pconfig!$G$2-pconfig!$G$3-pconfig!$G$4)</f>
        <v>39.06722054</v>
      </c>
      <c r="Q219" s="86">
        <f>IFS(F219&lt;=pconfig!$B$12,P219*pconfig!$C$12,F219&lt;=pconfig!$B$13,P219*pconfig!$C$13,F219&lt;=pconfig!$B$14,P219*pconfig!$C$14,F219&lt;=pconfig!$B$15,P219*pconfig!$C$15,F219&lt;=pconfig!$B$16,P219*pconfig!$C$16,F219&lt;=pconfig!$B$17,P219*pconfig!$C$17,F219&lt;=pconfig!$B$18,P219*pconfig!$C$18,F219&lt;=pconfig!$B$19,P219*pconfig!$C$19,F219&lt;=pconfig!$B$20,P219*pconfig!$C$20,F219&lt;=pconfig!$B$21,P219*pconfig!$C$21)</f>
        <v>39.06722054</v>
      </c>
      <c r="R219" s="87">
        <f t="shared" si="2"/>
        <v>633.4214502</v>
      </c>
    </row>
    <row r="220" ht="22.5" hidden="1" customHeight="1">
      <c r="A220" s="52">
        <f t="shared" si="3"/>
        <v>219</v>
      </c>
      <c r="B220" s="53" t="s">
        <v>883</v>
      </c>
      <c r="C220" s="53" t="s">
        <v>101</v>
      </c>
      <c r="D220" s="56" t="s">
        <v>102</v>
      </c>
      <c r="E220" s="53" t="str">
        <f t="shared" si="1"/>
        <v>MOJUSATELITE</v>
      </c>
      <c r="F220" s="59">
        <v>1.0</v>
      </c>
      <c r="G220" s="53" t="s">
        <v>61</v>
      </c>
      <c r="H220" s="59" t="str">
        <f t="array" ref="H220">XLOOKUP(B220,municipios,regiao!$D$6:$D$150,0)</f>
        <v>SIM</v>
      </c>
      <c r="I220" s="53" t="s">
        <v>63</v>
      </c>
      <c r="J220" s="60" t="s">
        <v>106</v>
      </c>
      <c r="K220" s="61">
        <v>4799.0</v>
      </c>
      <c r="L220" s="70">
        <f>K220/(1-pconfig!$G$2-pconfig!$G$3-pconfig!$G$4)</f>
        <v>9061.555891</v>
      </c>
      <c r="M220" s="61">
        <v>314.77</v>
      </c>
      <c r="N220" s="61">
        <f>M220/(1-pconfig!$G$2-pconfig!$G$3-pconfig!$G$4)</f>
        <v>594.3542296</v>
      </c>
      <c r="O220" s="61">
        <f>((K220*F220)+M220)/(1-pconfig!$G$2-pconfig!$G$3-pconfig!$G$4)</f>
        <v>9655.910121</v>
      </c>
      <c r="P220" s="74">
        <f>K220*F220/(1-pconfig!$G$2-pconfig!$G$3-pconfig!$G$4)</f>
        <v>9061.555891</v>
      </c>
      <c r="Q220" s="74">
        <f>IFS(F220&lt;=pconfig!$B$12,P220*pconfig!$C$12,F220&lt;=pconfig!$B$13,P220*pconfig!$C$13,F220&lt;=pconfig!$B$14,P220*pconfig!$C$14,F220&lt;=pconfig!$B$15,P220*pconfig!$C$15,F220&lt;=pconfig!$B$16,P220*pconfig!$C$16,F220&lt;=pconfig!$B$17,P220*pconfig!$C$17,F220&lt;=pconfig!$B$18,P220*pconfig!$C$18,F220&lt;=pconfig!$B$19,P220*pconfig!$C$19,F220&lt;=pconfig!$B$20,P220*pconfig!$C$20,F220&lt;=pconfig!$B$21,P220*pconfig!$C$21)</f>
        <v>9061.555891</v>
      </c>
      <c r="R220" s="76">
        <f t="shared" si="2"/>
        <v>9655.910121</v>
      </c>
    </row>
    <row r="221" ht="22.5" hidden="1" customHeight="1">
      <c r="A221" s="78">
        <f t="shared" si="3"/>
        <v>220</v>
      </c>
      <c r="B221" s="79" t="s">
        <v>886</v>
      </c>
      <c r="C221" s="79" t="s">
        <v>50</v>
      </c>
      <c r="D221" s="80" t="s">
        <v>82</v>
      </c>
      <c r="E221" s="79" t="str">
        <f t="shared" si="1"/>
        <v>MOJUI DOS CAMPOSFIBRA</v>
      </c>
      <c r="F221" s="81">
        <v>1.0</v>
      </c>
      <c r="G221" s="79" t="s">
        <v>297</v>
      </c>
      <c r="H221" s="81" t="str">
        <f t="array" ref="H221">XLOOKUP(B221,municipios,regiao!$D$6:$D$150,0)</f>
        <v>NÃO</v>
      </c>
      <c r="I221" s="79" t="s">
        <v>297</v>
      </c>
      <c r="J221" s="82" t="s">
        <v>624</v>
      </c>
      <c r="K221" s="83">
        <v>24.41</v>
      </c>
      <c r="L221" s="85">
        <f>K221/(1-pconfig!$G$2-pconfig!$G$3-pconfig!$G$4)</f>
        <v>46.09138973</v>
      </c>
      <c r="M221" s="83">
        <v>133.3</v>
      </c>
      <c r="N221" s="83">
        <f>M221/(1-pconfig!$G$2-pconfig!$G$3-pconfig!$G$4)</f>
        <v>251.6993958</v>
      </c>
      <c r="O221" s="83">
        <f>((K221*F221)+M221)/(1-pconfig!$G$2-pconfig!$G$3-pconfig!$G$4)</f>
        <v>297.7907855</v>
      </c>
      <c r="P221" s="86">
        <f>K221*F221/(1-pconfig!$G$2-pconfig!$G$3-pconfig!$G$4)</f>
        <v>46.09138973</v>
      </c>
      <c r="Q221" s="86">
        <f>IFS(F221&lt;=pconfig!$B$12,P221*pconfig!$C$12,F221&lt;=pconfig!$B$13,P221*pconfig!$C$13,F221&lt;=pconfig!$B$14,P221*pconfig!$C$14,F221&lt;=pconfig!$B$15,P221*pconfig!$C$15,F221&lt;=pconfig!$B$16,P221*pconfig!$C$16,F221&lt;=pconfig!$B$17,P221*pconfig!$C$17,F221&lt;=pconfig!$B$18,P221*pconfig!$C$18,F221&lt;=pconfig!$B$19,P221*pconfig!$C$19,F221&lt;=pconfig!$B$20,P221*pconfig!$C$20,F221&lt;=pconfig!$B$21,P221*pconfig!$C$21)</f>
        <v>46.09138973</v>
      </c>
      <c r="R221" s="87">
        <f t="shared" si="2"/>
        <v>297.7907855</v>
      </c>
    </row>
    <row r="222" ht="22.5" hidden="1" customHeight="1">
      <c r="A222" s="52">
        <f t="shared" si="3"/>
        <v>221</v>
      </c>
      <c r="B222" s="53" t="s">
        <v>886</v>
      </c>
      <c r="C222" s="53" t="s">
        <v>101</v>
      </c>
      <c r="D222" s="56" t="s">
        <v>102</v>
      </c>
      <c r="E222" s="53" t="str">
        <f t="shared" si="1"/>
        <v>MOJUI DOS CAMPOSSATELITE</v>
      </c>
      <c r="F222" s="59">
        <v>1.0</v>
      </c>
      <c r="G222" s="53" t="s">
        <v>297</v>
      </c>
      <c r="H222" s="59" t="str">
        <f t="array" ref="H222">XLOOKUP(B222,municipios,regiao!$D$6:$D$150,0)</f>
        <v>NÃO</v>
      </c>
      <c r="I222" s="53" t="s">
        <v>297</v>
      </c>
      <c r="J222" s="60" t="s">
        <v>106</v>
      </c>
      <c r="K222" s="61">
        <v>4799.0</v>
      </c>
      <c r="L222" s="70">
        <f>K222/(1-pconfig!$G$2-pconfig!$G$3-pconfig!$G$4)</f>
        <v>9061.555891</v>
      </c>
      <c r="M222" s="61">
        <v>133.3</v>
      </c>
      <c r="N222" s="61">
        <f>M222/(1-pconfig!$G$2-pconfig!$G$3-pconfig!$G$4)</f>
        <v>251.6993958</v>
      </c>
      <c r="O222" s="61">
        <f>((K222*F222)+M222)/(1-pconfig!$G$2-pconfig!$G$3-pconfig!$G$4)</f>
        <v>9313.255287</v>
      </c>
      <c r="P222" s="74">
        <f>K222*F222/(1-pconfig!$G$2-pconfig!$G$3-pconfig!$G$4)</f>
        <v>9061.555891</v>
      </c>
      <c r="Q222" s="74">
        <f>IFS(F222&lt;=pconfig!$B$12,P222*pconfig!$C$12,F222&lt;=pconfig!$B$13,P222*pconfig!$C$13,F222&lt;=pconfig!$B$14,P222*pconfig!$C$14,F222&lt;=pconfig!$B$15,P222*pconfig!$C$15,F222&lt;=pconfig!$B$16,P222*pconfig!$C$16,F222&lt;=pconfig!$B$17,P222*pconfig!$C$17,F222&lt;=pconfig!$B$18,P222*pconfig!$C$18,F222&lt;=pconfig!$B$19,P222*pconfig!$C$19,F222&lt;=pconfig!$B$20,P222*pconfig!$C$20,F222&lt;=pconfig!$B$21,P222*pconfig!$C$21)</f>
        <v>9061.555891</v>
      </c>
      <c r="R222" s="76">
        <f t="shared" si="2"/>
        <v>9313.255287</v>
      </c>
    </row>
    <row r="223" ht="22.5" hidden="1" customHeight="1">
      <c r="A223" s="78">
        <f t="shared" si="3"/>
        <v>222</v>
      </c>
      <c r="B223" s="79" t="s">
        <v>886</v>
      </c>
      <c r="C223" s="79" t="s">
        <v>59</v>
      </c>
      <c r="D223" s="80" t="s">
        <v>60</v>
      </c>
      <c r="E223" s="79" t="str">
        <f t="shared" si="1"/>
        <v>MOJUI DOS CAMPOSRADIO</v>
      </c>
      <c r="F223" s="81">
        <v>1.0</v>
      </c>
      <c r="G223" s="79" t="s">
        <v>297</v>
      </c>
      <c r="H223" s="81" t="str">
        <f t="array" ref="H223">XLOOKUP(B223,municipios,regiao!$D$6:$D$150,0)</f>
        <v>NÃO</v>
      </c>
      <c r="I223" s="79" t="s">
        <v>297</v>
      </c>
      <c r="J223" s="82" t="s">
        <v>624</v>
      </c>
      <c r="K223" s="83">
        <v>24.41</v>
      </c>
      <c r="L223" s="85">
        <f>K223/(1-pconfig!$G$2-pconfig!$G$3-pconfig!$G$4)</f>
        <v>46.09138973</v>
      </c>
      <c r="M223" s="83">
        <v>166.666666666667</v>
      </c>
      <c r="N223" s="83">
        <f>M223/(1-pconfig!$G$2-pconfig!$G$3-pconfig!$G$4)</f>
        <v>314.7029204</v>
      </c>
      <c r="O223" s="83">
        <f>((K223*F223)+M223)/(1-pconfig!$G$2-pconfig!$G$3-pconfig!$G$4)</f>
        <v>360.7943102</v>
      </c>
      <c r="P223" s="86">
        <f>K223*F223/(1-pconfig!$G$2-pconfig!$G$3-pconfig!$G$4)</f>
        <v>46.09138973</v>
      </c>
      <c r="Q223" s="86">
        <f>IFS(F223&lt;=pconfig!$B$12,P223*pconfig!$C$12,F223&lt;=pconfig!$B$13,P223*pconfig!$C$13,F223&lt;=pconfig!$B$14,P223*pconfig!$C$14,F223&lt;=pconfig!$B$15,P223*pconfig!$C$15,F223&lt;=pconfig!$B$16,P223*pconfig!$C$16,F223&lt;=pconfig!$B$17,P223*pconfig!$C$17,F223&lt;=pconfig!$B$18,P223*pconfig!$C$18,F223&lt;=pconfig!$B$19,P223*pconfig!$C$19,F223&lt;=pconfig!$B$20,P223*pconfig!$C$20,F223&lt;=pconfig!$B$21,P223*pconfig!$C$21)</f>
        <v>46.09138973</v>
      </c>
      <c r="R223" s="87">
        <f t="shared" si="2"/>
        <v>360.7943102</v>
      </c>
    </row>
    <row r="224" ht="22.5" hidden="1" customHeight="1">
      <c r="A224" s="52">
        <f t="shared" si="3"/>
        <v>223</v>
      </c>
      <c r="B224" s="53" t="s">
        <v>887</v>
      </c>
      <c r="C224" s="53" t="s">
        <v>50</v>
      </c>
      <c r="D224" s="56" t="s">
        <v>82</v>
      </c>
      <c r="E224" s="53" t="str">
        <f t="shared" si="1"/>
        <v>MONTE ALEGREFIBRA</v>
      </c>
      <c r="F224" s="59">
        <v>1.0</v>
      </c>
      <c r="G224" s="53" t="s">
        <v>297</v>
      </c>
      <c r="H224" s="59" t="str">
        <f t="array" ref="H224">XLOOKUP(B224,municipios,regiao!$D$6:$D$150,0)</f>
        <v>SIM</v>
      </c>
      <c r="I224" s="53" t="s">
        <v>297</v>
      </c>
      <c r="J224" s="60" t="s">
        <v>133</v>
      </c>
      <c r="K224" s="61">
        <v>29.29</v>
      </c>
      <c r="L224" s="70">
        <f>K224/(1-pconfig!$G$2-pconfig!$G$3-pconfig!$G$4)</f>
        <v>55.30589124</v>
      </c>
      <c r="M224" s="61">
        <v>133.3</v>
      </c>
      <c r="N224" s="61">
        <f>M224/(1-pconfig!$G$2-pconfig!$G$3-pconfig!$G$4)</f>
        <v>251.6993958</v>
      </c>
      <c r="O224" s="61">
        <f>((K224*F224)+M224)/(1-pconfig!$G$2-pconfig!$G$3-pconfig!$G$4)</f>
        <v>307.005287</v>
      </c>
      <c r="P224" s="74">
        <f>K224*F224/(1-pconfig!$G$2-pconfig!$G$3-pconfig!$G$4)</f>
        <v>55.30589124</v>
      </c>
      <c r="Q224" s="74">
        <f>IFS(F224&lt;=pconfig!$B$12,P224*pconfig!$C$12,F224&lt;=pconfig!$B$13,P224*pconfig!$C$13,F224&lt;=pconfig!$B$14,P224*pconfig!$C$14,F224&lt;=pconfig!$B$15,P224*pconfig!$C$15,F224&lt;=pconfig!$B$16,P224*pconfig!$C$16,F224&lt;=pconfig!$B$17,P224*pconfig!$C$17,F224&lt;=pconfig!$B$18,P224*pconfig!$C$18,F224&lt;=pconfig!$B$19,P224*pconfig!$C$19,F224&lt;=pconfig!$B$20,P224*pconfig!$C$20,F224&lt;=pconfig!$B$21,P224*pconfig!$C$21)</f>
        <v>55.30589124</v>
      </c>
      <c r="R224" s="76">
        <f t="shared" si="2"/>
        <v>307.005287</v>
      </c>
    </row>
    <row r="225" ht="22.5" hidden="1" customHeight="1">
      <c r="A225" s="78">
        <f t="shared" si="3"/>
        <v>224</v>
      </c>
      <c r="B225" s="79" t="s">
        <v>887</v>
      </c>
      <c r="C225" s="79" t="s">
        <v>101</v>
      </c>
      <c r="D225" s="80" t="s">
        <v>102</v>
      </c>
      <c r="E225" s="79" t="str">
        <f t="shared" si="1"/>
        <v>MONTE ALEGRESATELITE</v>
      </c>
      <c r="F225" s="81">
        <v>1.0</v>
      </c>
      <c r="G225" s="79" t="s">
        <v>297</v>
      </c>
      <c r="H225" s="81" t="str">
        <f t="array" ref="H225">XLOOKUP(B225,municipios,regiao!$D$6:$D$150,0)</f>
        <v>SIM</v>
      </c>
      <c r="I225" s="79" t="s">
        <v>297</v>
      </c>
      <c r="J225" s="82" t="s">
        <v>106</v>
      </c>
      <c r="K225" s="83">
        <v>4799.0</v>
      </c>
      <c r="L225" s="85">
        <f>K225/(1-pconfig!$G$2-pconfig!$G$3-pconfig!$G$4)</f>
        <v>9061.555891</v>
      </c>
      <c r="M225" s="83">
        <v>133.3</v>
      </c>
      <c r="N225" s="83">
        <f>M225/(1-pconfig!$G$2-pconfig!$G$3-pconfig!$G$4)</f>
        <v>251.6993958</v>
      </c>
      <c r="O225" s="83">
        <f>((K225*F225)+M225)/(1-pconfig!$G$2-pconfig!$G$3-pconfig!$G$4)</f>
        <v>9313.255287</v>
      </c>
      <c r="P225" s="86">
        <f>K225*F225/(1-pconfig!$G$2-pconfig!$G$3-pconfig!$G$4)</f>
        <v>9061.555891</v>
      </c>
      <c r="Q225" s="86">
        <f>IFS(F225&lt;=pconfig!$B$12,P225*pconfig!$C$12,F225&lt;=pconfig!$B$13,P225*pconfig!$C$13,F225&lt;=pconfig!$B$14,P225*pconfig!$C$14,F225&lt;=pconfig!$B$15,P225*pconfig!$C$15,F225&lt;=pconfig!$B$16,P225*pconfig!$C$16,F225&lt;=pconfig!$B$17,P225*pconfig!$C$17,F225&lt;=pconfig!$B$18,P225*pconfig!$C$18,F225&lt;=pconfig!$B$19,P225*pconfig!$C$19,F225&lt;=pconfig!$B$20,P225*pconfig!$C$20,F225&lt;=pconfig!$B$21,P225*pconfig!$C$21)</f>
        <v>9061.555891</v>
      </c>
      <c r="R225" s="87">
        <f t="shared" si="2"/>
        <v>9313.255287</v>
      </c>
    </row>
    <row r="226" ht="22.5" hidden="1" customHeight="1">
      <c r="A226" s="52">
        <f t="shared" si="3"/>
        <v>225</v>
      </c>
      <c r="B226" s="53" t="s">
        <v>887</v>
      </c>
      <c r="C226" s="53" t="s">
        <v>59</v>
      </c>
      <c r="D226" s="56" t="s">
        <v>60</v>
      </c>
      <c r="E226" s="53" t="str">
        <f t="shared" si="1"/>
        <v>MONTE ALEGRERADIO</v>
      </c>
      <c r="F226" s="59">
        <v>1.0</v>
      </c>
      <c r="G226" s="53" t="s">
        <v>297</v>
      </c>
      <c r="H226" s="59" t="str">
        <f t="array" ref="H226">XLOOKUP(B226,municipios,regiao!$D$6:$D$150,0)</f>
        <v>SIM</v>
      </c>
      <c r="I226" s="53" t="s">
        <v>297</v>
      </c>
      <c r="J226" s="60" t="s">
        <v>133</v>
      </c>
      <c r="K226" s="61">
        <v>29.29</v>
      </c>
      <c r="L226" s="70">
        <f>K226/(1-pconfig!$G$2-pconfig!$G$3-pconfig!$G$4)</f>
        <v>55.30589124</v>
      </c>
      <c r="M226" s="61">
        <v>166.666666666667</v>
      </c>
      <c r="N226" s="61">
        <f>M226/(1-pconfig!$G$2-pconfig!$G$3-pconfig!$G$4)</f>
        <v>314.7029204</v>
      </c>
      <c r="O226" s="61">
        <f>((K226*F226)+M226)/(1-pconfig!$G$2-pconfig!$G$3-pconfig!$G$4)</f>
        <v>370.0088117</v>
      </c>
      <c r="P226" s="74">
        <f>K226*F226/(1-pconfig!$G$2-pconfig!$G$3-pconfig!$G$4)</f>
        <v>55.30589124</v>
      </c>
      <c r="Q226" s="74">
        <f>IFS(F226&lt;=pconfig!$B$12,P226*pconfig!$C$12,F226&lt;=pconfig!$B$13,P226*pconfig!$C$13,F226&lt;=pconfig!$B$14,P226*pconfig!$C$14,F226&lt;=pconfig!$B$15,P226*pconfig!$C$15,F226&lt;=pconfig!$B$16,P226*pconfig!$C$16,F226&lt;=pconfig!$B$17,P226*pconfig!$C$17,F226&lt;=pconfig!$B$18,P226*pconfig!$C$18,F226&lt;=pconfig!$B$19,P226*pconfig!$C$19,F226&lt;=pconfig!$B$20,P226*pconfig!$C$20,F226&lt;=pconfig!$B$21,P226*pconfig!$C$21)</f>
        <v>55.30589124</v>
      </c>
      <c r="R226" s="76">
        <f t="shared" si="2"/>
        <v>370.0088117</v>
      </c>
    </row>
    <row r="227" ht="22.5" hidden="1" customHeight="1">
      <c r="A227" s="78">
        <f t="shared" si="3"/>
        <v>226</v>
      </c>
      <c r="B227" s="79" t="s">
        <v>891</v>
      </c>
      <c r="C227" s="79" t="s">
        <v>59</v>
      </c>
      <c r="D227" s="80" t="s">
        <v>60</v>
      </c>
      <c r="E227" s="79" t="str">
        <f t="shared" si="1"/>
        <v>MUANARADIO</v>
      </c>
      <c r="F227" s="81">
        <v>1.0</v>
      </c>
      <c r="G227" s="79" t="s">
        <v>258</v>
      </c>
      <c r="H227" s="81" t="str">
        <f t="array" ref="H227">XLOOKUP(B227,municipios,regiao!$D$6:$D$150,0)</f>
        <v>SIM</v>
      </c>
      <c r="I227" s="79" t="s">
        <v>258</v>
      </c>
      <c r="J227" s="82" t="s">
        <v>133</v>
      </c>
      <c r="K227" s="83">
        <v>29.29</v>
      </c>
      <c r="L227" s="85">
        <f>K227/(1-pconfig!$G$2-pconfig!$G$3-pconfig!$G$4)</f>
        <v>55.30589124</v>
      </c>
      <c r="M227" s="83">
        <v>138.285</v>
      </c>
      <c r="N227" s="83">
        <f>M227/(1-pconfig!$G$2-pconfig!$G$3-pconfig!$G$4)</f>
        <v>261.1121601</v>
      </c>
      <c r="O227" s="83">
        <f>((K227*F227)+M227)/(1-pconfig!$G$2-pconfig!$G$3-pconfig!$G$4)</f>
        <v>316.4180514</v>
      </c>
      <c r="P227" s="86">
        <f>K227*F227/(1-pconfig!$G$2-pconfig!$G$3-pconfig!$G$4)</f>
        <v>55.30589124</v>
      </c>
      <c r="Q227" s="86">
        <f>IFS(F227&lt;=pconfig!$B$12,P227*pconfig!$C$12,F227&lt;=pconfig!$B$13,P227*pconfig!$C$13,F227&lt;=pconfig!$B$14,P227*pconfig!$C$14,F227&lt;=pconfig!$B$15,P227*pconfig!$C$15,F227&lt;=pconfig!$B$16,P227*pconfig!$C$16,F227&lt;=pconfig!$B$17,P227*pconfig!$C$17,F227&lt;=pconfig!$B$18,P227*pconfig!$C$18,F227&lt;=pconfig!$B$19,P227*pconfig!$C$19,F227&lt;=pconfig!$B$20,P227*pconfig!$C$20,F227&lt;=pconfig!$B$21,P227*pconfig!$C$21)</f>
        <v>55.30589124</v>
      </c>
      <c r="R227" s="87">
        <f t="shared" si="2"/>
        <v>316.4180514</v>
      </c>
    </row>
    <row r="228" ht="22.5" hidden="1" customHeight="1">
      <c r="A228" s="52">
        <f t="shared" si="3"/>
        <v>227</v>
      </c>
      <c r="B228" s="53" t="s">
        <v>891</v>
      </c>
      <c r="C228" s="53" t="s">
        <v>50</v>
      </c>
      <c r="D228" s="56" t="s">
        <v>82</v>
      </c>
      <c r="E228" s="53" t="str">
        <f t="shared" si="1"/>
        <v>MUANAFIBRA</v>
      </c>
      <c r="F228" s="59">
        <v>1.0</v>
      </c>
      <c r="G228" s="53" t="s">
        <v>258</v>
      </c>
      <c r="H228" s="59" t="str">
        <f t="array" ref="H228">XLOOKUP(B228,municipios,regiao!$D$6:$D$150,0)</f>
        <v>SIM</v>
      </c>
      <c r="I228" s="53" t="s">
        <v>258</v>
      </c>
      <c r="J228" s="60" t="s">
        <v>133</v>
      </c>
      <c r="K228" s="61">
        <v>29.29</v>
      </c>
      <c r="L228" s="70">
        <f>K228/(1-pconfig!$G$2-pconfig!$G$3-pconfig!$G$4)</f>
        <v>55.30589124</v>
      </c>
      <c r="M228" s="61">
        <v>519.17</v>
      </c>
      <c r="N228" s="61">
        <f>M228/(1-pconfig!$G$2-pconfig!$G$3-pconfig!$G$4)</f>
        <v>980.3058912</v>
      </c>
      <c r="O228" s="61">
        <f>((K228*F228)+M228)/(1-pconfig!$G$2-pconfig!$G$3-pconfig!$G$4)</f>
        <v>1035.611782</v>
      </c>
      <c r="P228" s="74">
        <f>K228*F228/(1-pconfig!$G$2-pconfig!$G$3-pconfig!$G$4)</f>
        <v>55.30589124</v>
      </c>
      <c r="Q228" s="74">
        <f>IFS(F228&lt;=pconfig!$B$12,P228*pconfig!$C$12,F228&lt;=pconfig!$B$13,P228*pconfig!$C$13,F228&lt;=pconfig!$B$14,P228*pconfig!$C$14,F228&lt;=pconfig!$B$15,P228*pconfig!$C$15,F228&lt;=pconfig!$B$16,P228*pconfig!$C$16,F228&lt;=pconfig!$B$17,P228*pconfig!$C$17,F228&lt;=pconfig!$B$18,P228*pconfig!$C$18,F228&lt;=pconfig!$B$19,P228*pconfig!$C$19,F228&lt;=pconfig!$B$20,P228*pconfig!$C$20,F228&lt;=pconfig!$B$21,P228*pconfig!$C$21)</f>
        <v>55.30589124</v>
      </c>
      <c r="R228" s="76">
        <f t="shared" si="2"/>
        <v>1035.611782</v>
      </c>
    </row>
    <row r="229" ht="22.5" hidden="1" customHeight="1">
      <c r="A229" s="78">
        <f t="shared" si="3"/>
        <v>228</v>
      </c>
      <c r="B229" s="79" t="s">
        <v>891</v>
      </c>
      <c r="C229" s="79" t="s">
        <v>101</v>
      </c>
      <c r="D229" s="80" t="s">
        <v>102</v>
      </c>
      <c r="E229" s="79" t="str">
        <f t="shared" si="1"/>
        <v>MUANASATELITE</v>
      </c>
      <c r="F229" s="81">
        <v>1.0</v>
      </c>
      <c r="G229" s="79" t="s">
        <v>258</v>
      </c>
      <c r="H229" s="81" t="str">
        <f t="array" ref="H229">XLOOKUP(B229,municipios,regiao!$D$6:$D$150,0)</f>
        <v>SIM</v>
      </c>
      <c r="I229" s="79" t="s">
        <v>258</v>
      </c>
      <c r="J229" s="82" t="s">
        <v>106</v>
      </c>
      <c r="K229" s="83">
        <v>4799.0</v>
      </c>
      <c r="L229" s="85">
        <f>K229/(1-pconfig!$G$2-pconfig!$G$3-pconfig!$G$4)</f>
        <v>9061.555891</v>
      </c>
      <c r="M229" s="83">
        <v>519.17</v>
      </c>
      <c r="N229" s="83">
        <f>M229/(1-pconfig!$G$2-pconfig!$G$3-pconfig!$G$4)</f>
        <v>980.3058912</v>
      </c>
      <c r="O229" s="83">
        <f>((K229*F229)+M229)/(1-pconfig!$G$2-pconfig!$G$3-pconfig!$G$4)</f>
        <v>10041.86178</v>
      </c>
      <c r="P229" s="86">
        <f>K229*F229/(1-pconfig!$G$2-pconfig!$G$3-pconfig!$G$4)</f>
        <v>9061.555891</v>
      </c>
      <c r="Q229" s="86">
        <f>IFS(F229&lt;=pconfig!$B$12,P229*pconfig!$C$12,F229&lt;=pconfig!$B$13,P229*pconfig!$C$13,F229&lt;=pconfig!$B$14,P229*pconfig!$C$14,F229&lt;=pconfig!$B$15,P229*pconfig!$C$15,F229&lt;=pconfig!$B$16,P229*pconfig!$C$16,F229&lt;=pconfig!$B$17,P229*pconfig!$C$17,F229&lt;=pconfig!$B$18,P229*pconfig!$C$18,F229&lt;=pconfig!$B$19,P229*pconfig!$C$19,F229&lt;=pconfig!$B$20,P229*pconfig!$C$20,F229&lt;=pconfig!$B$21,P229*pconfig!$C$21)</f>
        <v>9061.555891</v>
      </c>
      <c r="R229" s="87">
        <f t="shared" si="2"/>
        <v>10041.86178</v>
      </c>
    </row>
    <row r="230" ht="22.5" hidden="1" customHeight="1">
      <c r="A230" s="52">
        <f t="shared" si="3"/>
        <v>229</v>
      </c>
      <c r="B230" s="53" t="s">
        <v>958</v>
      </c>
      <c r="C230" s="53" t="s">
        <v>50</v>
      </c>
      <c r="D230" s="56" t="s">
        <v>82</v>
      </c>
      <c r="E230" s="53" t="str">
        <f t="shared" si="1"/>
        <v>NOVA ESPERANÇA DO PIRIAFIBRA</v>
      </c>
      <c r="F230" s="59">
        <v>1.0</v>
      </c>
      <c r="G230" s="53" t="s">
        <v>61</v>
      </c>
      <c r="H230" s="59">
        <f t="array" ref="H230">XLOOKUP(B230,municipios,regiao!$D$6:$D$150,0)</f>
        <v>0</v>
      </c>
      <c r="I230" s="53" t="s">
        <v>132</v>
      </c>
      <c r="J230" s="60" t="s">
        <v>624</v>
      </c>
      <c r="K230" s="61">
        <v>24.41</v>
      </c>
      <c r="L230" s="70">
        <f>K230/(1-pconfig!$G$2-pconfig!$G$3-pconfig!$G$4)</f>
        <v>46.09138973</v>
      </c>
      <c r="M230" s="61">
        <v>63.39</v>
      </c>
      <c r="N230" s="61">
        <f>M230/(1-pconfig!$G$2-pconfig!$G$3-pconfig!$G$4)</f>
        <v>119.6941088</v>
      </c>
      <c r="O230" s="61">
        <f>((K230*F230)+M230)/(1-pconfig!$G$2-pconfig!$G$3-pconfig!$G$4)</f>
        <v>165.7854985</v>
      </c>
      <c r="P230" s="74">
        <f>K230*F230/(1-pconfig!$G$2-pconfig!$G$3-pconfig!$G$4)</f>
        <v>46.09138973</v>
      </c>
      <c r="Q230" s="74">
        <f>IFS(F230&lt;=pconfig!$B$12,P230*pconfig!$C$12,F230&lt;=pconfig!$B$13,P230*pconfig!$C$13,F230&lt;=pconfig!$B$14,P230*pconfig!$C$14,F230&lt;=pconfig!$B$15,P230*pconfig!$C$15,F230&lt;=pconfig!$B$16,P230*pconfig!$C$16,F230&lt;=pconfig!$B$17,P230*pconfig!$C$17,F230&lt;=pconfig!$B$18,P230*pconfig!$C$18,F230&lt;=pconfig!$B$19,P230*pconfig!$C$19,F230&lt;=pconfig!$B$20,P230*pconfig!$C$20,F230&lt;=pconfig!$B$21,P230*pconfig!$C$21)</f>
        <v>46.09138973</v>
      </c>
      <c r="R230" s="76">
        <f t="shared" si="2"/>
        <v>165.7854985</v>
      </c>
    </row>
    <row r="231" ht="22.5" hidden="1" customHeight="1">
      <c r="A231" s="78">
        <f t="shared" si="3"/>
        <v>230</v>
      </c>
      <c r="B231" s="79" t="s">
        <v>958</v>
      </c>
      <c r="C231" s="79" t="s">
        <v>101</v>
      </c>
      <c r="D231" s="80" t="s">
        <v>102</v>
      </c>
      <c r="E231" s="79" t="str">
        <f t="shared" si="1"/>
        <v>NOVA ESPERANÇA DO PIRIASATELITE</v>
      </c>
      <c r="F231" s="81">
        <v>1.0</v>
      </c>
      <c r="G231" s="79" t="s">
        <v>61</v>
      </c>
      <c r="H231" s="81">
        <f t="array" ref="H231">XLOOKUP(B231,municipios,regiao!$D$6:$D$150,0)</f>
        <v>0</v>
      </c>
      <c r="I231" s="79" t="s">
        <v>132</v>
      </c>
      <c r="J231" s="82" t="s">
        <v>106</v>
      </c>
      <c r="K231" s="83">
        <v>4799.0</v>
      </c>
      <c r="L231" s="85">
        <f>K231/(1-pconfig!$G$2-pconfig!$G$3-pconfig!$G$4)</f>
        <v>9061.555891</v>
      </c>
      <c r="M231" s="83">
        <v>63.39</v>
      </c>
      <c r="N231" s="83">
        <f>M231/(1-pconfig!$G$2-pconfig!$G$3-pconfig!$G$4)</f>
        <v>119.6941088</v>
      </c>
      <c r="O231" s="83">
        <f>((K231*F231)+M231)/(1-pconfig!$G$2-pconfig!$G$3-pconfig!$G$4)</f>
        <v>9181.25</v>
      </c>
      <c r="P231" s="86">
        <f>K231*F231/(1-pconfig!$G$2-pconfig!$G$3-pconfig!$G$4)</f>
        <v>9061.555891</v>
      </c>
      <c r="Q231" s="86">
        <f>IFS(F231&lt;=pconfig!$B$12,P231*pconfig!$C$12,F231&lt;=pconfig!$B$13,P231*pconfig!$C$13,F231&lt;=pconfig!$B$14,P231*pconfig!$C$14,F231&lt;=pconfig!$B$15,P231*pconfig!$C$15,F231&lt;=pconfig!$B$16,P231*pconfig!$C$16,F231&lt;=pconfig!$B$17,P231*pconfig!$C$17,F231&lt;=pconfig!$B$18,P231*pconfig!$C$18,F231&lt;=pconfig!$B$19,P231*pconfig!$C$19,F231&lt;=pconfig!$B$20,P231*pconfig!$C$20,F231&lt;=pconfig!$B$21,P231*pconfig!$C$21)</f>
        <v>9061.555891</v>
      </c>
      <c r="R231" s="87">
        <f t="shared" si="2"/>
        <v>9181.25</v>
      </c>
    </row>
    <row r="232" ht="22.5" hidden="1" customHeight="1">
      <c r="A232" s="52">
        <f t="shared" si="3"/>
        <v>231</v>
      </c>
      <c r="B232" s="53" t="s">
        <v>958</v>
      </c>
      <c r="C232" s="53" t="s">
        <v>59</v>
      </c>
      <c r="D232" s="56" t="s">
        <v>60</v>
      </c>
      <c r="E232" s="53" t="str">
        <f t="shared" si="1"/>
        <v>NOVA ESPERANÇA DO PIRIARADIO</v>
      </c>
      <c r="F232" s="59">
        <v>1.0</v>
      </c>
      <c r="G232" s="53" t="s">
        <v>61</v>
      </c>
      <c r="H232" s="59">
        <f t="array" ref="H232">XLOOKUP(B232,municipios,regiao!$D$6:$D$150,0)</f>
        <v>0</v>
      </c>
      <c r="I232" s="53" t="s">
        <v>132</v>
      </c>
      <c r="J232" s="60" t="s">
        <v>624</v>
      </c>
      <c r="K232" s="61">
        <v>24.41</v>
      </c>
      <c r="L232" s="70">
        <f>K232/(1-pconfig!$G$2-pconfig!$G$3-pconfig!$G$4)</f>
        <v>46.09138973</v>
      </c>
      <c r="M232" s="61">
        <v>130.6225</v>
      </c>
      <c r="N232" s="61">
        <f>M232/(1-pconfig!$G$2-pconfig!$G$3-pconfig!$G$4)</f>
        <v>246.6436934</v>
      </c>
      <c r="O232" s="61">
        <f>((K232*F232)+M232)/(1-pconfig!$G$2-pconfig!$G$3-pconfig!$G$4)</f>
        <v>292.7350831</v>
      </c>
      <c r="P232" s="74">
        <f>K232*F232/(1-pconfig!$G$2-pconfig!$G$3-pconfig!$G$4)</f>
        <v>46.09138973</v>
      </c>
      <c r="Q232" s="74">
        <f>IFS(F232&lt;=pconfig!$B$12,P232*pconfig!$C$12,F232&lt;=pconfig!$B$13,P232*pconfig!$C$13,F232&lt;=pconfig!$B$14,P232*pconfig!$C$14,F232&lt;=pconfig!$B$15,P232*pconfig!$C$15,F232&lt;=pconfig!$B$16,P232*pconfig!$C$16,F232&lt;=pconfig!$B$17,P232*pconfig!$C$17,F232&lt;=pconfig!$B$18,P232*pconfig!$C$18,F232&lt;=pconfig!$B$19,P232*pconfig!$C$19,F232&lt;=pconfig!$B$20,P232*pconfig!$C$20,F232&lt;=pconfig!$B$21,P232*pconfig!$C$21)</f>
        <v>46.09138973</v>
      </c>
      <c r="R232" s="76">
        <f t="shared" si="2"/>
        <v>292.7350831</v>
      </c>
    </row>
    <row r="233" ht="22.5" hidden="1" customHeight="1">
      <c r="A233" s="78">
        <f t="shared" si="3"/>
        <v>232</v>
      </c>
      <c r="B233" s="79" t="s">
        <v>894</v>
      </c>
      <c r="C233" s="79" t="s">
        <v>50</v>
      </c>
      <c r="D233" s="80" t="s">
        <v>82</v>
      </c>
      <c r="E233" s="79" t="str">
        <f t="shared" si="1"/>
        <v>NOVA IPIXUNAFIBRA</v>
      </c>
      <c r="F233" s="81">
        <v>1.0</v>
      </c>
      <c r="G233" s="79" t="s">
        <v>128</v>
      </c>
      <c r="H233" s="81" t="str">
        <f t="array" ref="H233">XLOOKUP(B233,municipios,regiao!$D$6:$D$150,0)</f>
        <v>NÃO</v>
      </c>
      <c r="I233" s="79" t="s">
        <v>717</v>
      </c>
      <c r="J233" s="82" t="s">
        <v>624</v>
      </c>
      <c r="K233" s="83">
        <v>24.41</v>
      </c>
      <c r="L233" s="85">
        <f>K233/(1-pconfig!$G$2-pconfig!$G$3-pconfig!$G$4)</f>
        <v>46.09138973</v>
      </c>
      <c r="M233" s="83">
        <v>204.76</v>
      </c>
      <c r="N233" s="83">
        <f>M233/(1-pconfig!$G$2-pconfig!$G$3-pconfig!$G$4)</f>
        <v>386.6314199</v>
      </c>
      <c r="O233" s="83">
        <f>((K233*F233)+M233)/(1-pconfig!$G$2-pconfig!$G$3-pconfig!$G$4)</f>
        <v>432.7228097</v>
      </c>
      <c r="P233" s="86">
        <f>K233*F233/(1-pconfig!$G$2-pconfig!$G$3-pconfig!$G$4)</f>
        <v>46.09138973</v>
      </c>
      <c r="Q233" s="86">
        <f>IFS(F233&lt;=pconfig!$B$12,P233*pconfig!$C$12,F233&lt;=pconfig!$B$13,P233*pconfig!$C$13,F233&lt;=pconfig!$B$14,P233*pconfig!$C$14,F233&lt;=pconfig!$B$15,P233*pconfig!$C$15,F233&lt;=pconfig!$B$16,P233*pconfig!$C$16,F233&lt;=pconfig!$B$17,P233*pconfig!$C$17,F233&lt;=pconfig!$B$18,P233*pconfig!$C$18,F233&lt;=pconfig!$B$19,P233*pconfig!$C$19,F233&lt;=pconfig!$B$20,P233*pconfig!$C$20,F233&lt;=pconfig!$B$21,P233*pconfig!$C$21)</f>
        <v>46.09138973</v>
      </c>
      <c r="R233" s="87">
        <f t="shared" si="2"/>
        <v>432.7228097</v>
      </c>
    </row>
    <row r="234" ht="22.5" hidden="1" customHeight="1">
      <c r="A234" s="52">
        <f t="shared" si="3"/>
        <v>233</v>
      </c>
      <c r="B234" s="53" t="s">
        <v>894</v>
      </c>
      <c r="C234" s="53" t="s">
        <v>101</v>
      </c>
      <c r="D234" s="56" t="s">
        <v>102</v>
      </c>
      <c r="E234" s="53" t="str">
        <f t="shared" si="1"/>
        <v>NOVA IPIXUNASATELITE</v>
      </c>
      <c r="F234" s="59">
        <v>1.0</v>
      </c>
      <c r="G234" s="53" t="s">
        <v>128</v>
      </c>
      <c r="H234" s="59" t="str">
        <f t="array" ref="H234">XLOOKUP(B234,municipios,regiao!$D$6:$D$150,0)</f>
        <v>NÃO</v>
      </c>
      <c r="I234" s="53" t="s">
        <v>717</v>
      </c>
      <c r="J234" s="60" t="s">
        <v>106</v>
      </c>
      <c r="K234" s="61">
        <v>4799.0</v>
      </c>
      <c r="L234" s="70">
        <f>K234/(1-pconfig!$G$2-pconfig!$G$3-pconfig!$G$4)</f>
        <v>9061.555891</v>
      </c>
      <c r="M234" s="61">
        <v>204.76</v>
      </c>
      <c r="N234" s="61">
        <f>M234/(1-pconfig!$G$2-pconfig!$G$3-pconfig!$G$4)</f>
        <v>386.6314199</v>
      </c>
      <c r="O234" s="61">
        <f>((K234*F234)+M234)/(1-pconfig!$G$2-pconfig!$G$3-pconfig!$G$4)</f>
        <v>9448.187311</v>
      </c>
      <c r="P234" s="74">
        <f>K234*F234/(1-pconfig!$G$2-pconfig!$G$3-pconfig!$G$4)</f>
        <v>9061.555891</v>
      </c>
      <c r="Q234" s="74">
        <f>IFS(F234&lt;=pconfig!$B$12,P234*pconfig!$C$12,F234&lt;=pconfig!$B$13,P234*pconfig!$C$13,F234&lt;=pconfig!$B$14,P234*pconfig!$C$14,F234&lt;=pconfig!$B$15,P234*pconfig!$C$15,F234&lt;=pconfig!$B$16,P234*pconfig!$C$16,F234&lt;=pconfig!$B$17,P234*pconfig!$C$17,F234&lt;=pconfig!$B$18,P234*pconfig!$C$18,F234&lt;=pconfig!$B$19,P234*pconfig!$C$19,F234&lt;=pconfig!$B$20,P234*pconfig!$C$20,F234&lt;=pconfig!$B$21,P234*pconfig!$C$21)</f>
        <v>9061.555891</v>
      </c>
      <c r="R234" s="76">
        <f t="shared" si="2"/>
        <v>9448.187311</v>
      </c>
    </row>
    <row r="235" ht="22.5" hidden="1" customHeight="1">
      <c r="A235" s="78">
        <f t="shared" si="3"/>
        <v>234</v>
      </c>
      <c r="B235" s="79" t="s">
        <v>894</v>
      </c>
      <c r="C235" s="79" t="s">
        <v>59</v>
      </c>
      <c r="D235" s="80" t="s">
        <v>60</v>
      </c>
      <c r="E235" s="79" t="str">
        <f t="shared" si="1"/>
        <v>NOVA IPIXUNARADIO</v>
      </c>
      <c r="F235" s="81">
        <v>1.0</v>
      </c>
      <c r="G235" s="79" t="s">
        <v>128</v>
      </c>
      <c r="H235" s="81" t="str">
        <f t="array" ref="H235">XLOOKUP(B235,municipios,regiao!$D$6:$D$150,0)</f>
        <v>NÃO</v>
      </c>
      <c r="I235" s="79" t="s">
        <v>717</v>
      </c>
      <c r="J235" s="82" t="s">
        <v>624</v>
      </c>
      <c r="K235" s="83">
        <v>24.41</v>
      </c>
      <c r="L235" s="85">
        <f>K235/(1-pconfig!$G$2-pconfig!$G$3-pconfig!$G$4)</f>
        <v>46.09138973</v>
      </c>
      <c r="M235" s="83">
        <v>333.333333333333</v>
      </c>
      <c r="N235" s="83">
        <f>M235/(1-pconfig!$G$2-pconfig!$G$3-pconfig!$G$4)</f>
        <v>629.4058409</v>
      </c>
      <c r="O235" s="83">
        <f>((K235*F235)+M235)/(1-pconfig!$G$2-pconfig!$G$3-pconfig!$G$4)</f>
        <v>675.4972306</v>
      </c>
      <c r="P235" s="86">
        <f>K235*F235/(1-pconfig!$G$2-pconfig!$G$3-pconfig!$G$4)</f>
        <v>46.09138973</v>
      </c>
      <c r="Q235" s="86">
        <f>IFS(F235&lt;=pconfig!$B$12,P235*pconfig!$C$12,F235&lt;=pconfig!$B$13,P235*pconfig!$C$13,F235&lt;=pconfig!$B$14,P235*pconfig!$C$14,F235&lt;=pconfig!$B$15,P235*pconfig!$C$15,F235&lt;=pconfig!$B$16,P235*pconfig!$C$16,F235&lt;=pconfig!$B$17,P235*pconfig!$C$17,F235&lt;=pconfig!$B$18,P235*pconfig!$C$18,F235&lt;=pconfig!$B$19,P235*pconfig!$C$19,F235&lt;=pconfig!$B$20,P235*pconfig!$C$20,F235&lt;=pconfig!$B$21,P235*pconfig!$C$21)</f>
        <v>46.09138973</v>
      </c>
      <c r="R235" s="87">
        <f t="shared" si="2"/>
        <v>675.4972306</v>
      </c>
    </row>
    <row r="236" ht="22.5" hidden="1" customHeight="1">
      <c r="A236" s="52">
        <f t="shared" si="3"/>
        <v>235</v>
      </c>
      <c r="B236" s="53" t="s">
        <v>874</v>
      </c>
      <c r="C236" s="53" t="s">
        <v>59</v>
      </c>
      <c r="D236" s="56" t="s">
        <v>60</v>
      </c>
      <c r="E236" s="53" t="str">
        <f t="shared" si="1"/>
        <v>NOVA TIMBOTEUARADIO</v>
      </c>
      <c r="F236" s="59">
        <v>1.0</v>
      </c>
      <c r="G236" s="53" t="s">
        <v>61</v>
      </c>
      <c r="H236" s="59" t="str">
        <f t="array" ref="H236">XLOOKUP(B236,municipios,regiao!$D$6:$D$150,0)</f>
        <v>SIM</v>
      </c>
      <c r="I236" s="53" t="s">
        <v>496</v>
      </c>
      <c r="J236" s="60" t="s">
        <v>416</v>
      </c>
      <c r="K236" s="61">
        <v>13.97</v>
      </c>
      <c r="L236" s="70">
        <f>K236/(1-pconfig!$G$2-pconfig!$G$3-pconfig!$G$4)</f>
        <v>26.37839879</v>
      </c>
      <c r="M236" s="61">
        <v>137.604166666667</v>
      </c>
      <c r="N236" s="61">
        <f>M236/(1-pconfig!$G$2-pconfig!$G$3-pconfig!$G$4)</f>
        <v>259.8265987</v>
      </c>
      <c r="O236" s="61">
        <f>((K236*F236)+M236)/(1-pconfig!$G$2-pconfig!$G$3-pconfig!$G$4)</f>
        <v>286.2049975</v>
      </c>
      <c r="P236" s="74">
        <f>K236*F236/(1-pconfig!$G$2-pconfig!$G$3-pconfig!$G$4)</f>
        <v>26.37839879</v>
      </c>
      <c r="Q236" s="74">
        <f>IFS(F236&lt;=pconfig!$B$12,P236*pconfig!$C$12,F236&lt;=pconfig!$B$13,P236*pconfig!$C$13,F236&lt;=pconfig!$B$14,P236*pconfig!$C$14,F236&lt;=pconfig!$B$15,P236*pconfig!$C$15,F236&lt;=pconfig!$B$16,P236*pconfig!$C$16,F236&lt;=pconfig!$B$17,P236*pconfig!$C$17,F236&lt;=pconfig!$B$18,P236*pconfig!$C$18,F236&lt;=pconfig!$B$19,P236*pconfig!$C$19,F236&lt;=pconfig!$B$20,P236*pconfig!$C$20,F236&lt;=pconfig!$B$21,P236*pconfig!$C$21)</f>
        <v>26.37839879</v>
      </c>
      <c r="R236" s="76">
        <f t="shared" si="2"/>
        <v>286.2049975</v>
      </c>
    </row>
    <row r="237" ht="22.5" hidden="1" customHeight="1">
      <c r="A237" s="78">
        <f t="shared" si="3"/>
        <v>236</v>
      </c>
      <c r="B237" s="79" t="s">
        <v>874</v>
      </c>
      <c r="C237" s="79" t="s">
        <v>50</v>
      </c>
      <c r="D237" s="80" t="s">
        <v>82</v>
      </c>
      <c r="E237" s="79" t="str">
        <f t="shared" si="1"/>
        <v>NOVA TIMBOTEUAFIBRA</v>
      </c>
      <c r="F237" s="81">
        <v>1.0</v>
      </c>
      <c r="G237" s="79" t="s">
        <v>61</v>
      </c>
      <c r="H237" s="81" t="str">
        <f t="array" ref="H237">XLOOKUP(B237,municipios,regiao!$D$6:$D$150,0)</f>
        <v>SIM</v>
      </c>
      <c r="I237" s="79" t="s">
        <v>496</v>
      </c>
      <c r="J237" s="82" t="s">
        <v>416</v>
      </c>
      <c r="K237" s="83">
        <v>13.97</v>
      </c>
      <c r="L237" s="85">
        <f>K237/(1-pconfig!$G$2-pconfig!$G$3-pconfig!$G$4)</f>
        <v>26.37839879</v>
      </c>
      <c r="M237" s="83">
        <v>406.12</v>
      </c>
      <c r="N237" s="83">
        <f>M237/(1-pconfig!$G$2-pconfig!$G$3-pconfig!$G$4)</f>
        <v>766.8429003</v>
      </c>
      <c r="O237" s="83">
        <f>((K237*F237)+M237)/(1-pconfig!$G$2-pconfig!$G$3-pconfig!$G$4)</f>
        <v>793.2212991</v>
      </c>
      <c r="P237" s="86">
        <f>K237*F237/(1-pconfig!$G$2-pconfig!$G$3-pconfig!$G$4)</f>
        <v>26.37839879</v>
      </c>
      <c r="Q237" s="86">
        <f>IFS(F237&lt;=pconfig!$B$12,P237*pconfig!$C$12,F237&lt;=pconfig!$B$13,P237*pconfig!$C$13,F237&lt;=pconfig!$B$14,P237*pconfig!$C$14,F237&lt;=pconfig!$B$15,P237*pconfig!$C$15,F237&lt;=pconfig!$B$16,P237*pconfig!$C$16,F237&lt;=pconfig!$B$17,P237*pconfig!$C$17,F237&lt;=pconfig!$B$18,P237*pconfig!$C$18,F237&lt;=pconfig!$B$19,P237*pconfig!$C$19,F237&lt;=pconfig!$B$20,P237*pconfig!$C$20,F237&lt;=pconfig!$B$21,P237*pconfig!$C$21)</f>
        <v>26.37839879</v>
      </c>
      <c r="R237" s="87">
        <f t="shared" si="2"/>
        <v>793.2212991</v>
      </c>
    </row>
    <row r="238" ht="22.5" hidden="1" customHeight="1">
      <c r="A238" s="52">
        <f t="shared" si="3"/>
        <v>237</v>
      </c>
      <c r="B238" s="53" t="s">
        <v>874</v>
      </c>
      <c r="C238" s="53" t="s">
        <v>101</v>
      </c>
      <c r="D238" s="56" t="s">
        <v>102</v>
      </c>
      <c r="E238" s="53" t="str">
        <f t="shared" si="1"/>
        <v>NOVA TIMBOTEUASATELITE</v>
      </c>
      <c r="F238" s="59">
        <v>1.0</v>
      </c>
      <c r="G238" s="53" t="s">
        <v>61</v>
      </c>
      <c r="H238" s="59" t="str">
        <f t="array" ref="H238">XLOOKUP(B238,municipios,regiao!$D$6:$D$150,0)</f>
        <v>SIM</v>
      </c>
      <c r="I238" s="53" t="s">
        <v>496</v>
      </c>
      <c r="J238" s="60" t="s">
        <v>106</v>
      </c>
      <c r="K238" s="61">
        <v>4799.0</v>
      </c>
      <c r="L238" s="70">
        <f>K238/(1-pconfig!$G$2-pconfig!$G$3-pconfig!$G$4)</f>
        <v>9061.555891</v>
      </c>
      <c r="M238" s="61">
        <v>406.12</v>
      </c>
      <c r="N238" s="61">
        <f>M238/(1-pconfig!$G$2-pconfig!$G$3-pconfig!$G$4)</f>
        <v>766.8429003</v>
      </c>
      <c r="O238" s="61">
        <f>((K238*F238)+M238)/(1-pconfig!$G$2-pconfig!$G$3-pconfig!$G$4)</f>
        <v>9828.398792</v>
      </c>
      <c r="P238" s="74">
        <f>K238*F238/(1-pconfig!$G$2-pconfig!$G$3-pconfig!$G$4)</f>
        <v>9061.555891</v>
      </c>
      <c r="Q238" s="74">
        <f>IFS(F238&lt;=pconfig!$B$12,P238*pconfig!$C$12,F238&lt;=pconfig!$B$13,P238*pconfig!$C$13,F238&lt;=pconfig!$B$14,P238*pconfig!$C$14,F238&lt;=pconfig!$B$15,P238*pconfig!$C$15,F238&lt;=pconfig!$B$16,P238*pconfig!$C$16,F238&lt;=pconfig!$B$17,P238*pconfig!$C$17,F238&lt;=pconfig!$B$18,P238*pconfig!$C$18,F238&lt;=pconfig!$B$19,P238*pconfig!$C$19,F238&lt;=pconfig!$B$20,P238*pconfig!$C$20,F238&lt;=pconfig!$B$21,P238*pconfig!$C$21)</f>
        <v>9061.555891</v>
      </c>
      <c r="R238" s="76">
        <f t="shared" si="2"/>
        <v>9828.398792</v>
      </c>
    </row>
    <row r="239" ht="22.5" hidden="1" customHeight="1">
      <c r="A239" s="78">
        <f t="shared" si="3"/>
        <v>238</v>
      </c>
      <c r="B239" s="79" t="s">
        <v>895</v>
      </c>
      <c r="C239" s="79" t="s">
        <v>59</v>
      </c>
      <c r="D239" s="80" t="s">
        <v>60</v>
      </c>
      <c r="E239" s="79" t="str">
        <f t="shared" si="1"/>
        <v>NOVO PROGRESSORADIO</v>
      </c>
      <c r="F239" s="81">
        <v>1.0</v>
      </c>
      <c r="G239" s="79" t="s">
        <v>374</v>
      </c>
      <c r="H239" s="81" t="str">
        <f t="array" ref="H239">XLOOKUP(B239,municipios,regiao!$D$6:$D$150,0)</f>
        <v>NÃO</v>
      </c>
      <c r="I239" s="79" t="s">
        <v>555</v>
      </c>
      <c r="J239" s="82" t="s">
        <v>259</v>
      </c>
      <c r="K239" s="83">
        <v>35.73</v>
      </c>
      <c r="L239" s="85">
        <f>K239/(1-pconfig!$G$2-pconfig!$G$3-pconfig!$G$4)</f>
        <v>67.46601208</v>
      </c>
      <c r="M239" s="83">
        <v>166.666666666667</v>
      </c>
      <c r="N239" s="83">
        <f>M239/(1-pconfig!$G$2-pconfig!$G$3-pconfig!$G$4)</f>
        <v>314.7029204</v>
      </c>
      <c r="O239" s="83">
        <f>((K239*F239)+M239)/(1-pconfig!$G$2-pconfig!$G$3-pconfig!$G$4)</f>
        <v>382.1689325</v>
      </c>
      <c r="P239" s="86">
        <f>K239*F239/(1-pconfig!$G$2-pconfig!$G$3-pconfig!$G$4)</f>
        <v>67.46601208</v>
      </c>
      <c r="Q239" s="86">
        <f>IFS(F239&lt;=pconfig!$B$12,P239*pconfig!$C$12,F239&lt;=pconfig!$B$13,P239*pconfig!$C$13,F239&lt;=pconfig!$B$14,P239*pconfig!$C$14,F239&lt;=pconfig!$B$15,P239*pconfig!$C$15,F239&lt;=pconfig!$B$16,P239*pconfig!$C$16,F239&lt;=pconfig!$B$17,P239*pconfig!$C$17,F239&lt;=pconfig!$B$18,P239*pconfig!$C$18,F239&lt;=pconfig!$B$19,P239*pconfig!$C$19,F239&lt;=pconfig!$B$20,P239*pconfig!$C$20,F239&lt;=pconfig!$B$21,P239*pconfig!$C$21)</f>
        <v>67.46601208</v>
      </c>
      <c r="R239" s="87">
        <f t="shared" si="2"/>
        <v>382.1689325</v>
      </c>
    </row>
    <row r="240" ht="22.5" hidden="1" customHeight="1">
      <c r="A240" s="52">
        <f t="shared" si="3"/>
        <v>239</v>
      </c>
      <c r="B240" s="53" t="s">
        <v>895</v>
      </c>
      <c r="C240" s="53" t="s">
        <v>50</v>
      </c>
      <c r="D240" s="56" t="s">
        <v>82</v>
      </c>
      <c r="E240" s="53" t="str">
        <f t="shared" si="1"/>
        <v>NOVO PROGRESSOFIBRA</v>
      </c>
      <c r="F240" s="57">
        <v>1.0</v>
      </c>
      <c r="G240" s="53" t="s">
        <v>374</v>
      </c>
      <c r="H240" s="59" t="str">
        <f t="array" ref="H240">XLOOKUP(B240,municipios,regiao!$D$6:$D$150,0)</f>
        <v>NÃO</v>
      </c>
      <c r="I240" s="53" t="s">
        <v>555</v>
      </c>
      <c r="J240" s="60" t="s">
        <v>259</v>
      </c>
      <c r="K240" s="61">
        <v>35.73</v>
      </c>
      <c r="L240" s="70">
        <f>K240/(1-pconfig!$G$2-pconfig!$G$3-pconfig!$G$4)</f>
        <v>67.46601208</v>
      </c>
      <c r="M240" s="61">
        <v>407.5</v>
      </c>
      <c r="N240" s="61">
        <f>M240/(1-pconfig!$G$2-pconfig!$G$3-pconfig!$G$4)</f>
        <v>769.4486405</v>
      </c>
      <c r="O240" s="61">
        <f>((K240*F240)+M240)/(1-pconfig!$G$2-pconfig!$G$3-pconfig!$G$4)</f>
        <v>836.9146526</v>
      </c>
      <c r="P240" s="74">
        <f>K240*F240/(1-pconfig!$G$2-pconfig!$G$3-pconfig!$G$4)</f>
        <v>67.46601208</v>
      </c>
      <c r="Q240" s="74">
        <f>IFS(F240&lt;=pconfig!$B$12,P240*pconfig!$C$12,F240&lt;=pconfig!$B$13,P240*pconfig!$C$13,F240&lt;=pconfig!$B$14,P240*pconfig!$C$14,F240&lt;=pconfig!$B$15,P240*pconfig!$C$15,F240&lt;=pconfig!$B$16,P240*pconfig!$C$16,F240&lt;=pconfig!$B$17,P240*pconfig!$C$17,F240&lt;=pconfig!$B$18,P240*pconfig!$C$18,F240&lt;=pconfig!$B$19,P240*pconfig!$C$19,F240&lt;=pconfig!$B$20,P240*pconfig!$C$20,F240&lt;=pconfig!$B$21,P240*pconfig!$C$21)</f>
        <v>67.46601208</v>
      </c>
      <c r="R240" s="76">
        <f t="shared" si="2"/>
        <v>836.9146526</v>
      </c>
    </row>
    <row r="241" ht="22.5" hidden="1" customHeight="1">
      <c r="A241" s="78">
        <f t="shared" si="3"/>
        <v>240</v>
      </c>
      <c r="B241" s="79" t="s">
        <v>895</v>
      </c>
      <c r="C241" s="79" t="s">
        <v>101</v>
      </c>
      <c r="D241" s="80" t="s">
        <v>102</v>
      </c>
      <c r="E241" s="79" t="str">
        <f t="shared" si="1"/>
        <v>NOVO PROGRESSOSATELITE</v>
      </c>
      <c r="F241" s="382">
        <v>1.0</v>
      </c>
      <c r="G241" s="79" t="s">
        <v>374</v>
      </c>
      <c r="H241" s="81" t="str">
        <f t="array" ref="H241">XLOOKUP(B241,municipios,regiao!$D$6:$D$150,0)</f>
        <v>NÃO</v>
      </c>
      <c r="I241" s="79" t="s">
        <v>555</v>
      </c>
      <c r="J241" s="82" t="s">
        <v>106</v>
      </c>
      <c r="K241" s="83">
        <v>4799.0</v>
      </c>
      <c r="L241" s="85">
        <f>K241/(1-pconfig!$G$2-pconfig!$G$3-pconfig!$G$4)</f>
        <v>9061.555891</v>
      </c>
      <c r="M241" s="83">
        <v>407.5</v>
      </c>
      <c r="N241" s="83">
        <f>M241/(1-pconfig!$G$2-pconfig!$G$3-pconfig!$G$4)</f>
        <v>769.4486405</v>
      </c>
      <c r="O241" s="83">
        <f>((K241*F241)+M241)/(1-pconfig!$G$2-pconfig!$G$3-pconfig!$G$4)</f>
        <v>9831.004532</v>
      </c>
      <c r="P241" s="86">
        <f>K241*F241/(1-pconfig!$G$2-pconfig!$G$3-pconfig!$G$4)</f>
        <v>9061.555891</v>
      </c>
      <c r="Q241" s="86">
        <f>IFS(F241&lt;=pconfig!$B$12,P241*pconfig!$C$12,F241&lt;=pconfig!$B$13,P241*pconfig!$C$13,F241&lt;=pconfig!$B$14,P241*pconfig!$C$14,F241&lt;=pconfig!$B$15,P241*pconfig!$C$15,F241&lt;=pconfig!$B$16,P241*pconfig!$C$16,F241&lt;=pconfig!$B$17,P241*pconfig!$C$17,F241&lt;=pconfig!$B$18,P241*pconfig!$C$18,F241&lt;=pconfig!$B$19,P241*pconfig!$C$19,F241&lt;=pconfig!$B$20,P241*pconfig!$C$20,F241&lt;=pconfig!$B$21,P241*pconfig!$C$21)</f>
        <v>9061.555891</v>
      </c>
      <c r="R241" s="87">
        <f t="shared" si="2"/>
        <v>9831.004532</v>
      </c>
    </row>
    <row r="242" ht="22.5" hidden="1" customHeight="1">
      <c r="A242" s="52">
        <f t="shared" si="3"/>
        <v>241</v>
      </c>
      <c r="B242" s="53" t="s">
        <v>896</v>
      </c>
      <c r="C242" s="53" t="s">
        <v>50</v>
      </c>
      <c r="D242" s="56" t="s">
        <v>82</v>
      </c>
      <c r="E242" s="53" t="str">
        <f t="shared" si="1"/>
        <v>NOVO REPARTIMENTOFIBRA</v>
      </c>
      <c r="F242" s="59">
        <v>1.0</v>
      </c>
      <c r="G242" s="53" t="s">
        <v>128</v>
      </c>
      <c r="H242" s="59" t="str">
        <f t="array" ref="H242">XLOOKUP(B242,municipios,regiao!$D$6:$D$150,0)</f>
        <v>SIM</v>
      </c>
      <c r="I242" s="53" t="s">
        <v>717</v>
      </c>
      <c r="J242" s="60" t="s">
        <v>133</v>
      </c>
      <c r="K242" s="61">
        <v>29.29</v>
      </c>
      <c r="L242" s="70">
        <f>K242/(1-pconfig!$G$2-pconfig!$G$3-pconfig!$G$4)</f>
        <v>55.30589124</v>
      </c>
      <c r="M242" s="61">
        <v>204.76</v>
      </c>
      <c r="N242" s="61">
        <f>M242/(1-pconfig!$G$2-pconfig!$G$3-pconfig!$G$4)</f>
        <v>386.6314199</v>
      </c>
      <c r="O242" s="61">
        <f>((K242*F242)+M242)/(1-pconfig!$G$2-pconfig!$G$3-pconfig!$G$4)</f>
        <v>441.9373112</v>
      </c>
      <c r="P242" s="74">
        <f>K242*F242/(1-pconfig!$G$2-pconfig!$G$3-pconfig!$G$4)</f>
        <v>55.30589124</v>
      </c>
      <c r="Q242" s="74">
        <f>IFS(F242&lt;=pconfig!$B$12,P242*pconfig!$C$12,F242&lt;=pconfig!$B$13,P242*pconfig!$C$13,F242&lt;=pconfig!$B$14,P242*pconfig!$C$14,F242&lt;=pconfig!$B$15,P242*pconfig!$C$15,F242&lt;=pconfig!$B$16,P242*pconfig!$C$16,F242&lt;=pconfig!$B$17,P242*pconfig!$C$17,F242&lt;=pconfig!$B$18,P242*pconfig!$C$18,F242&lt;=pconfig!$B$19,P242*pconfig!$C$19,F242&lt;=pconfig!$B$20,P242*pconfig!$C$20,F242&lt;=pconfig!$B$21,P242*pconfig!$C$21)</f>
        <v>55.30589124</v>
      </c>
      <c r="R242" s="76">
        <f t="shared" si="2"/>
        <v>441.9373112</v>
      </c>
    </row>
    <row r="243" ht="22.5" hidden="1" customHeight="1">
      <c r="A243" s="78">
        <f t="shared" si="3"/>
        <v>242</v>
      </c>
      <c r="B243" s="79" t="s">
        <v>896</v>
      </c>
      <c r="C243" s="79" t="s">
        <v>101</v>
      </c>
      <c r="D243" s="80" t="s">
        <v>102</v>
      </c>
      <c r="E243" s="79" t="str">
        <f t="shared" si="1"/>
        <v>NOVO REPARTIMENTOSATELITE</v>
      </c>
      <c r="F243" s="81">
        <v>1.0</v>
      </c>
      <c r="G243" s="79" t="s">
        <v>128</v>
      </c>
      <c r="H243" s="81" t="str">
        <f t="array" ref="H243">XLOOKUP(B243,municipios,regiao!$D$6:$D$150,0)</f>
        <v>SIM</v>
      </c>
      <c r="I243" s="79" t="s">
        <v>717</v>
      </c>
      <c r="J243" s="82" t="s">
        <v>106</v>
      </c>
      <c r="K243" s="83">
        <v>4799.0</v>
      </c>
      <c r="L243" s="85">
        <f>K243/(1-pconfig!$G$2-pconfig!$G$3-pconfig!$G$4)</f>
        <v>9061.555891</v>
      </c>
      <c r="M243" s="83">
        <v>204.76</v>
      </c>
      <c r="N243" s="83">
        <f>M243/(1-pconfig!$G$2-pconfig!$G$3-pconfig!$G$4)</f>
        <v>386.6314199</v>
      </c>
      <c r="O243" s="83">
        <f>((K243*F243)+M243)/(1-pconfig!$G$2-pconfig!$G$3-pconfig!$G$4)</f>
        <v>9448.187311</v>
      </c>
      <c r="P243" s="86">
        <f>K243*F243/(1-pconfig!$G$2-pconfig!$G$3-pconfig!$G$4)</f>
        <v>9061.555891</v>
      </c>
      <c r="Q243" s="86">
        <f>IFS(F243&lt;=pconfig!$B$12,P243*pconfig!$C$12,F243&lt;=pconfig!$B$13,P243*pconfig!$C$13,F243&lt;=pconfig!$B$14,P243*pconfig!$C$14,F243&lt;=pconfig!$B$15,P243*pconfig!$C$15,F243&lt;=pconfig!$B$16,P243*pconfig!$C$16,F243&lt;=pconfig!$B$17,P243*pconfig!$C$17,F243&lt;=pconfig!$B$18,P243*pconfig!$C$18,F243&lt;=pconfig!$B$19,P243*pconfig!$C$19,F243&lt;=pconfig!$B$20,P243*pconfig!$C$20,F243&lt;=pconfig!$B$21,P243*pconfig!$C$21)</f>
        <v>9061.555891</v>
      </c>
      <c r="R243" s="87">
        <f t="shared" si="2"/>
        <v>9448.187311</v>
      </c>
    </row>
    <row r="244" ht="22.5" hidden="1" customHeight="1">
      <c r="A244" s="52">
        <f t="shared" si="3"/>
        <v>243</v>
      </c>
      <c r="B244" s="53" t="s">
        <v>896</v>
      </c>
      <c r="C244" s="53" t="s">
        <v>59</v>
      </c>
      <c r="D244" s="56" t="s">
        <v>60</v>
      </c>
      <c r="E244" s="53" t="str">
        <f t="shared" si="1"/>
        <v>NOVO REPARTIMENTORADIO</v>
      </c>
      <c r="F244" s="59">
        <v>1.0</v>
      </c>
      <c r="G244" s="53" t="s">
        <v>128</v>
      </c>
      <c r="H244" s="59" t="str">
        <f t="array" ref="H244">XLOOKUP(B244,municipios,regiao!$D$6:$D$150,0)</f>
        <v>SIM</v>
      </c>
      <c r="I244" s="53" t="s">
        <v>717</v>
      </c>
      <c r="J244" s="60" t="s">
        <v>133</v>
      </c>
      <c r="K244" s="61">
        <v>29.29</v>
      </c>
      <c r="L244" s="70">
        <f>K244/(1-pconfig!$G$2-pconfig!$G$3-pconfig!$G$4)</f>
        <v>55.30589124</v>
      </c>
      <c r="M244" s="61">
        <v>333.333333333333</v>
      </c>
      <c r="N244" s="61">
        <f>M244/(1-pconfig!$G$2-pconfig!$G$3-pconfig!$G$4)</f>
        <v>629.4058409</v>
      </c>
      <c r="O244" s="61">
        <f>((K244*F244)+M244)/(1-pconfig!$G$2-pconfig!$G$3-pconfig!$G$4)</f>
        <v>684.7117321</v>
      </c>
      <c r="P244" s="74">
        <f>K244*F244/(1-pconfig!$G$2-pconfig!$G$3-pconfig!$G$4)</f>
        <v>55.30589124</v>
      </c>
      <c r="Q244" s="74">
        <f>IFS(F244&lt;=pconfig!$B$12,P244*pconfig!$C$12,F244&lt;=pconfig!$B$13,P244*pconfig!$C$13,F244&lt;=pconfig!$B$14,P244*pconfig!$C$14,F244&lt;=pconfig!$B$15,P244*pconfig!$C$15,F244&lt;=pconfig!$B$16,P244*pconfig!$C$16,F244&lt;=pconfig!$B$17,P244*pconfig!$C$17,F244&lt;=pconfig!$B$18,P244*pconfig!$C$18,F244&lt;=pconfig!$B$19,P244*pconfig!$C$19,F244&lt;=pconfig!$B$20,P244*pconfig!$C$20,F244&lt;=pconfig!$B$21,P244*pconfig!$C$21)</f>
        <v>55.30589124</v>
      </c>
      <c r="R244" s="76">
        <f t="shared" si="2"/>
        <v>684.7117321</v>
      </c>
    </row>
    <row r="245" ht="22.5" hidden="1" customHeight="1">
      <c r="A245" s="78">
        <f t="shared" si="3"/>
        <v>244</v>
      </c>
      <c r="B245" s="79" t="s">
        <v>897</v>
      </c>
      <c r="C245" s="79" t="s">
        <v>50</v>
      </c>
      <c r="D245" s="80" t="s">
        <v>82</v>
      </c>
      <c r="E245" s="79" t="str">
        <f t="shared" si="1"/>
        <v>OBIDOSFIBRA</v>
      </c>
      <c r="F245" s="81">
        <v>1.0</v>
      </c>
      <c r="G245" s="79" t="s">
        <v>297</v>
      </c>
      <c r="H245" s="81" t="str">
        <f t="array" ref="H245">XLOOKUP(B245,municipios,regiao!$D$6:$D$150,0)</f>
        <v>SIM</v>
      </c>
      <c r="I245" s="79" t="s">
        <v>297</v>
      </c>
      <c r="J245" s="82" t="s">
        <v>337</v>
      </c>
      <c r="K245" s="83">
        <v>17.84</v>
      </c>
      <c r="L245" s="85">
        <f>K245/(1-pconfig!$G$2-pconfig!$G$3-pconfig!$G$4)</f>
        <v>33.6858006</v>
      </c>
      <c r="M245" s="83">
        <v>133.3</v>
      </c>
      <c r="N245" s="83">
        <f>M245/(1-pconfig!$G$2-pconfig!$G$3-pconfig!$G$4)</f>
        <v>251.6993958</v>
      </c>
      <c r="O245" s="83">
        <f>((K245*F245)+M245)/(1-pconfig!$G$2-pconfig!$G$3-pconfig!$G$4)</f>
        <v>285.3851964</v>
      </c>
      <c r="P245" s="86">
        <f>K245*F245/(1-pconfig!$G$2-pconfig!$G$3-pconfig!$G$4)</f>
        <v>33.6858006</v>
      </c>
      <c r="Q245" s="86">
        <f>IFS(F245&lt;=pconfig!$B$12,P245*pconfig!$C$12,F245&lt;=pconfig!$B$13,P245*pconfig!$C$13,F245&lt;=pconfig!$B$14,P245*pconfig!$C$14,F245&lt;=pconfig!$B$15,P245*pconfig!$C$15,F245&lt;=pconfig!$B$16,P245*pconfig!$C$16,F245&lt;=pconfig!$B$17,P245*pconfig!$C$17,F245&lt;=pconfig!$B$18,P245*pconfig!$C$18,F245&lt;=pconfig!$B$19,P245*pconfig!$C$19,F245&lt;=pconfig!$B$20,P245*pconfig!$C$20,F245&lt;=pconfig!$B$21,P245*pconfig!$C$21)</f>
        <v>33.6858006</v>
      </c>
      <c r="R245" s="87">
        <f t="shared" si="2"/>
        <v>285.3851964</v>
      </c>
    </row>
    <row r="246" ht="22.5" hidden="1" customHeight="1">
      <c r="A246" s="52">
        <f t="shared" si="3"/>
        <v>245</v>
      </c>
      <c r="B246" s="53" t="s">
        <v>897</v>
      </c>
      <c r="C246" s="53" t="s">
        <v>101</v>
      </c>
      <c r="D246" s="56" t="s">
        <v>102</v>
      </c>
      <c r="E246" s="53" t="str">
        <f t="shared" si="1"/>
        <v>OBIDOSSATELITE</v>
      </c>
      <c r="F246" s="59">
        <v>1.0</v>
      </c>
      <c r="G246" s="53" t="s">
        <v>297</v>
      </c>
      <c r="H246" s="59" t="str">
        <f t="array" ref="H246">XLOOKUP(B246,municipios,regiao!$D$6:$D$150,0)</f>
        <v>SIM</v>
      </c>
      <c r="I246" s="53" t="s">
        <v>297</v>
      </c>
      <c r="J246" s="60" t="s">
        <v>106</v>
      </c>
      <c r="K246" s="61">
        <v>4799.0</v>
      </c>
      <c r="L246" s="70">
        <f>K246/(1-pconfig!$G$2-pconfig!$G$3-pconfig!$G$4)</f>
        <v>9061.555891</v>
      </c>
      <c r="M246" s="61">
        <v>133.3</v>
      </c>
      <c r="N246" s="61">
        <f>M246/(1-pconfig!$G$2-pconfig!$G$3-pconfig!$G$4)</f>
        <v>251.6993958</v>
      </c>
      <c r="O246" s="61">
        <f>((K246*F246)+M246)/(1-pconfig!$G$2-pconfig!$G$3-pconfig!$G$4)</f>
        <v>9313.255287</v>
      </c>
      <c r="P246" s="74">
        <f>K246*F246/(1-pconfig!$G$2-pconfig!$G$3-pconfig!$G$4)</f>
        <v>9061.555891</v>
      </c>
      <c r="Q246" s="74">
        <f>IFS(F246&lt;=pconfig!$B$12,P246*pconfig!$C$12,F246&lt;=pconfig!$B$13,P246*pconfig!$C$13,F246&lt;=pconfig!$B$14,P246*pconfig!$C$14,F246&lt;=pconfig!$B$15,P246*pconfig!$C$15,F246&lt;=pconfig!$B$16,P246*pconfig!$C$16,F246&lt;=pconfig!$B$17,P246*pconfig!$C$17,F246&lt;=pconfig!$B$18,P246*pconfig!$C$18,F246&lt;=pconfig!$B$19,P246*pconfig!$C$19,F246&lt;=pconfig!$B$20,P246*pconfig!$C$20,F246&lt;=pconfig!$B$21,P246*pconfig!$C$21)</f>
        <v>9061.555891</v>
      </c>
      <c r="R246" s="76">
        <f t="shared" si="2"/>
        <v>9313.255287</v>
      </c>
    </row>
    <row r="247" ht="22.5" hidden="1" customHeight="1">
      <c r="A247" s="78">
        <f t="shared" si="3"/>
        <v>246</v>
      </c>
      <c r="B247" s="79" t="s">
        <v>897</v>
      </c>
      <c r="C247" s="79" t="s">
        <v>59</v>
      </c>
      <c r="D247" s="80" t="s">
        <v>60</v>
      </c>
      <c r="E247" s="79" t="str">
        <f t="shared" si="1"/>
        <v>OBIDOSRADIO</v>
      </c>
      <c r="F247" s="81">
        <v>1.0</v>
      </c>
      <c r="G247" s="79" t="s">
        <v>297</v>
      </c>
      <c r="H247" s="81" t="str">
        <f t="array" ref="H247">XLOOKUP(B247,municipios,regiao!$D$6:$D$150,0)</f>
        <v>SIM</v>
      </c>
      <c r="I247" s="79" t="s">
        <v>297</v>
      </c>
      <c r="J247" s="82" t="s">
        <v>337</v>
      </c>
      <c r="K247" s="83">
        <v>17.84</v>
      </c>
      <c r="L247" s="85">
        <f>K247/(1-pconfig!$G$2-pconfig!$G$3-pconfig!$G$4)</f>
        <v>33.6858006</v>
      </c>
      <c r="M247" s="83">
        <v>166.666666666667</v>
      </c>
      <c r="N247" s="83">
        <f>M247/(1-pconfig!$G$2-pconfig!$G$3-pconfig!$G$4)</f>
        <v>314.7029204</v>
      </c>
      <c r="O247" s="83">
        <f>((K247*F247)+M247)/(1-pconfig!$G$2-pconfig!$G$3-pconfig!$G$4)</f>
        <v>348.388721</v>
      </c>
      <c r="P247" s="86">
        <f>K247*F247/(1-pconfig!$G$2-pconfig!$G$3-pconfig!$G$4)</f>
        <v>33.6858006</v>
      </c>
      <c r="Q247" s="86">
        <f>IFS(F247&lt;=pconfig!$B$12,P247*pconfig!$C$12,F247&lt;=pconfig!$B$13,P247*pconfig!$C$13,F247&lt;=pconfig!$B$14,P247*pconfig!$C$14,F247&lt;=pconfig!$B$15,P247*pconfig!$C$15,F247&lt;=pconfig!$B$16,P247*pconfig!$C$16,F247&lt;=pconfig!$B$17,P247*pconfig!$C$17,F247&lt;=pconfig!$B$18,P247*pconfig!$C$18,F247&lt;=pconfig!$B$19,P247*pconfig!$C$19,F247&lt;=pconfig!$B$20,P247*pconfig!$C$20,F247&lt;=pconfig!$B$21,P247*pconfig!$C$21)</f>
        <v>33.6858006</v>
      </c>
      <c r="R247" s="87">
        <f t="shared" si="2"/>
        <v>348.388721</v>
      </c>
    </row>
    <row r="248" ht="22.5" hidden="1" customHeight="1">
      <c r="A248" s="52">
        <f t="shared" si="3"/>
        <v>247</v>
      </c>
      <c r="B248" s="53" t="s">
        <v>898</v>
      </c>
      <c r="C248" s="53" t="s">
        <v>59</v>
      </c>
      <c r="D248" s="56" t="s">
        <v>60</v>
      </c>
      <c r="E248" s="53" t="str">
        <f t="shared" si="1"/>
        <v>OEIRAS DO PARARADIO</v>
      </c>
      <c r="F248" s="59">
        <v>1.0</v>
      </c>
      <c r="G248" s="53" t="s">
        <v>61</v>
      </c>
      <c r="H248" s="59" t="str">
        <f t="array" ref="H248">XLOOKUP(B248,municipios,regiao!$D$6:$D$150,0)</f>
        <v>SIM</v>
      </c>
      <c r="I248" s="53" t="s">
        <v>63</v>
      </c>
      <c r="J248" s="60" t="s">
        <v>259</v>
      </c>
      <c r="K248" s="61">
        <v>35.73</v>
      </c>
      <c r="L248" s="70">
        <f>K248/(1-pconfig!$G$2-pconfig!$G$3-pconfig!$G$4)</f>
        <v>67.46601208</v>
      </c>
      <c r="M248" s="61">
        <v>106.693333333333</v>
      </c>
      <c r="N248" s="61">
        <f>M248/(1-pconfig!$G$2-pconfig!$G$3-pconfig!$G$4)</f>
        <v>201.4602216</v>
      </c>
      <c r="O248" s="61">
        <f>((K248*F248)+M248)/(1-pconfig!$G$2-pconfig!$G$3-pconfig!$G$4)</f>
        <v>268.9262336</v>
      </c>
      <c r="P248" s="74">
        <f>K248*F248/(1-pconfig!$G$2-pconfig!$G$3-pconfig!$G$4)</f>
        <v>67.46601208</v>
      </c>
      <c r="Q248" s="74">
        <f>IFS(F248&lt;=pconfig!$B$12,P248*pconfig!$C$12,F248&lt;=pconfig!$B$13,P248*pconfig!$C$13,F248&lt;=pconfig!$B$14,P248*pconfig!$C$14,F248&lt;=pconfig!$B$15,P248*pconfig!$C$15,F248&lt;=pconfig!$B$16,P248*pconfig!$C$16,F248&lt;=pconfig!$B$17,P248*pconfig!$C$17,F248&lt;=pconfig!$B$18,P248*pconfig!$C$18,F248&lt;=pconfig!$B$19,P248*pconfig!$C$19,F248&lt;=pconfig!$B$20,P248*pconfig!$C$20,F248&lt;=pconfig!$B$21,P248*pconfig!$C$21)</f>
        <v>67.46601208</v>
      </c>
      <c r="R248" s="76">
        <f t="shared" si="2"/>
        <v>268.9262336</v>
      </c>
    </row>
    <row r="249" ht="22.5" hidden="1" customHeight="1">
      <c r="A249" s="78">
        <f t="shared" si="3"/>
        <v>248</v>
      </c>
      <c r="B249" s="79" t="s">
        <v>898</v>
      </c>
      <c r="C249" s="79" t="s">
        <v>50</v>
      </c>
      <c r="D249" s="80" t="s">
        <v>82</v>
      </c>
      <c r="E249" s="79" t="str">
        <f t="shared" si="1"/>
        <v>OEIRAS DO PARAFIBRA</v>
      </c>
      <c r="F249" s="81">
        <v>1.0</v>
      </c>
      <c r="G249" s="79" t="s">
        <v>61</v>
      </c>
      <c r="H249" s="81" t="str">
        <f t="array" ref="H249">XLOOKUP(B249,municipios,regiao!$D$6:$D$150,0)</f>
        <v>SIM</v>
      </c>
      <c r="I249" s="79" t="s">
        <v>63</v>
      </c>
      <c r="J249" s="82" t="s">
        <v>259</v>
      </c>
      <c r="K249" s="83">
        <v>35.73</v>
      </c>
      <c r="L249" s="85">
        <f>K249/(1-pconfig!$G$2-pconfig!$G$3-pconfig!$G$4)</f>
        <v>67.46601208</v>
      </c>
      <c r="M249" s="83">
        <v>314.77</v>
      </c>
      <c r="N249" s="83">
        <f>M249/(1-pconfig!$G$2-pconfig!$G$3-pconfig!$G$4)</f>
        <v>594.3542296</v>
      </c>
      <c r="O249" s="83">
        <f>((K249*F249)+M249)/(1-pconfig!$G$2-pconfig!$G$3-pconfig!$G$4)</f>
        <v>661.8202417</v>
      </c>
      <c r="P249" s="86">
        <f>K249*F249/(1-pconfig!$G$2-pconfig!$G$3-pconfig!$G$4)</f>
        <v>67.46601208</v>
      </c>
      <c r="Q249" s="86">
        <f>IFS(F249&lt;=pconfig!$B$12,P249*pconfig!$C$12,F249&lt;=pconfig!$B$13,P249*pconfig!$C$13,F249&lt;=pconfig!$B$14,P249*pconfig!$C$14,F249&lt;=pconfig!$B$15,P249*pconfig!$C$15,F249&lt;=pconfig!$B$16,P249*pconfig!$C$16,F249&lt;=pconfig!$B$17,P249*pconfig!$C$17,F249&lt;=pconfig!$B$18,P249*pconfig!$C$18,F249&lt;=pconfig!$B$19,P249*pconfig!$C$19,F249&lt;=pconfig!$B$20,P249*pconfig!$C$20,F249&lt;=pconfig!$B$21,P249*pconfig!$C$21)</f>
        <v>67.46601208</v>
      </c>
      <c r="R249" s="87">
        <f t="shared" si="2"/>
        <v>661.8202417</v>
      </c>
    </row>
    <row r="250" ht="22.5" hidden="1" customHeight="1">
      <c r="A250" s="52">
        <f t="shared" si="3"/>
        <v>249</v>
      </c>
      <c r="B250" s="53" t="s">
        <v>898</v>
      </c>
      <c r="C250" s="53" t="s">
        <v>101</v>
      </c>
      <c r="D250" s="56" t="s">
        <v>102</v>
      </c>
      <c r="E250" s="53" t="str">
        <f t="shared" si="1"/>
        <v>OEIRAS DO PARASATELITE</v>
      </c>
      <c r="F250" s="59">
        <v>1.0</v>
      </c>
      <c r="G250" s="53" t="s">
        <v>61</v>
      </c>
      <c r="H250" s="59" t="str">
        <f t="array" ref="H250">XLOOKUP(B250,municipios,regiao!$D$6:$D$150,0)</f>
        <v>SIM</v>
      </c>
      <c r="I250" s="53" t="s">
        <v>63</v>
      </c>
      <c r="J250" s="60" t="s">
        <v>106</v>
      </c>
      <c r="K250" s="61">
        <v>4799.0</v>
      </c>
      <c r="L250" s="70">
        <f>K250/(1-pconfig!$G$2-pconfig!$G$3-pconfig!$G$4)</f>
        <v>9061.555891</v>
      </c>
      <c r="M250" s="61">
        <v>314.77</v>
      </c>
      <c r="N250" s="61">
        <f>M250/(1-pconfig!$G$2-pconfig!$G$3-pconfig!$G$4)</f>
        <v>594.3542296</v>
      </c>
      <c r="O250" s="61">
        <f>((K250*F250)+M250)/(1-pconfig!$G$2-pconfig!$G$3-pconfig!$G$4)</f>
        <v>9655.910121</v>
      </c>
      <c r="P250" s="74">
        <f>K250*F250/(1-pconfig!$G$2-pconfig!$G$3-pconfig!$G$4)</f>
        <v>9061.555891</v>
      </c>
      <c r="Q250" s="74">
        <f>IFS(F250&lt;=pconfig!$B$12,P250*pconfig!$C$12,F250&lt;=pconfig!$B$13,P250*pconfig!$C$13,F250&lt;=pconfig!$B$14,P250*pconfig!$C$14,F250&lt;=pconfig!$B$15,P250*pconfig!$C$15,F250&lt;=pconfig!$B$16,P250*pconfig!$C$16,F250&lt;=pconfig!$B$17,P250*pconfig!$C$17,F250&lt;=pconfig!$B$18,P250*pconfig!$C$18,F250&lt;=pconfig!$B$19,P250*pconfig!$C$19,F250&lt;=pconfig!$B$20,P250*pconfig!$C$20,F250&lt;=pconfig!$B$21,P250*pconfig!$C$21)</f>
        <v>9061.555891</v>
      </c>
      <c r="R250" s="76">
        <f t="shared" si="2"/>
        <v>9655.910121</v>
      </c>
    </row>
    <row r="251" ht="22.5" hidden="1" customHeight="1">
      <c r="A251" s="78">
        <f t="shared" si="3"/>
        <v>250</v>
      </c>
      <c r="B251" s="79" t="s">
        <v>899</v>
      </c>
      <c r="C251" s="79" t="s">
        <v>50</v>
      </c>
      <c r="D251" s="80" t="s">
        <v>82</v>
      </c>
      <c r="E251" s="79" t="str">
        <f t="shared" si="1"/>
        <v>ORIXIMINAFIBRA</v>
      </c>
      <c r="F251" s="382">
        <v>1.0</v>
      </c>
      <c r="G251" s="79" t="s">
        <v>297</v>
      </c>
      <c r="H251" s="81" t="str">
        <f t="array" ref="H251">XLOOKUP(B251,municipios,regiao!$D$6:$D$150,0)</f>
        <v>SIM</v>
      </c>
      <c r="I251" s="79" t="s">
        <v>297</v>
      </c>
      <c r="J251" s="82" t="s">
        <v>337</v>
      </c>
      <c r="K251" s="83">
        <v>17.84</v>
      </c>
      <c r="L251" s="85">
        <f>K251/(1-pconfig!$G$2-pconfig!$G$3-pconfig!$G$4)</f>
        <v>33.6858006</v>
      </c>
      <c r="M251" s="83">
        <v>133.3</v>
      </c>
      <c r="N251" s="83">
        <f>M251/(1-pconfig!$G$2-pconfig!$G$3-pconfig!$G$4)</f>
        <v>251.6993958</v>
      </c>
      <c r="O251" s="83">
        <f>((K251*F251)+M251)/(1-pconfig!$G$2-pconfig!$G$3-pconfig!$G$4)</f>
        <v>285.3851964</v>
      </c>
      <c r="P251" s="86">
        <f>K251*F251/(1-pconfig!$G$2-pconfig!$G$3-pconfig!$G$4)</f>
        <v>33.6858006</v>
      </c>
      <c r="Q251" s="86">
        <f>IFS(F251&lt;=pconfig!$B$12,P251*pconfig!$C$12,F251&lt;=pconfig!$B$13,P251*pconfig!$C$13,F251&lt;=pconfig!$B$14,P251*pconfig!$C$14,F251&lt;=pconfig!$B$15,P251*pconfig!$C$15,F251&lt;=pconfig!$B$16,P251*pconfig!$C$16,F251&lt;=pconfig!$B$17,P251*pconfig!$C$17,F251&lt;=pconfig!$B$18,P251*pconfig!$C$18,F251&lt;=pconfig!$B$19,P251*pconfig!$C$19,F251&lt;=pconfig!$B$20,P251*pconfig!$C$20,F251&lt;=pconfig!$B$21,P251*pconfig!$C$21)</f>
        <v>33.6858006</v>
      </c>
      <c r="R251" s="87">
        <f t="shared" si="2"/>
        <v>285.3851964</v>
      </c>
    </row>
    <row r="252" ht="22.5" hidden="1" customHeight="1">
      <c r="A252" s="52">
        <f t="shared" si="3"/>
        <v>251</v>
      </c>
      <c r="B252" s="53" t="s">
        <v>899</v>
      </c>
      <c r="C252" s="53" t="s">
        <v>101</v>
      </c>
      <c r="D252" s="56" t="s">
        <v>102</v>
      </c>
      <c r="E252" s="53" t="str">
        <f t="shared" si="1"/>
        <v>ORIXIMINASATELITE</v>
      </c>
      <c r="F252" s="59">
        <v>1.0</v>
      </c>
      <c r="G252" s="53" t="s">
        <v>297</v>
      </c>
      <c r="H252" s="59" t="str">
        <f t="array" ref="H252">XLOOKUP(B252,municipios,regiao!$D$6:$D$150,0)</f>
        <v>SIM</v>
      </c>
      <c r="I252" s="53" t="s">
        <v>297</v>
      </c>
      <c r="J252" s="60" t="s">
        <v>106</v>
      </c>
      <c r="K252" s="61">
        <v>4799.0</v>
      </c>
      <c r="L252" s="70">
        <f>K252/(1-pconfig!$G$2-pconfig!$G$3-pconfig!$G$4)</f>
        <v>9061.555891</v>
      </c>
      <c r="M252" s="61">
        <v>133.3</v>
      </c>
      <c r="N252" s="61">
        <f>M252/(1-pconfig!$G$2-pconfig!$G$3-pconfig!$G$4)</f>
        <v>251.6993958</v>
      </c>
      <c r="O252" s="61">
        <f>((K252*F252)+M252)/(1-pconfig!$G$2-pconfig!$G$3-pconfig!$G$4)</f>
        <v>9313.255287</v>
      </c>
      <c r="P252" s="74">
        <f>K252*F252/(1-pconfig!$G$2-pconfig!$G$3-pconfig!$G$4)</f>
        <v>9061.555891</v>
      </c>
      <c r="Q252" s="74">
        <f>IFS(F252&lt;=pconfig!$B$12,P252*pconfig!$C$12,F252&lt;=pconfig!$B$13,P252*pconfig!$C$13,F252&lt;=pconfig!$B$14,P252*pconfig!$C$14,F252&lt;=pconfig!$B$15,P252*pconfig!$C$15,F252&lt;=pconfig!$B$16,P252*pconfig!$C$16,F252&lt;=pconfig!$B$17,P252*pconfig!$C$17,F252&lt;=pconfig!$B$18,P252*pconfig!$C$18,F252&lt;=pconfig!$B$19,P252*pconfig!$C$19,F252&lt;=pconfig!$B$20,P252*pconfig!$C$20,F252&lt;=pconfig!$B$21,P252*pconfig!$C$21)</f>
        <v>9061.555891</v>
      </c>
      <c r="R252" s="76">
        <f t="shared" si="2"/>
        <v>9313.255287</v>
      </c>
    </row>
    <row r="253" ht="22.5" hidden="1" customHeight="1">
      <c r="A253" s="78">
        <f t="shared" si="3"/>
        <v>252</v>
      </c>
      <c r="B253" s="79" t="s">
        <v>899</v>
      </c>
      <c r="C253" s="79" t="s">
        <v>59</v>
      </c>
      <c r="D253" s="80" t="s">
        <v>60</v>
      </c>
      <c r="E253" s="79" t="str">
        <f t="shared" si="1"/>
        <v>ORIXIMINARADIO</v>
      </c>
      <c r="F253" s="81">
        <v>1.0</v>
      </c>
      <c r="G253" s="79" t="s">
        <v>297</v>
      </c>
      <c r="H253" s="81" t="str">
        <f t="array" ref="H253">XLOOKUP(B253,municipios,regiao!$D$6:$D$150,0)</f>
        <v>SIM</v>
      </c>
      <c r="I253" s="79" t="s">
        <v>297</v>
      </c>
      <c r="J253" s="82" t="s">
        <v>337</v>
      </c>
      <c r="K253" s="83">
        <v>17.84</v>
      </c>
      <c r="L253" s="85">
        <f>K253/(1-pconfig!$G$2-pconfig!$G$3-pconfig!$G$4)</f>
        <v>33.6858006</v>
      </c>
      <c r="M253" s="83">
        <v>166.666666666667</v>
      </c>
      <c r="N253" s="83">
        <f>M253/(1-pconfig!$G$2-pconfig!$G$3-pconfig!$G$4)</f>
        <v>314.7029204</v>
      </c>
      <c r="O253" s="83">
        <f>((K253*F253)+M253)/(1-pconfig!$G$2-pconfig!$G$3-pconfig!$G$4)</f>
        <v>348.388721</v>
      </c>
      <c r="P253" s="86">
        <f>K253*F253/(1-pconfig!$G$2-pconfig!$G$3-pconfig!$G$4)</f>
        <v>33.6858006</v>
      </c>
      <c r="Q253" s="86">
        <f>IFS(F253&lt;=pconfig!$B$12,P253*pconfig!$C$12,F253&lt;=pconfig!$B$13,P253*pconfig!$C$13,F253&lt;=pconfig!$B$14,P253*pconfig!$C$14,F253&lt;=pconfig!$B$15,P253*pconfig!$C$15,F253&lt;=pconfig!$B$16,P253*pconfig!$C$16,F253&lt;=pconfig!$B$17,P253*pconfig!$C$17,F253&lt;=pconfig!$B$18,P253*pconfig!$C$18,F253&lt;=pconfig!$B$19,P253*pconfig!$C$19,F253&lt;=pconfig!$B$20,P253*pconfig!$C$20,F253&lt;=pconfig!$B$21,P253*pconfig!$C$21)</f>
        <v>33.6858006</v>
      </c>
      <c r="R253" s="87">
        <f t="shared" si="2"/>
        <v>348.388721</v>
      </c>
    </row>
    <row r="254" ht="22.5" hidden="1" customHeight="1">
      <c r="A254" s="52">
        <f t="shared" si="3"/>
        <v>253</v>
      </c>
      <c r="B254" s="53" t="s">
        <v>900</v>
      </c>
      <c r="C254" s="53" t="s">
        <v>50</v>
      </c>
      <c r="D254" s="56" t="s">
        <v>82</v>
      </c>
      <c r="E254" s="53" t="str">
        <f t="shared" si="1"/>
        <v>OUREMFIBRA</v>
      </c>
      <c r="F254" s="59">
        <v>1.0</v>
      </c>
      <c r="G254" s="53" t="s">
        <v>61</v>
      </c>
      <c r="H254" s="59" t="str">
        <f t="array" ref="H254">XLOOKUP(B254,municipios,regiao!$D$6:$D$150,0)</f>
        <v>SIM</v>
      </c>
      <c r="I254" s="53" t="s">
        <v>132</v>
      </c>
      <c r="J254" s="60" t="s">
        <v>624</v>
      </c>
      <c r="K254" s="61">
        <v>24.41</v>
      </c>
      <c r="L254" s="70">
        <f>K254/(1-pconfig!$G$2-pconfig!$G$3-pconfig!$G$4)</f>
        <v>46.09138973</v>
      </c>
      <c r="M254" s="61">
        <v>63.39</v>
      </c>
      <c r="N254" s="61">
        <f>M254/(1-pconfig!$G$2-pconfig!$G$3-pconfig!$G$4)</f>
        <v>119.6941088</v>
      </c>
      <c r="O254" s="61">
        <f>((K254*F254)+M254)/(1-pconfig!$G$2-pconfig!$G$3-pconfig!$G$4)</f>
        <v>165.7854985</v>
      </c>
      <c r="P254" s="74">
        <f>K254*F254/(1-pconfig!$G$2-pconfig!$G$3-pconfig!$G$4)</f>
        <v>46.09138973</v>
      </c>
      <c r="Q254" s="74">
        <f>IFS(F254&lt;=pconfig!$B$12,P254*pconfig!$C$12,F254&lt;=pconfig!$B$13,P254*pconfig!$C$13,F254&lt;=pconfig!$B$14,P254*pconfig!$C$14,F254&lt;=pconfig!$B$15,P254*pconfig!$C$15,F254&lt;=pconfig!$B$16,P254*pconfig!$C$16,F254&lt;=pconfig!$B$17,P254*pconfig!$C$17,F254&lt;=pconfig!$B$18,P254*pconfig!$C$18,F254&lt;=pconfig!$B$19,P254*pconfig!$C$19,F254&lt;=pconfig!$B$20,P254*pconfig!$C$20,F254&lt;=pconfig!$B$21,P254*pconfig!$C$21)</f>
        <v>46.09138973</v>
      </c>
      <c r="R254" s="76">
        <f t="shared" si="2"/>
        <v>165.7854985</v>
      </c>
    </row>
    <row r="255" ht="22.5" hidden="1" customHeight="1">
      <c r="A255" s="78">
        <f t="shared" si="3"/>
        <v>254</v>
      </c>
      <c r="B255" s="79" t="s">
        <v>900</v>
      </c>
      <c r="C255" s="79" t="s">
        <v>101</v>
      </c>
      <c r="D255" s="80" t="s">
        <v>102</v>
      </c>
      <c r="E255" s="79" t="str">
        <f t="shared" si="1"/>
        <v>OUREMSATELITE</v>
      </c>
      <c r="F255" s="81">
        <v>1.0</v>
      </c>
      <c r="G255" s="79" t="s">
        <v>61</v>
      </c>
      <c r="H255" s="81" t="str">
        <f t="array" ref="H255">XLOOKUP(B255,municipios,regiao!$D$6:$D$150,0)</f>
        <v>SIM</v>
      </c>
      <c r="I255" s="79" t="s">
        <v>132</v>
      </c>
      <c r="J255" s="82" t="s">
        <v>106</v>
      </c>
      <c r="K255" s="83">
        <v>4799.0</v>
      </c>
      <c r="L255" s="85">
        <f>K255/(1-pconfig!$G$2-pconfig!$G$3-pconfig!$G$4)</f>
        <v>9061.555891</v>
      </c>
      <c r="M255" s="83">
        <v>63.39</v>
      </c>
      <c r="N255" s="83">
        <f>M255/(1-pconfig!$G$2-pconfig!$G$3-pconfig!$G$4)</f>
        <v>119.6941088</v>
      </c>
      <c r="O255" s="83">
        <f>((K255*F255)+M255)/(1-pconfig!$G$2-pconfig!$G$3-pconfig!$G$4)</f>
        <v>9181.25</v>
      </c>
      <c r="P255" s="86">
        <f>K255*F255/(1-pconfig!$G$2-pconfig!$G$3-pconfig!$G$4)</f>
        <v>9061.555891</v>
      </c>
      <c r="Q255" s="86">
        <f>IFS(F255&lt;=pconfig!$B$12,P255*pconfig!$C$12,F255&lt;=pconfig!$B$13,P255*pconfig!$C$13,F255&lt;=pconfig!$B$14,P255*pconfig!$C$14,F255&lt;=pconfig!$B$15,P255*pconfig!$C$15,F255&lt;=pconfig!$B$16,P255*pconfig!$C$16,F255&lt;=pconfig!$B$17,P255*pconfig!$C$17,F255&lt;=pconfig!$B$18,P255*pconfig!$C$18,F255&lt;=pconfig!$B$19,P255*pconfig!$C$19,F255&lt;=pconfig!$B$20,P255*pconfig!$C$20,F255&lt;=pconfig!$B$21,P255*pconfig!$C$21)</f>
        <v>9061.555891</v>
      </c>
      <c r="R255" s="87">
        <f t="shared" si="2"/>
        <v>9181.25</v>
      </c>
    </row>
    <row r="256" ht="22.5" hidden="1" customHeight="1">
      <c r="A256" s="52">
        <f t="shared" si="3"/>
        <v>255</v>
      </c>
      <c r="B256" s="53" t="s">
        <v>900</v>
      </c>
      <c r="C256" s="53" t="s">
        <v>59</v>
      </c>
      <c r="D256" s="56" t="s">
        <v>60</v>
      </c>
      <c r="E256" s="53" t="str">
        <f t="shared" si="1"/>
        <v>OUREMRADIO</v>
      </c>
      <c r="F256" s="59">
        <v>1.0</v>
      </c>
      <c r="G256" s="53" t="s">
        <v>61</v>
      </c>
      <c r="H256" s="59" t="str">
        <f t="array" ref="H256">XLOOKUP(B256,municipios,regiao!$D$6:$D$150,0)</f>
        <v>SIM</v>
      </c>
      <c r="I256" s="53" t="s">
        <v>132</v>
      </c>
      <c r="J256" s="60" t="s">
        <v>624</v>
      </c>
      <c r="K256" s="61">
        <v>24.41</v>
      </c>
      <c r="L256" s="70">
        <f>K256/(1-pconfig!$G$2-pconfig!$G$3-pconfig!$G$4)</f>
        <v>46.09138973</v>
      </c>
      <c r="M256" s="61">
        <v>137.604166666667</v>
      </c>
      <c r="N256" s="61">
        <f>M256/(1-pconfig!$G$2-pconfig!$G$3-pconfig!$G$4)</f>
        <v>259.8265987</v>
      </c>
      <c r="O256" s="61">
        <f>((K256*F256)+M256)/(1-pconfig!$G$2-pconfig!$G$3-pconfig!$G$4)</f>
        <v>305.9179884</v>
      </c>
      <c r="P256" s="74">
        <f>K256*F256/(1-pconfig!$G$2-pconfig!$G$3-pconfig!$G$4)</f>
        <v>46.09138973</v>
      </c>
      <c r="Q256" s="74">
        <f>IFS(F256&lt;=pconfig!$B$12,P256*pconfig!$C$12,F256&lt;=pconfig!$B$13,P256*pconfig!$C$13,F256&lt;=pconfig!$B$14,P256*pconfig!$C$14,F256&lt;=pconfig!$B$15,P256*pconfig!$C$15,F256&lt;=pconfig!$B$16,P256*pconfig!$C$16,F256&lt;=pconfig!$B$17,P256*pconfig!$C$17,F256&lt;=pconfig!$B$18,P256*pconfig!$C$18,F256&lt;=pconfig!$B$19,P256*pconfig!$C$19,F256&lt;=pconfig!$B$20,P256*pconfig!$C$20,F256&lt;=pconfig!$B$21,P256*pconfig!$C$21)</f>
        <v>46.09138973</v>
      </c>
      <c r="R256" s="76">
        <f t="shared" si="2"/>
        <v>305.9179884</v>
      </c>
    </row>
    <row r="257" ht="22.5" hidden="1" customHeight="1">
      <c r="A257" s="78">
        <f t="shared" si="3"/>
        <v>256</v>
      </c>
      <c r="B257" s="79" t="s">
        <v>901</v>
      </c>
      <c r="C257" s="79" t="s">
        <v>59</v>
      </c>
      <c r="D257" s="80" t="s">
        <v>60</v>
      </c>
      <c r="E257" s="79" t="str">
        <f t="shared" si="1"/>
        <v>OURILANDIA DO NORTERADIO</v>
      </c>
      <c r="F257" s="81">
        <v>1.0</v>
      </c>
      <c r="G257" s="79" t="s">
        <v>128</v>
      </c>
      <c r="H257" s="81" t="str">
        <f t="array" ref="H257">XLOOKUP(B257,municipios,regiao!$D$6:$D$150,0)</f>
        <v>NÃO</v>
      </c>
      <c r="I257" s="79" t="s">
        <v>280</v>
      </c>
      <c r="J257" s="82" t="s">
        <v>133</v>
      </c>
      <c r="K257" s="83">
        <v>29.29</v>
      </c>
      <c r="L257" s="85">
        <f>K257/(1-pconfig!$G$2-pconfig!$G$3-pconfig!$G$4)</f>
        <v>55.30589124</v>
      </c>
      <c r="M257" s="83">
        <v>336.074166666667</v>
      </c>
      <c r="N257" s="83">
        <f>M257/(1-pconfig!$G$2-pconfig!$G$3-pconfig!$G$4)</f>
        <v>634.5811304</v>
      </c>
      <c r="O257" s="83">
        <f>((K257*F257)+M257)/(1-pconfig!$G$2-pconfig!$G$3-pconfig!$G$4)</f>
        <v>689.8870217</v>
      </c>
      <c r="P257" s="86">
        <f>K257*F257/(1-pconfig!$G$2-pconfig!$G$3-pconfig!$G$4)</f>
        <v>55.30589124</v>
      </c>
      <c r="Q257" s="86">
        <f>IFS(F257&lt;=pconfig!$B$12,P257*pconfig!$C$12,F257&lt;=pconfig!$B$13,P257*pconfig!$C$13,F257&lt;=pconfig!$B$14,P257*pconfig!$C$14,F257&lt;=pconfig!$B$15,P257*pconfig!$C$15,F257&lt;=pconfig!$B$16,P257*pconfig!$C$16,F257&lt;=pconfig!$B$17,P257*pconfig!$C$17,F257&lt;=pconfig!$B$18,P257*pconfig!$C$18,F257&lt;=pconfig!$B$19,P257*pconfig!$C$19,F257&lt;=pconfig!$B$20,P257*pconfig!$C$20,F257&lt;=pconfig!$B$21,P257*pconfig!$C$21)</f>
        <v>55.30589124</v>
      </c>
      <c r="R257" s="87">
        <f t="shared" si="2"/>
        <v>689.8870217</v>
      </c>
    </row>
    <row r="258" ht="22.5" hidden="1" customHeight="1">
      <c r="A258" s="52">
        <f t="shared" si="3"/>
        <v>257</v>
      </c>
      <c r="B258" s="53" t="s">
        <v>901</v>
      </c>
      <c r="C258" s="53" t="s">
        <v>101</v>
      </c>
      <c r="D258" s="56" t="s">
        <v>102</v>
      </c>
      <c r="E258" s="53" t="str">
        <f t="shared" si="1"/>
        <v>OURILANDIA DO NORTESATELITE</v>
      </c>
      <c r="F258" s="59">
        <v>1.0</v>
      </c>
      <c r="G258" s="53" t="s">
        <v>128</v>
      </c>
      <c r="H258" s="59" t="str">
        <f t="array" ref="H258">XLOOKUP(B258,municipios,regiao!$D$6:$D$150,0)</f>
        <v>NÃO</v>
      </c>
      <c r="I258" s="53" t="s">
        <v>280</v>
      </c>
      <c r="J258" s="60" t="s">
        <v>106</v>
      </c>
      <c r="K258" s="61">
        <v>4799.0</v>
      </c>
      <c r="L258" s="70">
        <f>K258/(1-pconfig!$G$2-pconfig!$G$3-pconfig!$G$4)</f>
        <v>9061.555891</v>
      </c>
      <c r="M258" s="61">
        <v>447.5</v>
      </c>
      <c r="N258" s="61">
        <f>M258/(1-pconfig!$G$2-pconfig!$G$3-pconfig!$G$4)</f>
        <v>844.9773414</v>
      </c>
      <c r="O258" s="61">
        <f>((K258*F258)+M258)/(1-pconfig!$G$2-pconfig!$G$3-pconfig!$G$4)</f>
        <v>9906.533233</v>
      </c>
      <c r="P258" s="74">
        <f>K258*F258/(1-pconfig!$G$2-pconfig!$G$3-pconfig!$G$4)</f>
        <v>9061.555891</v>
      </c>
      <c r="Q258" s="74">
        <f>IFS(F258&lt;=pconfig!$B$12,P258*pconfig!$C$12,F258&lt;=pconfig!$B$13,P258*pconfig!$C$13,F258&lt;=pconfig!$B$14,P258*pconfig!$C$14,F258&lt;=pconfig!$B$15,P258*pconfig!$C$15,F258&lt;=pconfig!$B$16,P258*pconfig!$C$16,F258&lt;=pconfig!$B$17,P258*pconfig!$C$17,F258&lt;=pconfig!$B$18,P258*pconfig!$C$18,F258&lt;=pconfig!$B$19,P258*pconfig!$C$19,F258&lt;=pconfig!$B$20,P258*pconfig!$C$20,F258&lt;=pconfig!$B$21,P258*pconfig!$C$21)</f>
        <v>9061.555891</v>
      </c>
      <c r="R258" s="76">
        <f t="shared" si="2"/>
        <v>9906.533233</v>
      </c>
    </row>
    <row r="259" ht="22.5" hidden="1" customHeight="1">
      <c r="A259" s="78">
        <f t="shared" si="3"/>
        <v>258</v>
      </c>
      <c r="B259" s="79" t="s">
        <v>959</v>
      </c>
      <c r="C259" s="79" t="s">
        <v>50</v>
      </c>
      <c r="D259" s="80" t="s">
        <v>82</v>
      </c>
      <c r="E259" s="79" t="str">
        <f t="shared" si="1"/>
        <v>OURILÂNDIA DO NORTEFIBRA</v>
      </c>
      <c r="F259" s="81">
        <v>1.0</v>
      </c>
      <c r="G259" s="79" t="s">
        <v>128</v>
      </c>
      <c r="H259" s="81">
        <f t="array" ref="H259">XLOOKUP(B259,municipios,regiao!$D$6:$D$150,0)</f>
        <v>0</v>
      </c>
      <c r="I259" s="79" t="s">
        <v>280</v>
      </c>
      <c r="J259" s="82" t="s">
        <v>133</v>
      </c>
      <c r="K259" s="83">
        <v>29.29</v>
      </c>
      <c r="L259" s="85">
        <f>K259/(1-pconfig!$G$2-pconfig!$G$3-pconfig!$G$4)</f>
        <v>55.30589124</v>
      </c>
      <c r="M259" s="83">
        <v>447.5</v>
      </c>
      <c r="N259" s="83">
        <f>M259/(1-pconfig!$G$2-pconfig!$G$3-pconfig!$G$4)</f>
        <v>844.9773414</v>
      </c>
      <c r="O259" s="83">
        <f>((K259*F259)+M259)/(1-pconfig!$G$2-pconfig!$G$3-pconfig!$G$4)</f>
        <v>900.2832326</v>
      </c>
      <c r="P259" s="86">
        <f>K259*F259/(1-pconfig!$G$2-pconfig!$G$3-pconfig!$G$4)</f>
        <v>55.30589124</v>
      </c>
      <c r="Q259" s="86">
        <f>IFS(F259&lt;=pconfig!$B$12,P259*pconfig!$C$12,F259&lt;=pconfig!$B$13,P259*pconfig!$C$13,F259&lt;=pconfig!$B$14,P259*pconfig!$C$14,F259&lt;=pconfig!$B$15,P259*pconfig!$C$15,F259&lt;=pconfig!$B$16,P259*pconfig!$C$16,F259&lt;=pconfig!$B$17,P259*pconfig!$C$17,F259&lt;=pconfig!$B$18,P259*pconfig!$C$18,F259&lt;=pconfig!$B$19,P259*pconfig!$C$19,F259&lt;=pconfig!$B$20,P259*pconfig!$C$20,F259&lt;=pconfig!$B$21,P259*pconfig!$C$21)</f>
        <v>55.30589124</v>
      </c>
      <c r="R259" s="87">
        <f t="shared" si="2"/>
        <v>900.2832326</v>
      </c>
    </row>
    <row r="260" ht="22.5" hidden="1" customHeight="1">
      <c r="A260" s="52">
        <f t="shared" si="3"/>
        <v>259</v>
      </c>
      <c r="B260" s="53" t="s">
        <v>902</v>
      </c>
      <c r="C260" s="53" t="s">
        <v>50</v>
      </c>
      <c r="D260" s="56" t="s">
        <v>82</v>
      </c>
      <c r="E260" s="53" t="str">
        <f t="shared" si="1"/>
        <v>PACAJAFIBRA</v>
      </c>
      <c r="F260" s="59">
        <v>1.0</v>
      </c>
      <c r="G260" s="53" t="s">
        <v>374</v>
      </c>
      <c r="H260" s="59" t="str">
        <f t="array" ref="H260">XLOOKUP(B260,municipios,regiao!$D$6:$D$150,0)</f>
        <v>SIM</v>
      </c>
      <c r="I260" s="53" t="s">
        <v>375</v>
      </c>
      <c r="J260" s="60" t="s">
        <v>337</v>
      </c>
      <c r="K260" s="61">
        <v>17.84</v>
      </c>
      <c r="L260" s="70">
        <f>K260/(1-pconfig!$G$2-pconfig!$G$3-pconfig!$G$4)</f>
        <v>33.6858006</v>
      </c>
      <c r="M260" s="61">
        <v>283.33</v>
      </c>
      <c r="N260" s="61">
        <f>M260/(1-pconfig!$G$2-pconfig!$G$3-pconfig!$G$4)</f>
        <v>534.9886707</v>
      </c>
      <c r="O260" s="61">
        <f>((K260*F260)+M260)/(1-pconfig!$G$2-pconfig!$G$3-pconfig!$G$4)</f>
        <v>568.6744713</v>
      </c>
      <c r="P260" s="74">
        <f>K260*F260/(1-pconfig!$G$2-pconfig!$G$3-pconfig!$G$4)</f>
        <v>33.6858006</v>
      </c>
      <c r="Q260" s="74">
        <f>IFS(F260&lt;=pconfig!$B$12,P260*pconfig!$C$12,F260&lt;=pconfig!$B$13,P260*pconfig!$C$13,F260&lt;=pconfig!$B$14,P260*pconfig!$C$14,F260&lt;=pconfig!$B$15,P260*pconfig!$C$15,F260&lt;=pconfig!$B$16,P260*pconfig!$C$16,F260&lt;=pconfig!$B$17,P260*pconfig!$C$17,F260&lt;=pconfig!$B$18,P260*pconfig!$C$18,F260&lt;=pconfig!$B$19,P260*pconfig!$C$19,F260&lt;=pconfig!$B$20,P260*pconfig!$C$20,F260&lt;=pconfig!$B$21,P260*pconfig!$C$21)</f>
        <v>33.6858006</v>
      </c>
      <c r="R260" s="76">
        <f t="shared" si="2"/>
        <v>568.6744713</v>
      </c>
    </row>
    <row r="261" ht="22.5" hidden="1" customHeight="1">
      <c r="A261" s="78">
        <f t="shared" si="3"/>
        <v>260</v>
      </c>
      <c r="B261" s="79" t="s">
        <v>902</v>
      </c>
      <c r="C261" s="79" t="s">
        <v>101</v>
      </c>
      <c r="D261" s="80" t="s">
        <v>102</v>
      </c>
      <c r="E261" s="79" t="str">
        <f t="shared" si="1"/>
        <v>PACAJASATELITE</v>
      </c>
      <c r="F261" s="81">
        <v>1.0</v>
      </c>
      <c r="G261" s="79" t="s">
        <v>374</v>
      </c>
      <c r="H261" s="81" t="str">
        <f t="array" ref="H261">XLOOKUP(B261,municipios,regiao!$D$6:$D$150,0)</f>
        <v>SIM</v>
      </c>
      <c r="I261" s="79" t="s">
        <v>375</v>
      </c>
      <c r="J261" s="82" t="s">
        <v>106</v>
      </c>
      <c r="K261" s="83">
        <v>4799.0</v>
      </c>
      <c r="L261" s="85">
        <f>K261/(1-pconfig!$G$2-pconfig!$G$3-pconfig!$G$4)</f>
        <v>9061.555891</v>
      </c>
      <c r="M261" s="83">
        <v>283.33</v>
      </c>
      <c r="N261" s="83">
        <f>M261/(1-pconfig!$G$2-pconfig!$G$3-pconfig!$G$4)</f>
        <v>534.9886707</v>
      </c>
      <c r="O261" s="83">
        <f>((K261*F261)+M261)/(1-pconfig!$G$2-pconfig!$G$3-pconfig!$G$4)</f>
        <v>9596.544562</v>
      </c>
      <c r="P261" s="86">
        <f>K261*F261/(1-pconfig!$G$2-pconfig!$G$3-pconfig!$G$4)</f>
        <v>9061.555891</v>
      </c>
      <c r="Q261" s="86">
        <f>IFS(F261&lt;=pconfig!$B$12,P261*pconfig!$C$12,F261&lt;=pconfig!$B$13,P261*pconfig!$C$13,F261&lt;=pconfig!$B$14,P261*pconfig!$C$14,F261&lt;=pconfig!$B$15,P261*pconfig!$C$15,F261&lt;=pconfig!$B$16,P261*pconfig!$C$16,F261&lt;=pconfig!$B$17,P261*pconfig!$C$17,F261&lt;=pconfig!$B$18,P261*pconfig!$C$18,F261&lt;=pconfig!$B$19,P261*pconfig!$C$19,F261&lt;=pconfig!$B$20,P261*pconfig!$C$20,F261&lt;=pconfig!$B$21,P261*pconfig!$C$21)</f>
        <v>9061.555891</v>
      </c>
      <c r="R261" s="87">
        <f t="shared" si="2"/>
        <v>9596.544562</v>
      </c>
    </row>
    <row r="262" ht="22.5" hidden="1" customHeight="1">
      <c r="A262" s="52">
        <f t="shared" si="3"/>
        <v>261</v>
      </c>
      <c r="B262" s="53" t="s">
        <v>902</v>
      </c>
      <c r="C262" s="53" t="s">
        <v>59</v>
      </c>
      <c r="D262" s="56" t="s">
        <v>60</v>
      </c>
      <c r="E262" s="53" t="str">
        <f t="shared" si="1"/>
        <v>PACAJARADIO</v>
      </c>
      <c r="F262" s="59">
        <v>1.0</v>
      </c>
      <c r="G262" s="53" t="s">
        <v>374</v>
      </c>
      <c r="H262" s="59" t="str">
        <f t="array" ref="H262">XLOOKUP(B262,municipios,regiao!$D$6:$D$150,0)</f>
        <v>SIM</v>
      </c>
      <c r="I262" s="53" t="s">
        <v>375</v>
      </c>
      <c r="J262" s="60" t="s">
        <v>337</v>
      </c>
      <c r="K262" s="61">
        <v>17.84</v>
      </c>
      <c r="L262" s="70">
        <f>K262/(1-pconfig!$G$2-pconfig!$G$3-pconfig!$G$4)</f>
        <v>33.6858006</v>
      </c>
      <c r="M262" s="61">
        <v>416.666666666667</v>
      </c>
      <c r="N262" s="61">
        <f>M262/(1-pconfig!$G$2-pconfig!$G$3-pconfig!$G$4)</f>
        <v>786.7573011</v>
      </c>
      <c r="O262" s="61">
        <f>((K262*F262)+M262)/(1-pconfig!$G$2-pconfig!$G$3-pconfig!$G$4)</f>
        <v>820.4431017</v>
      </c>
      <c r="P262" s="74">
        <f>K262*F262/(1-pconfig!$G$2-pconfig!$G$3-pconfig!$G$4)</f>
        <v>33.6858006</v>
      </c>
      <c r="Q262" s="74">
        <f>IFS(F262&lt;=pconfig!$B$12,P262*pconfig!$C$12,F262&lt;=pconfig!$B$13,P262*pconfig!$C$13,F262&lt;=pconfig!$B$14,P262*pconfig!$C$14,F262&lt;=pconfig!$B$15,P262*pconfig!$C$15,F262&lt;=pconfig!$B$16,P262*pconfig!$C$16,F262&lt;=pconfig!$B$17,P262*pconfig!$C$17,F262&lt;=pconfig!$B$18,P262*pconfig!$C$18,F262&lt;=pconfig!$B$19,P262*pconfig!$C$19,F262&lt;=pconfig!$B$20,P262*pconfig!$C$20,F262&lt;=pconfig!$B$21,P262*pconfig!$C$21)</f>
        <v>33.6858006</v>
      </c>
      <c r="R262" s="76">
        <f t="shared" si="2"/>
        <v>820.4431017</v>
      </c>
    </row>
    <row r="263" ht="22.5" hidden="1" customHeight="1">
      <c r="A263" s="78">
        <f t="shared" si="3"/>
        <v>262</v>
      </c>
      <c r="B263" s="79" t="s">
        <v>903</v>
      </c>
      <c r="C263" s="79" t="s">
        <v>50</v>
      </c>
      <c r="D263" s="80" t="s">
        <v>82</v>
      </c>
      <c r="E263" s="79" t="str">
        <f t="shared" si="1"/>
        <v>PALESTINA DO PARAFIBRA</v>
      </c>
      <c r="F263" s="81">
        <v>1.0</v>
      </c>
      <c r="G263" s="79" t="s">
        <v>128</v>
      </c>
      <c r="H263" s="81" t="str">
        <f t="array" ref="H263">XLOOKUP(B263,municipios,regiao!$D$6:$D$150,0)</f>
        <v>NÃO</v>
      </c>
      <c r="I263" s="79" t="s">
        <v>695</v>
      </c>
      <c r="J263" s="82" t="s">
        <v>624</v>
      </c>
      <c r="K263" s="83">
        <v>24.41</v>
      </c>
      <c r="L263" s="85">
        <f>K263/(1-pconfig!$G$2-pconfig!$G$3-pconfig!$G$4)</f>
        <v>46.09138973</v>
      </c>
      <c r="M263" s="83">
        <v>56.88</v>
      </c>
      <c r="N263" s="83">
        <f>M263/(1-pconfig!$G$2-pconfig!$G$3-pconfig!$G$4)</f>
        <v>107.4018127</v>
      </c>
      <c r="O263" s="83">
        <f>((K263*F263)+M263)/(1-pconfig!$G$2-pconfig!$G$3-pconfig!$G$4)</f>
        <v>153.4932024</v>
      </c>
      <c r="P263" s="86">
        <f>K263*F263/(1-pconfig!$G$2-pconfig!$G$3-pconfig!$G$4)</f>
        <v>46.09138973</v>
      </c>
      <c r="Q263" s="86">
        <f>IFS(F263&lt;=pconfig!$B$12,P263*pconfig!$C$12,F263&lt;=pconfig!$B$13,P263*pconfig!$C$13,F263&lt;=pconfig!$B$14,P263*pconfig!$C$14,F263&lt;=pconfig!$B$15,P263*pconfig!$C$15,F263&lt;=pconfig!$B$16,P263*pconfig!$C$16,F263&lt;=pconfig!$B$17,P263*pconfig!$C$17,F263&lt;=pconfig!$B$18,P263*pconfig!$C$18,F263&lt;=pconfig!$B$19,P263*pconfig!$C$19,F263&lt;=pconfig!$B$20,P263*pconfig!$C$20,F263&lt;=pconfig!$B$21,P263*pconfig!$C$21)</f>
        <v>46.09138973</v>
      </c>
      <c r="R263" s="87">
        <f t="shared" si="2"/>
        <v>153.4932024</v>
      </c>
    </row>
    <row r="264" ht="22.5" hidden="1" customHeight="1">
      <c r="A264" s="52">
        <f t="shared" si="3"/>
        <v>263</v>
      </c>
      <c r="B264" s="53" t="s">
        <v>903</v>
      </c>
      <c r="C264" s="53" t="s">
        <v>101</v>
      </c>
      <c r="D264" s="56" t="s">
        <v>102</v>
      </c>
      <c r="E264" s="53" t="str">
        <f t="shared" si="1"/>
        <v>PALESTINA DO PARASATELITE</v>
      </c>
      <c r="F264" s="59">
        <v>1.0</v>
      </c>
      <c r="G264" s="53" t="s">
        <v>128</v>
      </c>
      <c r="H264" s="59" t="str">
        <f t="array" ref="H264">XLOOKUP(B264,municipios,regiao!$D$6:$D$150,0)</f>
        <v>NÃO</v>
      </c>
      <c r="I264" s="53" t="s">
        <v>695</v>
      </c>
      <c r="J264" s="60" t="s">
        <v>106</v>
      </c>
      <c r="K264" s="61">
        <v>4799.0</v>
      </c>
      <c r="L264" s="70">
        <f>K264/(1-pconfig!$G$2-pconfig!$G$3-pconfig!$G$4)</f>
        <v>9061.555891</v>
      </c>
      <c r="M264" s="61">
        <v>56.88</v>
      </c>
      <c r="N264" s="61">
        <f>M264/(1-pconfig!$G$2-pconfig!$G$3-pconfig!$G$4)</f>
        <v>107.4018127</v>
      </c>
      <c r="O264" s="61">
        <f>((K264*F264)+M264)/(1-pconfig!$G$2-pconfig!$G$3-pconfig!$G$4)</f>
        <v>9168.957704</v>
      </c>
      <c r="P264" s="74">
        <f>K264*F264/(1-pconfig!$G$2-pconfig!$G$3-pconfig!$G$4)</f>
        <v>9061.555891</v>
      </c>
      <c r="Q264" s="74">
        <f>IFS(F264&lt;=pconfig!$B$12,P264*pconfig!$C$12,F264&lt;=pconfig!$B$13,P264*pconfig!$C$13,F264&lt;=pconfig!$B$14,P264*pconfig!$C$14,F264&lt;=pconfig!$B$15,P264*pconfig!$C$15,F264&lt;=pconfig!$B$16,P264*pconfig!$C$16,F264&lt;=pconfig!$B$17,P264*pconfig!$C$17,F264&lt;=pconfig!$B$18,P264*pconfig!$C$18,F264&lt;=pconfig!$B$19,P264*pconfig!$C$19,F264&lt;=pconfig!$B$20,P264*pconfig!$C$20,F264&lt;=pconfig!$B$21,P264*pconfig!$C$21)</f>
        <v>9061.555891</v>
      </c>
      <c r="R264" s="76">
        <f t="shared" si="2"/>
        <v>9168.957704</v>
      </c>
    </row>
    <row r="265" ht="22.5" hidden="1" customHeight="1">
      <c r="A265" s="78">
        <f t="shared" si="3"/>
        <v>264</v>
      </c>
      <c r="B265" s="79" t="s">
        <v>903</v>
      </c>
      <c r="C265" s="79" t="s">
        <v>59</v>
      </c>
      <c r="D265" s="80" t="s">
        <v>60</v>
      </c>
      <c r="E265" s="79" t="str">
        <f t="shared" si="1"/>
        <v>PALESTINA DO PARARADIO</v>
      </c>
      <c r="F265" s="81">
        <v>1.0</v>
      </c>
      <c r="G265" s="79" t="s">
        <v>128</v>
      </c>
      <c r="H265" s="81" t="str">
        <f t="array" ref="H265">XLOOKUP(B265,municipios,regiao!$D$6:$D$150,0)</f>
        <v>NÃO</v>
      </c>
      <c r="I265" s="79" t="s">
        <v>695</v>
      </c>
      <c r="J265" s="82" t="s">
        <v>624</v>
      </c>
      <c r="K265" s="83">
        <v>24.41</v>
      </c>
      <c r="L265" s="85">
        <f>K265/(1-pconfig!$G$2-pconfig!$G$3-pconfig!$G$4)</f>
        <v>46.09138973</v>
      </c>
      <c r="M265" s="83">
        <v>333.333333333333</v>
      </c>
      <c r="N265" s="83">
        <f>M265/(1-pconfig!$G$2-pconfig!$G$3-pconfig!$G$4)</f>
        <v>629.4058409</v>
      </c>
      <c r="O265" s="83">
        <f>((K265*F265)+M265)/(1-pconfig!$G$2-pconfig!$G$3-pconfig!$G$4)</f>
        <v>675.4972306</v>
      </c>
      <c r="P265" s="86">
        <f>K265*F265/(1-pconfig!$G$2-pconfig!$G$3-pconfig!$G$4)</f>
        <v>46.09138973</v>
      </c>
      <c r="Q265" s="86">
        <f>IFS(F265&lt;=pconfig!$B$12,P265*pconfig!$C$12,F265&lt;=pconfig!$B$13,P265*pconfig!$C$13,F265&lt;=pconfig!$B$14,P265*pconfig!$C$14,F265&lt;=pconfig!$B$15,P265*pconfig!$C$15,F265&lt;=pconfig!$B$16,P265*pconfig!$C$16,F265&lt;=pconfig!$B$17,P265*pconfig!$C$17,F265&lt;=pconfig!$B$18,P265*pconfig!$C$18,F265&lt;=pconfig!$B$19,P265*pconfig!$C$19,F265&lt;=pconfig!$B$20,P265*pconfig!$C$20,F265&lt;=pconfig!$B$21,P265*pconfig!$C$21)</f>
        <v>46.09138973</v>
      </c>
      <c r="R265" s="87">
        <f t="shared" si="2"/>
        <v>675.4972306</v>
      </c>
    </row>
    <row r="266" ht="22.5" hidden="1" customHeight="1">
      <c r="A266" s="52">
        <f t="shared" si="3"/>
        <v>265</v>
      </c>
      <c r="B266" s="53" t="s">
        <v>112</v>
      </c>
      <c r="C266" s="53" t="s">
        <v>50</v>
      </c>
      <c r="D266" s="56" t="s">
        <v>82</v>
      </c>
      <c r="E266" s="53" t="str">
        <f t="shared" si="1"/>
        <v>PARAGOMINASFIBRA</v>
      </c>
      <c r="F266" s="59">
        <v>1.0</v>
      </c>
      <c r="G266" s="53" t="s">
        <v>128</v>
      </c>
      <c r="H266" s="59" t="str">
        <f t="array" ref="H266">XLOOKUP(B266,municipios,regiao!$D$6:$D$150,0)</f>
        <v>SIM</v>
      </c>
      <c r="I266" s="53" t="s">
        <v>132</v>
      </c>
      <c r="J266" s="60" t="s">
        <v>64</v>
      </c>
      <c r="K266" s="61">
        <v>15.65</v>
      </c>
      <c r="L266" s="70">
        <f>K266/(1-pconfig!$G$2-pconfig!$G$3-pconfig!$G$4)</f>
        <v>29.55060423</v>
      </c>
      <c r="M266" s="61">
        <v>63.39</v>
      </c>
      <c r="N266" s="61">
        <f>M266/(1-pconfig!$G$2-pconfig!$G$3-pconfig!$G$4)</f>
        <v>119.6941088</v>
      </c>
      <c r="O266" s="61">
        <f>((K266*F266)+M266)/(1-pconfig!$G$2-pconfig!$G$3-pconfig!$G$4)</f>
        <v>149.244713</v>
      </c>
      <c r="P266" s="74">
        <f>K266*F266/(1-pconfig!$G$2-pconfig!$G$3-pconfig!$G$4)</f>
        <v>29.55060423</v>
      </c>
      <c r="Q266" s="74">
        <f>IFS(F266&lt;=pconfig!$B$12,P266*pconfig!$C$12,F266&lt;=pconfig!$B$13,P266*pconfig!$C$13,F266&lt;=pconfig!$B$14,P266*pconfig!$C$14,F266&lt;=pconfig!$B$15,P266*pconfig!$C$15,F266&lt;=pconfig!$B$16,P266*pconfig!$C$16,F266&lt;=pconfig!$B$17,P266*pconfig!$C$17,F266&lt;=pconfig!$B$18,P266*pconfig!$C$18,F266&lt;=pconfig!$B$19,P266*pconfig!$C$19,F266&lt;=pconfig!$B$20,P266*pconfig!$C$20,F266&lt;=pconfig!$B$21,P266*pconfig!$C$21)</f>
        <v>29.55060423</v>
      </c>
      <c r="R266" s="76">
        <f t="shared" si="2"/>
        <v>149.244713</v>
      </c>
    </row>
    <row r="267" ht="22.5" hidden="1" customHeight="1">
      <c r="A267" s="78">
        <f t="shared" si="3"/>
        <v>266</v>
      </c>
      <c r="B267" s="79" t="s">
        <v>112</v>
      </c>
      <c r="C267" s="79" t="s">
        <v>101</v>
      </c>
      <c r="D267" s="80" t="s">
        <v>102</v>
      </c>
      <c r="E267" s="79" t="str">
        <f t="shared" si="1"/>
        <v>PARAGOMINASSATELITE</v>
      </c>
      <c r="F267" s="81">
        <v>1.0</v>
      </c>
      <c r="G267" s="79" t="s">
        <v>128</v>
      </c>
      <c r="H267" s="81" t="str">
        <f t="array" ref="H267">XLOOKUP(B267,municipios,regiao!$D$6:$D$150,0)</f>
        <v>SIM</v>
      </c>
      <c r="I267" s="79" t="s">
        <v>132</v>
      </c>
      <c r="J267" s="82" t="s">
        <v>106</v>
      </c>
      <c r="K267" s="83">
        <v>4799.0</v>
      </c>
      <c r="L267" s="85">
        <f>K267/(1-pconfig!$G$2-pconfig!$G$3-pconfig!$G$4)</f>
        <v>9061.555891</v>
      </c>
      <c r="M267" s="83">
        <v>63.39</v>
      </c>
      <c r="N267" s="83">
        <f>M267/(1-pconfig!$G$2-pconfig!$G$3-pconfig!$G$4)</f>
        <v>119.6941088</v>
      </c>
      <c r="O267" s="83">
        <f>((K267*F267)+M267)/(1-pconfig!$G$2-pconfig!$G$3-pconfig!$G$4)</f>
        <v>9181.25</v>
      </c>
      <c r="P267" s="86">
        <f>K267*F267/(1-pconfig!$G$2-pconfig!$G$3-pconfig!$G$4)</f>
        <v>9061.555891</v>
      </c>
      <c r="Q267" s="86">
        <f>IFS(F267&lt;=pconfig!$B$12,P267*pconfig!$C$12,F267&lt;=pconfig!$B$13,P267*pconfig!$C$13,F267&lt;=pconfig!$B$14,P267*pconfig!$C$14,F267&lt;=pconfig!$B$15,P267*pconfig!$C$15,F267&lt;=pconfig!$B$16,P267*pconfig!$C$16,F267&lt;=pconfig!$B$17,P267*pconfig!$C$17,F267&lt;=pconfig!$B$18,P267*pconfig!$C$18,F267&lt;=pconfig!$B$19,P267*pconfig!$C$19,F267&lt;=pconfig!$B$20,P267*pconfig!$C$20,F267&lt;=pconfig!$B$21,P267*pconfig!$C$21)</f>
        <v>9061.555891</v>
      </c>
      <c r="R267" s="87">
        <f t="shared" si="2"/>
        <v>9181.25</v>
      </c>
    </row>
    <row r="268" ht="22.5" hidden="1" customHeight="1">
      <c r="A268" s="52">
        <f t="shared" si="3"/>
        <v>267</v>
      </c>
      <c r="B268" s="53" t="s">
        <v>112</v>
      </c>
      <c r="C268" s="53" t="s">
        <v>59</v>
      </c>
      <c r="D268" s="56" t="s">
        <v>60</v>
      </c>
      <c r="E268" s="53" t="str">
        <f t="shared" si="1"/>
        <v>PARAGOMINASRADIO</v>
      </c>
      <c r="F268" s="59">
        <v>1.0</v>
      </c>
      <c r="G268" s="53" t="s">
        <v>128</v>
      </c>
      <c r="H268" s="59" t="str">
        <f t="array" ref="H268">XLOOKUP(B268,municipios,regiao!$D$6:$D$150,0)</f>
        <v>SIM</v>
      </c>
      <c r="I268" s="53" t="s">
        <v>132</v>
      </c>
      <c r="J268" s="60" t="s">
        <v>64</v>
      </c>
      <c r="K268" s="61">
        <v>15.65</v>
      </c>
      <c r="L268" s="70">
        <f>K268/(1-pconfig!$G$2-pconfig!$G$3-pconfig!$G$4)</f>
        <v>29.55060423</v>
      </c>
      <c r="M268" s="61">
        <v>130.6225</v>
      </c>
      <c r="N268" s="61">
        <f>M268/(1-pconfig!$G$2-pconfig!$G$3-pconfig!$G$4)</f>
        <v>246.6436934</v>
      </c>
      <c r="O268" s="61">
        <f>((K268*F268)+M268)/(1-pconfig!$G$2-pconfig!$G$3-pconfig!$G$4)</f>
        <v>276.1942976</v>
      </c>
      <c r="P268" s="74">
        <f>K268*F268/(1-pconfig!$G$2-pconfig!$G$3-pconfig!$G$4)</f>
        <v>29.55060423</v>
      </c>
      <c r="Q268" s="74">
        <f>IFS(F268&lt;=pconfig!$B$12,P268*pconfig!$C$12,F268&lt;=pconfig!$B$13,P268*pconfig!$C$13,F268&lt;=pconfig!$B$14,P268*pconfig!$C$14,F268&lt;=pconfig!$B$15,P268*pconfig!$C$15,F268&lt;=pconfig!$B$16,P268*pconfig!$C$16,F268&lt;=pconfig!$B$17,P268*pconfig!$C$17,F268&lt;=pconfig!$B$18,P268*pconfig!$C$18,F268&lt;=pconfig!$B$19,P268*pconfig!$C$19,F268&lt;=pconfig!$B$20,P268*pconfig!$C$20,F268&lt;=pconfig!$B$21,P268*pconfig!$C$21)</f>
        <v>29.55060423</v>
      </c>
      <c r="R268" s="76">
        <f t="shared" si="2"/>
        <v>276.1942976</v>
      </c>
    </row>
    <row r="269" ht="22.5" hidden="1" customHeight="1">
      <c r="A269" s="78">
        <f t="shared" si="3"/>
        <v>268</v>
      </c>
      <c r="B269" s="79" t="s">
        <v>904</v>
      </c>
      <c r="C269" s="79" t="s">
        <v>50</v>
      </c>
      <c r="D269" s="80" t="s">
        <v>82</v>
      </c>
      <c r="E269" s="79" t="str">
        <f t="shared" si="1"/>
        <v>PARAUAPEBASFIBRA</v>
      </c>
      <c r="F269" s="81">
        <v>1.0</v>
      </c>
      <c r="G269" s="79" t="s">
        <v>128</v>
      </c>
      <c r="H269" s="81" t="str">
        <f t="array" ref="H269">XLOOKUP(B269,municipios,regiao!$D$6:$D$150,0)</f>
        <v>SIM</v>
      </c>
      <c r="I269" s="79" t="s">
        <v>695</v>
      </c>
      <c r="J269" s="82" t="s">
        <v>133</v>
      </c>
      <c r="K269" s="83">
        <v>29.29</v>
      </c>
      <c r="L269" s="85">
        <f>K269/(1-pconfig!$G$2-pconfig!$G$3-pconfig!$G$4)</f>
        <v>55.30589124</v>
      </c>
      <c r="M269" s="83">
        <v>56.88</v>
      </c>
      <c r="N269" s="83">
        <f>M269/(1-pconfig!$G$2-pconfig!$G$3-pconfig!$G$4)</f>
        <v>107.4018127</v>
      </c>
      <c r="O269" s="83">
        <f>((K269*F269)+M269)/(1-pconfig!$G$2-pconfig!$G$3-pconfig!$G$4)</f>
        <v>162.7077039</v>
      </c>
      <c r="P269" s="86">
        <f>K269*F269/(1-pconfig!$G$2-pconfig!$G$3-pconfig!$G$4)</f>
        <v>55.30589124</v>
      </c>
      <c r="Q269" s="86">
        <f>IFS(F269&lt;=pconfig!$B$12,P269*pconfig!$C$12,F269&lt;=pconfig!$B$13,P269*pconfig!$C$13,F269&lt;=pconfig!$B$14,P269*pconfig!$C$14,F269&lt;=pconfig!$B$15,P269*pconfig!$C$15,F269&lt;=pconfig!$B$16,P269*pconfig!$C$16,F269&lt;=pconfig!$B$17,P269*pconfig!$C$17,F269&lt;=pconfig!$B$18,P269*pconfig!$C$18,F269&lt;=pconfig!$B$19,P269*pconfig!$C$19,F269&lt;=pconfig!$B$20,P269*pconfig!$C$20,F269&lt;=pconfig!$B$21,P269*pconfig!$C$21)</f>
        <v>55.30589124</v>
      </c>
      <c r="R269" s="87">
        <f t="shared" si="2"/>
        <v>162.7077039</v>
      </c>
    </row>
    <row r="270" ht="22.5" hidden="1" customHeight="1">
      <c r="A270" s="52">
        <f t="shared" si="3"/>
        <v>269</v>
      </c>
      <c r="B270" s="53" t="s">
        <v>904</v>
      </c>
      <c r="C270" s="53" t="s">
        <v>101</v>
      </c>
      <c r="D270" s="56" t="s">
        <v>102</v>
      </c>
      <c r="E270" s="53" t="str">
        <f t="shared" si="1"/>
        <v>PARAUAPEBASSATELITE</v>
      </c>
      <c r="F270" s="59">
        <v>1.0</v>
      </c>
      <c r="G270" s="53" t="s">
        <v>128</v>
      </c>
      <c r="H270" s="59" t="str">
        <f t="array" ref="H270">XLOOKUP(B270,municipios,regiao!$D$6:$D$150,0)</f>
        <v>SIM</v>
      </c>
      <c r="I270" s="53" t="s">
        <v>695</v>
      </c>
      <c r="J270" s="60" t="s">
        <v>106</v>
      </c>
      <c r="K270" s="61">
        <v>4799.0</v>
      </c>
      <c r="L270" s="70">
        <f>K270/(1-pconfig!$G$2-pconfig!$G$3-pconfig!$G$4)</f>
        <v>9061.555891</v>
      </c>
      <c r="M270" s="61">
        <v>56.88</v>
      </c>
      <c r="N270" s="61">
        <f>M270/(1-pconfig!$G$2-pconfig!$G$3-pconfig!$G$4)</f>
        <v>107.4018127</v>
      </c>
      <c r="O270" s="61">
        <f>((K270*F270)+M270)/(1-pconfig!$G$2-pconfig!$G$3-pconfig!$G$4)</f>
        <v>9168.957704</v>
      </c>
      <c r="P270" s="74">
        <f>K270*F270/(1-pconfig!$G$2-pconfig!$G$3-pconfig!$G$4)</f>
        <v>9061.555891</v>
      </c>
      <c r="Q270" s="74">
        <f>IFS(F270&lt;=pconfig!$B$12,P270*pconfig!$C$12,F270&lt;=pconfig!$B$13,P270*pconfig!$C$13,F270&lt;=pconfig!$B$14,P270*pconfig!$C$14,F270&lt;=pconfig!$B$15,P270*pconfig!$C$15,F270&lt;=pconfig!$B$16,P270*pconfig!$C$16,F270&lt;=pconfig!$B$17,P270*pconfig!$C$17,F270&lt;=pconfig!$B$18,P270*pconfig!$C$18,F270&lt;=pconfig!$B$19,P270*pconfig!$C$19,F270&lt;=pconfig!$B$20,P270*pconfig!$C$20,F270&lt;=pconfig!$B$21,P270*pconfig!$C$21)</f>
        <v>9061.555891</v>
      </c>
      <c r="R270" s="76">
        <f t="shared" si="2"/>
        <v>9168.957704</v>
      </c>
    </row>
    <row r="271" ht="22.5" hidden="1" customHeight="1">
      <c r="A271" s="78">
        <f t="shared" si="3"/>
        <v>270</v>
      </c>
      <c r="B271" s="79" t="s">
        <v>904</v>
      </c>
      <c r="C271" s="79" t="s">
        <v>59</v>
      </c>
      <c r="D271" s="80" t="s">
        <v>60</v>
      </c>
      <c r="E271" s="79" t="str">
        <f t="shared" si="1"/>
        <v>PARAUAPEBASRADIO</v>
      </c>
      <c r="F271" s="81">
        <v>1.0</v>
      </c>
      <c r="G271" s="79" t="s">
        <v>128</v>
      </c>
      <c r="H271" s="81" t="str">
        <f t="array" ref="H271">XLOOKUP(B271,municipios,regiao!$D$6:$D$150,0)</f>
        <v>SIM</v>
      </c>
      <c r="I271" s="79" t="s">
        <v>695</v>
      </c>
      <c r="J271" s="82" t="s">
        <v>133</v>
      </c>
      <c r="K271" s="83">
        <v>29.29</v>
      </c>
      <c r="L271" s="85">
        <f>K271/(1-pconfig!$G$2-pconfig!$G$3-pconfig!$G$4)</f>
        <v>55.30589124</v>
      </c>
      <c r="M271" s="83">
        <v>333.333333333333</v>
      </c>
      <c r="N271" s="83">
        <f>M271/(1-pconfig!$G$2-pconfig!$G$3-pconfig!$G$4)</f>
        <v>629.4058409</v>
      </c>
      <c r="O271" s="83">
        <f>((K271*F271)+M271)/(1-pconfig!$G$2-pconfig!$G$3-pconfig!$G$4)</f>
        <v>684.7117321</v>
      </c>
      <c r="P271" s="86">
        <f>K271*F271/(1-pconfig!$G$2-pconfig!$G$3-pconfig!$G$4)</f>
        <v>55.30589124</v>
      </c>
      <c r="Q271" s="86">
        <f>IFS(F271&lt;=pconfig!$B$12,P271*pconfig!$C$12,F271&lt;=pconfig!$B$13,P271*pconfig!$C$13,F271&lt;=pconfig!$B$14,P271*pconfig!$C$14,F271&lt;=pconfig!$B$15,P271*pconfig!$C$15,F271&lt;=pconfig!$B$16,P271*pconfig!$C$16,F271&lt;=pconfig!$B$17,P271*pconfig!$C$17,F271&lt;=pconfig!$B$18,P271*pconfig!$C$18,F271&lt;=pconfig!$B$19,P271*pconfig!$C$19,F271&lt;=pconfig!$B$20,P271*pconfig!$C$20,F271&lt;=pconfig!$B$21,P271*pconfig!$C$21)</f>
        <v>55.30589124</v>
      </c>
      <c r="R271" s="87">
        <f t="shared" si="2"/>
        <v>684.7117321</v>
      </c>
    </row>
    <row r="272" ht="22.5" hidden="1" customHeight="1">
      <c r="A272" s="52">
        <f t="shared" si="3"/>
        <v>271</v>
      </c>
      <c r="B272" s="53" t="s">
        <v>960</v>
      </c>
      <c r="C272" s="53" t="s">
        <v>59</v>
      </c>
      <c r="D272" s="56" t="s">
        <v>60</v>
      </c>
      <c r="E272" s="53" t="str">
        <f t="shared" si="1"/>
        <v>PAU D'ARCORADIO</v>
      </c>
      <c r="F272" s="59">
        <v>1.0</v>
      </c>
      <c r="G272" s="53" t="s">
        <v>128</v>
      </c>
      <c r="H272" s="59">
        <f t="array" ref="H272">XLOOKUP(B272,municipios,regiao!$D$6:$D$150,0)</f>
        <v>0</v>
      </c>
      <c r="I272" s="53" t="s">
        <v>280</v>
      </c>
      <c r="J272" s="60" t="s">
        <v>259</v>
      </c>
      <c r="K272" s="61">
        <v>35.73</v>
      </c>
      <c r="L272" s="70">
        <f>K272/(1-pconfig!$G$2-pconfig!$G$3-pconfig!$G$4)</f>
        <v>67.46601208</v>
      </c>
      <c r="M272" s="61">
        <v>336.074166666667</v>
      </c>
      <c r="N272" s="61">
        <f>M272/(1-pconfig!$G$2-pconfig!$G$3-pconfig!$G$4)</f>
        <v>634.5811304</v>
      </c>
      <c r="O272" s="61">
        <f>((K272*F272)+M272)/(1-pconfig!$G$2-pconfig!$G$3-pconfig!$G$4)</f>
        <v>702.0471425</v>
      </c>
      <c r="P272" s="74">
        <f>K272*F272/(1-pconfig!$G$2-pconfig!$G$3-pconfig!$G$4)</f>
        <v>67.46601208</v>
      </c>
      <c r="Q272" s="74">
        <f>IFS(F272&lt;=pconfig!$B$12,P272*pconfig!$C$12,F272&lt;=pconfig!$B$13,P272*pconfig!$C$13,F272&lt;=pconfig!$B$14,P272*pconfig!$C$14,F272&lt;=pconfig!$B$15,P272*pconfig!$C$15,F272&lt;=pconfig!$B$16,P272*pconfig!$C$16,F272&lt;=pconfig!$B$17,P272*pconfig!$C$17,F272&lt;=pconfig!$B$18,P272*pconfig!$C$18,F272&lt;=pconfig!$B$19,P272*pconfig!$C$19,F272&lt;=pconfig!$B$20,P272*pconfig!$C$20,F272&lt;=pconfig!$B$21,P272*pconfig!$C$21)</f>
        <v>67.46601208</v>
      </c>
      <c r="R272" s="76">
        <f t="shared" si="2"/>
        <v>702.0471425</v>
      </c>
    </row>
    <row r="273" ht="22.5" hidden="1" customHeight="1">
      <c r="A273" s="78">
        <f t="shared" si="3"/>
        <v>272</v>
      </c>
      <c r="B273" s="153" t="s">
        <v>960</v>
      </c>
      <c r="C273" s="79" t="s">
        <v>50</v>
      </c>
      <c r="D273" s="80" t="s">
        <v>82</v>
      </c>
      <c r="E273" s="79" t="str">
        <f t="shared" si="1"/>
        <v>PAU D'ARCOFIBRA</v>
      </c>
      <c r="F273" s="81">
        <v>1.0</v>
      </c>
      <c r="G273" s="79" t="s">
        <v>128</v>
      </c>
      <c r="H273" s="81">
        <f t="array" ref="H273">XLOOKUP(B273,municipios,regiao!$D$6:$D$150,0)</f>
        <v>0</v>
      </c>
      <c r="I273" s="79" t="s">
        <v>280</v>
      </c>
      <c r="J273" s="82" t="s">
        <v>259</v>
      </c>
      <c r="K273" s="83">
        <v>35.73</v>
      </c>
      <c r="L273" s="85">
        <f>K273/(1-pconfig!$G$2-pconfig!$G$3-pconfig!$G$4)</f>
        <v>67.46601208</v>
      </c>
      <c r="M273" s="83">
        <v>447.5</v>
      </c>
      <c r="N273" s="83">
        <f>M273/(1-pconfig!$G$2-pconfig!$G$3-pconfig!$G$4)</f>
        <v>844.9773414</v>
      </c>
      <c r="O273" s="83">
        <f>((K273*F273)+M273)/(1-pconfig!$G$2-pconfig!$G$3-pconfig!$G$4)</f>
        <v>912.4433535</v>
      </c>
      <c r="P273" s="86">
        <f>K273*F273/(1-pconfig!$G$2-pconfig!$G$3-pconfig!$G$4)</f>
        <v>67.46601208</v>
      </c>
      <c r="Q273" s="86">
        <f>IFS(F273&lt;=pconfig!$B$12,P273*pconfig!$C$12,F273&lt;=pconfig!$B$13,P273*pconfig!$C$13,F273&lt;=pconfig!$B$14,P273*pconfig!$C$14,F273&lt;=pconfig!$B$15,P273*pconfig!$C$15,F273&lt;=pconfig!$B$16,P273*pconfig!$C$16,F273&lt;=pconfig!$B$17,P273*pconfig!$C$17,F273&lt;=pconfig!$B$18,P273*pconfig!$C$18,F273&lt;=pconfig!$B$19,P273*pconfig!$C$19,F273&lt;=pconfig!$B$20,P273*pconfig!$C$20,F273&lt;=pconfig!$B$21,P273*pconfig!$C$21)</f>
        <v>67.46601208</v>
      </c>
      <c r="R273" s="87">
        <f t="shared" si="2"/>
        <v>912.4433535</v>
      </c>
    </row>
    <row r="274" ht="22.5" hidden="1" customHeight="1">
      <c r="A274" s="52">
        <f t="shared" si="3"/>
        <v>273</v>
      </c>
      <c r="B274" s="53" t="s">
        <v>960</v>
      </c>
      <c r="C274" s="53" t="s">
        <v>101</v>
      </c>
      <c r="D274" s="56" t="s">
        <v>102</v>
      </c>
      <c r="E274" s="53" t="str">
        <f t="shared" si="1"/>
        <v>PAU D'ARCOSATELITE</v>
      </c>
      <c r="F274" s="59">
        <v>1.0</v>
      </c>
      <c r="G274" s="53" t="s">
        <v>128</v>
      </c>
      <c r="H274" s="59">
        <f t="array" ref="H274">XLOOKUP(B274,municipios,regiao!$D$6:$D$150,0)</f>
        <v>0</v>
      </c>
      <c r="I274" s="53" t="s">
        <v>280</v>
      </c>
      <c r="J274" s="60" t="s">
        <v>106</v>
      </c>
      <c r="K274" s="61">
        <v>4799.0</v>
      </c>
      <c r="L274" s="70">
        <f>K274/(1-pconfig!$G$2-pconfig!$G$3-pconfig!$G$4)</f>
        <v>9061.555891</v>
      </c>
      <c r="M274" s="61">
        <v>447.5</v>
      </c>
      <c r="N274" s="61">
        <f>M274/(1-pconfig!$G$2-pconfig!$G$3-pconfig!$G$4)</f>
        <v>844.9773414</v>
      </c>
      <c r="O274" s="61">
        <f>((K274*F274)+M274)/(1-pconfig!$G$2-pconfig!$G$3-pconfig!$G$4)</f>
        <v>9906.533233</v>
      </c>
      <c r="P274" s="74">
        <f>K274*F274/(1-pconfig!$G$2-pconfig!$G$3-pconfig!$G$4)</f>
        <v>9061.555891</v>
      </c>
      <c r="Q274" s="74">
        <f>IFS(F274&lt;=pconfig!$B$12,P274*pconfig!$C$12,F274&lt;=pconfig!$B$13,P274*pconfig!$C$13,F274&lt;=pconfig!$B$14,P274*pconfig!$C$14,F274&lt;=pconfig!$B$15,P274*pconfig!$C$15,F274&lt;=pconfig!$B$16,P274*pconfig!$C$16,F274&lt;=pconfig!$B$17,P274*pconfig!$C$17,F274&lt;=pconfig!$B$18,P274*pconfig!$C$18,F274&lt;=pconfig!$B$19,P274*pconfig!$C$19,F274&lt;=pconfig!$B$20,P274*pconfig!$C$20,F274&lt;=pconfig!$B$21,P274*pconfig!$C$21)</f>
        <v>9061.555891</v>
      </c>
      <c r="R274" s="76">
        <f t="shared" si="2"/>
        <v>9906.533233</v>
      </c>
    </row>
    <row r="275" ht="22.5" hidden="1" customHeight="1">
      <c r="A275" s="78">
        <f t="shared" si="3"/>
        <v>274</v>
      </c>
      <c r="B275" s="79" t="s">
        <v>906</v>
      </c>
      <c r="C275" s="79" t="s">
        <v>59</v>
      </c>
      <c r="D275" s="80" t="s">
        <v>60</v>
      </c>
      <c r="E275" s="79" t="str">
        <f t="shared" si="1"/>
        <v>PEIXE-BOIRADIO</v>
      </c>
      <c r="F275" s="81">
        <v>1.0</v>
      </c>
      <c r="G275" s="79" t="s">
        <v>61</v>
      </c>
      <c r="H275" s="81" t="str">
        <f t="array" ref="H275">XLOOKUP(B275,municipios,regiao!$D$6:$D$150,0)</f>
        <v>SIM</v>
      </c>
      <c r="I275" s="79" t="s">
        <v>496</v>
      </c>
      <c r="J275" s="82" t="s">
        <v>416</v>
      </c>
      <c r="K275" s="83">
        <v>13.97</v>
      </c>
      <c r="L275" s="85">
        <f>K275/(1-pconfig!$G$2-pconfig!$G$3-pconfig!$G$4)</f>
        <v>26.37839879</v>
      </c>
      <c r="M275" s="83">
        <v>137.604166666667</v>
      </c>
      <c r="N275" s="83">
        <f>M275/(1-pconfig!$G$2-pconfig!$G$3-pconfig!$G$4)</f>
        <v>259.8265987</v>
      </c>
      <c r="O275" s="83">
        <f>((K275*F275)+M275)/(1-pconfig!$G$2-pconfig!$G$3-pconfig!$G$4)</f>
        <v>286.2049975</v>
      </c>
      <c r="P275" s="86">
        <f>K275*F275/(1-pconfig!$G$2-pconfig!$G$3-pconfig!$G$4)</f>
        <v>26.37839879</v>
      </c>
      <c r="Q275" s="86">
        <f>IFS(F275&lt;=pconfig!$B$12,P275*pconfig!$C$12,F275&lt;=pconfig!$B$13,P275*pconfig!$C$13,F275&lt;=pconfig!$B$14,P275*pconfig!$C$14,F275&lt;=pconfig!$B$15,P275*pconfig!$C$15,F275&lt;=pconfig!$B$16,P275*pconfig!$C$16,F275&lt;=pconfig!$B$17,P275*pconfig!$C$17,F275&lt;=pconfig!$B$18,P275*pconfig!$C$18,F275&lt;=pconfig!$B$19,P275*pconfig!$C$19,F275&lt;=pconfig!$B$20,P275*pconfig!$C$20,F275&lt;=pconfig!$B$21,P275*pconfig!$C$21)</f>
        <v>26.37839879</v>
      </c>
      <c r="R275" s="87">
        <f t="shared" si="2"/>
        <v>286.2049975</v>
      </c>
    </row>
    <row r="276" ht="22.5" hidden="1" customHeight="1">
      <c r="A276" s="52">
        <f t="shared" si="3"/>
        <v>275</v>
      </c>
      <c r="B276" s="53" t="s">
        <v>906</v>
      </c>
      <c r="C276" s="53" t="s">
        <v>50</v>
      </c>
      <c r="D276" s="56" t="s">
        <v>82</v>
      </c>
      <c r="E276" s="53" t="str">
        <f t="shared" si="1"/>
        <v>PEIXE-BOIFIBRA</v>
      </c>
      <c r="F276" s="59">
        <v>1.0</v>
      </c>
      <c r="G276" s="53" t="s">
        <v>61</v>
      </c>
      <c r="H276" s="59" t="str">
        <f t="array" ref="H276">XLOOKUP(B276,municipios,regiao!$D$6:$D$150,0)</f>
        <v>SIM</v>
      </c>
      <c r="I276" s="53" t="s">
        <v>496</v>
      </c>
      <c r="J276" s="60" t="s">
        <v>416</v>
      </c>
      <c r="K276" s="61">
        <v>13.97</v>
      </c>
      <c r="L276" s="70">
        <f>K276/(1-pconfig!$G$2-pconfig!$G$3-pconfig!$G$4)</f>
        <v>26.37839879</v>
      </c>
      <c r="M276" s="61">
        <v>406.12</v>
      </c>
      <c r="N276" s="61">
        <f>M276/(1-pconfig!$G$2-pconfig!$G$3-pconfig!$G$4)</f>
        <v>766.8429003</v>
      </c>
      <c r="O276" s="61">
        <f>((K276*F276)+M276)/(1-pconfig!$G$2-pconfig!$G$3-pconfig!$G$4)</f>
        <v>793.2212991</v>
      </c>
      <c r="P276" s="74">
        <f>K276*F276/(1-pconfig!$G$2-pconfig!$G$3-pconfig!$G$4)</f>
        <v>26.37839879</v>
      </c>
      <c r="Q276" s="74">
        <f>IFS(F276&lt;=pconfig!$B$12,P276*pconfig!$C$12,F276&lt;=pconfig!$B$13,P276*pconfig!$C$13,F276&lt;=pconfig!$B$14,P276*pconfig!$C$14,F276&lt;=pconfig!$B$15,P276*pconfig!$C$15,F276&lt;=pconfig!$B$16,P276*pconfig!$C$16,F276&lt;=pconfig!$B$17,P276*pconfig!$C$17,F276&lt;=pconfig!$B$18,P276*pconfig!$C$18,F276&lt;=pconfig!$B$19,P276*pconfig!$C$19,F276&lt;=pconfig!$B$20,P276*pconfig!$C$20,F276&lt;=pconfig!$B$21,P276*pconfig!$C$21)</f>
        <v>26.37839879</v>
      </c>
      <c r="R276" s="76">
        <f t="shared" si="2"/>
        <v>793.2212991</v>
      </c>
    </row>
    <row r="277" ht="22.5" hidden="1" customHeight="1">
      <c r="A277" s="78">
        <f t="shared" si="3"/>
        <v>276</v>
      </c>
      <c r="B277" s="79" t="s">
        <v>906</v>
      </c>
      <c r="C277" s="79" t="s">
        <v>101</v>
      </c>
      <c r="D277" s="80" t="s">
        <v>102</v>
      </c>
      <c r="E277" s="79" t="str">
        <f t="shared" si="1"/>
        <v>PEIXE-BOISATELITE</v>
      </c>
      <c r="F277" s="81">
        <v>1.0</v>
      </c>
      <c r="G277" s="79" t="s">
        <v>61</v>
      </c>
      <c r="H277" s="81" t="str">
        <f t="array" ref="H277">XLOOKUP(B277,municipios,regiao!$D$6:$D$150,0)</f>
        <v>SIM</v>
      </c>
      <c r="I277" s="79" t="s">
        <v>496</v>
      </c>
      <c r="J277" s="82" t="s">
        <v>106</v>
      </c>
      <c r="K277" s="83">
        <v>4799.0</v>
      </c>
      <c r="L277" s="85">
        <f>K277/(1-pconfig!$G$2-pconfig!$G$3-pconfig!$G$4)</f>
        <v>9061.555891</v>
      </c>
      <c r="M277" s="83">
        <v>406.12</v>
      </c>
      <c r="N277" s="83">
        <f>M277/(1-pconfig!$G$2-pconfig!$G$3-pconfig!$G$4)</f>
        <v>766.8429003</v>
      </c>
      <c r="O277" s="83">
        <f>((K277*F277)+M277)/(1-pconfig!$G$2-pconfig!$G$3-pconfig!$G$4)</f>
        <v>9828.398792</v>
      </c>
      <c r="P277" s="86">
        <f>K277*F277/(1-pconfig!$G$2-pconfig!$G$3-pconfig!$G$4)</f>
        <v>9061.555891</v>
      </c>
      <c r="Q277" s="86">
        <f>IFS(F277&lt;=pconfig!$B$12,P277*pconfig!$C$12,F277&lt;=pconfig!$B$13,P277*pconfig!$C$13,F277&lt;=pconfig!$B$14,P277*pconfig!$C$14,F277&lt;=pconfig!$B$15,P277*pconfig!$C$15,F277&lt;=pconfig!$B$16,P277*pconfig!$C$16,F277&lt;=pconfig!$B$17,P277*pconfig!$C$17,F277&lt;=pconfig!$B$18,P277*pconfig!$C$18,F277&lt;=pconfig!$B$19,P277*pconfig!$C$19,F277&lt;=pconfig!$B$20,P277*pconfig!$C$20,F277&lt;=pconfig!$B$21,P277*pconfig!$C$21)</f>
        <v>9061.555891</v>
      </c>
      <c r="R277" s="87">
        <f t="shared" si="2"/>
        <v>9828.398792</v>
      </c>
    </row>
    <row r="278" ht="22.5" hidden="1" customHeight="1">
      <c r="A278" s="52">
        <f t="shared" si="3"/>
        <v>277</v>
      </c>
      <c r="B278" s="53" t="s">
        <v>961</v>
      </c>
      <c r="C278" s="53" t="s">
        <v>50</v>
      </c>
      <c r="D278" s="56" t="s">
        <v>82</v>
      </c>
      <c r="E278" s="53" t="str">
        <f t="shared" si="1"/>
        <v>PIÇARRAFIBRA</v>
      </c>
      <c r="F278" s="59">
        <v>1.0</v>
      </c>
      <c r="G278" s="53" t="s">
        <v>128</v>
      </c>
      <c r="H278" s="59">
        <f t="array" ref="H278">XLOOKUP(B278,municipios,regiao!$D$6:$D$150,0)</f>
        <v>0</v>
      </c>
      <c r="I278" s="53" t="s">
        <v>695</v>
      </c>
      <c r="J278" s="60" t="s">
        <v>133</v>
      </c>
      <c r="K278" s="61">
        <v>29.29</v>
      </c>
      <c r="L278" s="70">
        <f>K278/(1-pconfig!$G$2-pconfig!$G$3-pconfig!$G$4)</f>
        <v>55.30589124</v>
      </c>
      <c r="M278" s="61">
        <v>56.88</v>
      </c>
      <c r="N278" s="61">
        <f>M278/(1-pconfig!$G$2-pconfig!$G$3-pconfig!$G$4)</f>
        <v>107.4018127</v>
      </c>
      <c r="O278" s="61">
        <f>((K278*F278)+M278)/(1-pconfig!$G$2-pconfig!$G$3-pconfig!$G$4)</f>
        <v>162.7077039</v>
      </c>
      <c r="P278" s="74">
        <f>K278*F278/(1-pconfig!$G$2-pconfig!$G$3-pconfig!$G$4)</f>
        <v>55.30589124</v>
      </c>
      <c r="Q278" s="74">
        <f>IFS(F278&lt;=pconfig!$B$12,P278*pconfig!$C$12,F278&lt;=pconfig!$B$13,P278*pconfig!$C$13,F278&lt;=pconfig!$B$14,P278*pconfig!$C$14,F278&lt;=pconfig!$B$15,P278*pconfig!$C$15,F278&lt;=pconfig!$B$16,P278*pconfig!$C$16,F278&lt;=pconfig!$B$17,P278*pconfig!$C$17,F278&lt;=pconfig!$B$18,P278*pconfig!$C$18,F278&lt;=pconfig!$B$19,P278*pconfig!$C$19,F278&lt;=pconfig!$B$20,P278*pconfig!$C$20,F278&lt;=pconfig!$B$21,P278*pconfig!$C$21)</f>
        <v>55.30589124</v>
      </c>
      <c r="R278" s="76">
        <f t="shared" si="2"/>
        <v>162.7077039</v>
      </c>
    </row>
    <row r="279" ht="22.5" hidden="1" customHeight="1">
      <c r="A279" s="78">
        <f t="shared" si="3"/>
        <v>278</v>
      </c>
      <c r="B279" s="79" t="s">
        <v>961</v>
      </c>
      <c r="C279" s="79" t="s">
        <v>101</v>
      </c>
      <c r="D279" s="80" t="s">
        <v>102</v>
      </c>
      <c r="E279" s="79" t="str">
        <f t="shared" si="1"/>
        <v>PIÇARRASATELITE</v>
      </c>
      <c r="F279" s="81">
        <v>1.0</v>
      </c>
      <c r="G279" s="79" t="s">
        <v>128</v>
      </c>
      <c r="H279" s="81">
        <f t="array" ref="H279">XLOOKUP(B279,municipios,regiao!$D$6:$D$150,0)</f>
        <v>0</v>
      </c>
      <c r="I279" s="79" t="s">
        <v>695</v>
      </c>
      <c r="J279" s="82" t="s">
        <v>106</v>
      </c>
      <c r="K279" s="83">
        <v>4799.0</v>
      </c>
      <c r="L279" s="85">
        <f>K279/(1-pconfig!$G$2-pconfig!$G$3-pconfig!$G$4)</f>
        <v>9061.555891</v>
      </c>
      <c r="M279" s="83">
        <v>56.88</v>
      </c>
      <c r="N279" s="83">
        <f>M279/(1-pconfig!$G$2-pconfig!$G$3-pconfig!$G$4)</f>
        <v>107.4018127</v>
      </c>
      <c r="O279" s="83">
        <f>((K279*F279)+M279)/(1-pconfig!$G$2-pconfig!$G$3-pconfig!$G$4)</f>
        <v>9168.957704</v>
      </c>
      <c r="P279" s="86">
        <f>K279*F279/(1-pconfig!$G$2-pconfig!$G$3-pconfig!$G$4)</f>
        <v>9061.555891</v>
      </c>
      <c r="Q279" s="86">
        <f>IFS(F279&lt;=pconfig!$B$12,P279*pconfig!$C$12,F279&lt;=pconfig!$B$13,P279*pconfig!$C$13,F279&lt;=pconfig!$B$14,P279*pconfig!$C$14,F279&lt;=pconfig!$B$15,P279*pconfig!$C$15,F279&lt;=pconfig!$B$16,P279*pconfig!$C$16,F279&lt;=pconfig!$B$17,P279*pconfig!$C$17,F279&lt;=pconfig!$B$18,P279*pconfig!$C$18,F279&lt;=pconfig!$B$19,P279*pconfig!$C$19,F279&lt;=pconfig!$B$20,P279*pconfig!$C$20,F279&lt;=pconfig!$B$21,P279*pconfig!$C$21)</f>
        <v>9061.555891</v>
      </c>
      <c r="R279" s="87">
        <f t="shared" si="2"/>
        <v>9168.957704</v>
      </c>
    </row>
    <row r="280" ht="22.5" hidden="1" customHeight="1">
      <c r="A280" s="52">
        <f t="shared" si="3"/>
        <v>279</v>
      </c>
      <c r="B280" s="53" t="s">
        <v>961</v>
      </c>
      <c r="C280" s="53" t="s">
        <v>59</v>
      </c>
      <c r="D280" s="56" t="s">
        <v>60</v>
      </c>
      <c r="E280" s="53" t="str">
        <f t="shared" si="1"/>
        <v>PIÇARRARADIO</v>
      </c>
      <c r="F280" s="59">
        <v>1.0</v>
      </c>
      <c r="G280" s="53" t="s">
        <v>128</v>
      </c>
      <c r="H280" s="59">
        <f t="array" ref="H280">XLOOKUP(B280,municipios,regiao!$D$6:$D$150,0)</f>
        <v>0</v>
      </c>
      <c r="I280" s="53" t="s">
        <v>695</v>
      </c>
      <c r="J280" s="60" t="s">
        <v>133</v>
      </c>
      <c r="K280" s="61">
        <v>29.29</v>
      </c>
      <c r="L280" s="70">
        <f>K280/(1-pconfig!$G$2-pconfig!$G$3-pconfig!$G$4)</f>
        <v>55.30589124</v>
      </c>
      <c r="M280" s="61">
        <v>333.333333333333</v>
      </c>
      <c r="N280" s="61">
        <f>M280/(1-pconfig!$G$2-pconfig!$G$3-pconfig!$G$4)</f>
        <v>629.4058409</v>
      </c>
      <c r="O280" s="61">
        <f>((K280*F280)+M280)/(1-pconfig!$G$2-pconfig!$G$3-pconfig!$G$4)</f>
        <v>684.7117321</v>
      </c>
      <c r="P280" s="74">
        <f>K280*F280/(1-pconfig!$G$2-pconfig!$G$3-pconfig!$G$4)</f>
        <v>55.30589124</v>
      </c>
      <c r="Q280" s="74">
        <f>IFS(F280&lt;=pconfig!$B$12,P280*pconfig!$C$12,F280&lt;=pconfig!$B$13,P280*pconfig!$C$13,F280&lt;=pconfig!$B$14,P280*pconfig!$C$14,F280&lt;=pconfig!$B$15,P280*pconfig!$C$15,F280&lt;=pconfig!$B$16,P280*pconfig!$C$16,F280&lt;=pconfig!$B$17,P280*pconfig!$C$17,F280&lt;=pconfig!$B$18,P280*pconfig!$C$18,F280&lt;=pconfig!$B$19,P280*pconfig!$C$19,F280&lt;=pconfig!$B$20,P280*pconfig!$C$20,F280&lt;=pconfig!$B$21,P280*pconfig!$C$21)</f>
        <v>55.30589124</v>
      </c>
      <c r="R280" s="76">
        <f t="shared" si="2"/>
        <v>684.7117321</v>
      </c>
    </row>
    <row r="281" ht="22.5" hidden="1" customHeight="1">
      <c r="A281" s="78">
        <f t="shared" si="3"/>
        <v>280</v>
      </c>
      <c r="B281" s="79" t="s">
        <v>908</v>
      </c>
      <c r="C281" s="79" t="s">
        <v>59</v>
      </c>
      <c r="D281" s="80" t="s">
        <v>60</v>
      </c>
      <c r="E281" s="79" t="str">
        <f t="shared" si="1"/>
        <v>PLACASRADIO</v>
      </c>
      <c r="F281" s="81">
        <v>1.0</v>
      </c>
      <c r="G281" s="79" t="s">
        <v>297</v>
      </c>
      <c r="H281" s="81" t="str">
        <f t="array" ref="H281">XLOOKUP(B281,municipios,regiao!$D$6:$D$150,0)</f>
        <v>SIM</v>
      </c>
      <c r="I281" s="79" t="s">
        <v>375</v>
      </c>
      <c r="J281" s="82" t="s">
        <v>337</v>
      </c>
      <c r="K281" s="83">
        <v>17.84</v>
      </c>
      <c r="L281" s="85">
        <f>K281/(1-pconfig!$G$2-pconfig!$G$3-pconfig!$G$4)</f>
        <v>33.6858006</v>
      </c>
      <c r="M281" s="83">
        <v>166.666666666667</v>
      </c>
      <c r="N281" s="83">
        <f>M281/(1-pconfig!$G$2-pconfig!$G$3-pconfig!$G$4)</f>
        <v>314.7029204</v>
      </c>
      <c r="O281" s="83">
        <f>((K281*F281)+M281)/(1-pconfig!$G$2-pconfig!$G$3-pconfig!$G$4)</f>
        <v>348.388721</v>
      </c>
      <c r="P281" s="86">
        <f>K281*F281/(1-pconfig!$G$2-pconfig!$G$3-pconfig!$G$4)</f>
        <v>33.6858006</v>
      </c>
      <c r="Q281" s="86">
        <f>IFS(F281&lt;=pconfig!$B$12,P281*pconfig!$C$12,F281&lt;=pconfig!$B$13,P281*pconfig!$C$13,F281&lt;=pconfig!$B$14,P281*pconfig!$C$14,F281&lt;=pconfig!$B$15,P281*pconfig!$C$15,F281&lt;=pconfig!$B$16,P281*pconfig!$C$16,F281&lt;=pconfig!$B$17,P281*pconfig!$C$17,F281&lt;=pconfig!$B$18,P281*pconfig!$C$18,F281&lt;=pconfig!$B$19,P281*pconfig!$C$19,F281&lt;=pconfig!$B$20,P281*pconfig!$C$20,F281&lt;=pconfig!$B$21,P281*pconfig!$C$21)</f>
        <v>33.6858006</v>
      </c>
      <c r="R281" s="87">
        <f t="shared" si="2"/>
        <v>348.388721</v>
      </c>
    </row>
    <row r="282" ht="22.5" hidden="1" customHeight="1">
      <c r="A282" s="52">
        <f t="shared" si="3"/>
        <v>281</v>
      </c>
      <c r="B282" s="53" t="s">
        <v>908</v>
      </c>
      <c r="C282" s="53" t="s">
        <v>50</v>
      </c>
      <c r="D282" s="56" t="s">
        <v>82</v>
      </c>
      <c r="E282" s="53" t="str">
        <f t="shared" si="1"/>
        <v>PLACASFIBRA</v>
      </c>
      <c r="F282" s="59">
        <v>1.0</v>
      </c>
      <c r="G282" s="53" t="s">
        <v>297</v>
      </c>
      <c r="H282" s="59" t="str">
        <f t="array" ref="H282">XLOOKUP(B282,municipios,regiao!$D$6:$D$150,0)</f>
        <v>SIM</v>
      </c>
      <c r="I282" s="53" t="s">
        <v>375</v>
      </c>
      <c r="J282" s="60" t="s">
        <v>337</v>
      </c>
      <c r="K282" s="61">
        <v>17.84</v>
      </c>
      <c r="L282" s="70">
        <f>K282/(1-pconfig!$G$2-pconfig!$G$3-pconfig!$G$4)</f>
        <v>33.6858006</v>
      </c>
      <c r="M282" s="61">
        <v>283.33</v>
      </c>
      <c r="N282" s="61">
        <f>M282/(1-pconfig!$G$2-pconfig!$G$3-pconfig!$G$4)</f>
        <v>534.9886707</v>
      </c>
      <c r="O282" s="61">
        <f>((K282*F282)+M282)/(1-pconfig!$G$2-pconfig!$G$3-pconfig!$G$4)</f>
        <v>568.6744713</v>
      </c>
      <c r="P282" s="74">
        <f>K282*F282/(1-pconfig!$G$2-pconfig!$G$3-pconfig!$G$4)</f>
        <v>33.6858006</v>
      </c>
      <c r="Q282" s="74">
        <f>IFS(F282&lt;=pconfig!$B$12,P282*pconfig!$C$12,F282&lt;=pconfig!$B$13,P282*pconfig!$C$13,F282&lt;=pconfig!$B$14,P282*pconfig!$C$14,F282&lt;=pconfig!$B$15,P282*pconfig!$C$15,F282&lt;=pconfig!$B$16,P282*pconfig!$C$16,F282&lt;=pconfig!$B$17,P282*pconfig!$C$17,F282&lt;=pconfig!$B$18,P282*pconfig!$C$18,F282&lt;=pconfig!$B$19,P282*pconfig!$C$19,F282&lt;=pconfig!$B$20,P282*pconfig!$C$20,F282&lt;=pconfig!$B$21,P282*pconfig!$C$21)</f>
        <v>33.6858006</v>
      </c>
      <c r="R282" s="76">
        <f t="shared" si="2"/>
        <v>568.6744713</v>
      </c>
    </row>
    <row r="283" ht="22.5" hidden="1" customHeight="1">
      <c r="A283" s="78">
        <f t="shared" si="3"/>
        <v>282</v>
      </c>
      <c r="B283" s="79" t="s">
        <v>908</v>
      </c>
      <c r="C283" s="79" t="s">
        <v>101</v>
      </c>
      <c r="D283" s="80" t="s">
        <v>102</v>
      </c>
      <c r="E283" s="79" t="str">
        <f t="shared" si="1"/>
        <v>PLACASSATELITE</v>
      </c>
      <c r="F283" s="81">
        <v>1.0</v>
      </c>
      <c r="G283" s="79" t="s">
        <v>297</v>
      </c>
      <c r="H283" s="81" t="str">
        <f t="array" ref="H283">XLOOKUP(B283,municipios,regiao!$D$6:$D$150,0)</f>
        <v>SIM</v>
      </c>
      <c r="I283" s="79" t="s">
        <v>375</v>
      </c>
      <c r="J283" s="82" t="s">
        <v>106</v>
      </c>
      <c r="K283" s="83">
        <v>4799.0</v>
      </c>
      <c r="L283" s="85">
        <f>K283/(1-pconfig!$G$2-pconfig!$G$3-pconfig!$G$4)</f>
        <v>9061.555891</v>
      </c>
      <c r="M283" s="83">
        <v>283.33</v>
      </c>
      <c r="N283" s="83">
        <f>M283/(1-pconfig!$G$2-pconfig!$G$3-pconfig!$G$4)</f>
        <v>534.9886707</v>
      </c>
      <c r="O283" s="83">
        <f>((K283*F283)+M283)/(1-pconfig!$G$2-pconfig!$G$3-pconfig!$G$4)</f>
        <v>9596.544562</v>
      </c>
      <c r="P283" s="86">
        <f>K283*F283/(1-pconfig!$G$2-pconfig!$G$3-pconfig!$G$4)</f>
        <v>9061.555891</v>
      </c>
      <c r="Q283" s="86">
        <f>IFS(F283&lt;=pconfig!$B$12,P283*pconfig!$C$12,F283&lt;=pconfig!$B$13,P283*pconfig!$C$13,F283&lt;=pconfig!$B$14,P283*pconfig!$C$14,F283&lt;=pconfig!$B$15,P283*pconfig!$C$15,F283&lt;=pconfig!$B$16,P283*pconfig!$C$16,F283&lt;=pconfig!$B$17,P283*pconfig!$C$17,F283&lt;=pconfig!$B$18,P283*pconfig!$C$18,F283&lt;=pconfig!$B$19,P283*pconfig!$C$19,F283&lt;=pconfig!$B$20,P283*pconfig!$C$20,F283&lt;=pconfig!$B$21,P283*pconfig!$C$21)</f>
        <v>9061.555891</v>
      </c>
      <c r="R283" s="87">
        <f t="shared" si="2"/>
        <v>9596.544562</v>
      </c>
    </row>
    <row r="284" ht="22.5" hidden="1" customHeight="1">
      <c r="A284" s="52">
        <f t="shared" si="3"/>
        <v>283</v>
      </c>
      <c r="B284" s="53" t="s">
        <v>892</v>
      </c>
      <c r="C284" s="53" t="s">
        <v>59</v>
      </c>
      <c r="D284" s="56" t="s">
        <v>60</v>
      </c>
      <c r="E284" s="53" t="str">
        <f t="shared" si="1"/>
        <v>PONTA DE PEDRASRADIO</v>
      </c>
      <c r="F284" s="59">
        <v>1.0</v>
      </c>
      <c r="G284" s="53" t="s">
        <v>258</v>
      </c>
      <c r="H284" s="59" t="str">
        <f t="array" ref="H284">XLOOKUP(B284,municipios,regiao!$D$6:$D$150,0)</f>
        <v>SIM</v>
      </c>
      <c r="I284" s="53" t="s">
        <v>258</v>
      </c>
      <c r="J284" s="60" t="s">
        <v>337</v>
      </c>
      <c r="K284" s="61">
        <v>17.84</v>
      </c>
      <c r="L284" s="70">
        <f>K284/(1-pconfig!$G$2-pconfig!$G$3-pconfig!$G$4)</f>
        <v>33.6858006</v>
      </c>
      <c r="M284" s="61">
        <v>138.285</v>
      </c>
      <c r="N284" s="61">
        <f>M284/(1-pconfig!$G$2-pconfig!$G$3-pconfig!$G$4)</f>
        <v>261.1121601</v>
      </c>
      <c r="O284" s="61">
        <f>((K284*F284)+M284)/(1-pconfig!$G$2-pconfig!$G$3-pconfig!$G$4)</f>
        <v>294.7979607</v>
      </c>
      <c r="P284" s="74">
        <f>K284*F284/(1-pconfig!$G$2-pconfig!$G$3-pconfig!$G$4)</f>
        <v>33.6858006</v>
      </c>
      <c r="Q284" s="74">
        <f>IFS(F284&lt;=pconfig!$B$12,P284*pconfig!$C$12,F284&lt;=pconfig!$B$13,P284*pconfig!$C$13,F284&lt;=pconfig!$B$14,P284*pconfig!$C$14,F284&lt;=pconfig!$B$15,P284*pconfig!$C$15,F284&lt;=pconfig!$B$16,P284*pconfig!$C$16,F284&lt;=pconfig!$B$17,P284*pconfig!$C$17,F284&lt;=pconfig!$B$18,P284*pconfig!$C$18,F284&lt;=pconfig!$B$19,P284*pconfig!$C$19,F284&lt;=pconfig!$B$20,P284*pconfig!$C$20,F284&lt;=pconfig!$B$21,P284*pconfig!$C$21)</f>
        <v>33.6858006</v>
      </c>
      <c r="R284" s="76">
        <f t="shared" si="2"/>
        <v>294.7979607</v>
      </c>
    </row>
    <row r="285" ht="22.5" hidden="1" customHeight="1">
      <c r="A285" s="78">
        <f t="shared" si="3"/>
        <v>284</v>
      </c>
      <c r="B285" s="79" t="s">
        <v>892</v>
      </c>
      <c r="C285" s="79" t="s">
        <v>50</v>
      </c>
      <c r="D285" s="80" t="s">
        <v>82</v>
      </c>
      <c r="E285" s="79" t="str">
        <f t="shared" si="1"/>
        <v>PONTA DE PEDRASFIBRA</v>
      </c>
      <c r="F285" s="81">
        <v>1.0</v>
      </c>
      <c r="G285" s="79" t="s">
        <v>258</v>
      </c>
      <c r="H285" s="81" t="str">
        <f t="array" ref="H285">XLOOKUP(B285,municipios,regiao!$D$6:$D$150,0)</f>
        <v>SIM</v>
      </c>
      <c r="I285" s="79" t="s">
        <v>258</v>
      </c>
      <c r="J285" s="82" t="s">
        <v>337</v>
      </c>
      <c r="K285" s="83">
        <v>17.84</v>
      </c>
      <c r="L285" s="85">
        <f>K285/(1-pconfig!$G$2-pconfig!$G$3-pconfig!$G$4)</f>
        <v>33.6858006</v>
      </c>
      <c r="M285" s="83">
        <v>519.17</v>
      </c>
      <c r="N285" s="83">
        <f>M285/(1-pconfig!$G$2-pconfig!$G$3-pconfig!$G$4)</f>
        <v>980.3058912</v>
      </c>
      <c r="O285" s="83">
        <f>((K285*F285)+M285)/(1-pconfig!$G$2-pconfig!$G$3-pconfig!$G$4)</f>
        <v>1013.991692</v>
      </c>
      <c r="P285" s="86">
        <f>K285*F285/(1-pconfig!$G$2-pconfig!$G$3-pconfig!$G$4)</f>
        <v>33.6858006</v>
      </c>
      <c r="Q285" s="86">
        <f>IFS(F285&lt;=pconfig!$B$12,P285*pconfig!$C$12,F285&lt;=pconfig!$B$13,P285*pconfig!$C$13,F285&lt;=pconfig!$B$14,P285*pconfig!$C$14,F285&lt;=pconfig!$B$15,P285*pconfig!$C$15,F285&lt;=pconfig!$B$16,P285*pconfig!$C$16,F285&lt;=pconfig!$B$17,P285*pconfig!$C$17,F285&lt;=pconfig!$B$18,P285*pconfig!$C$18,F285&lt;=pconfig!$B$19,P285*pconfig!$C$19,F285&lt;=pconfig!$B$20,P285*pconfig!$C$20,F285&lt;=pconfig!$B$21,P285*pconfig!$C$21)</f>
        <v>33.6858006</v>
      </c>
      <c r="R285" s="87">
        <f t="shared" si="2"/>
        <v>1013.991692</v>
      </c>
    </row>
    <row r="286" ht="22.5" hidden="1" customHeight="1">
      <c r="A286" s="52">
        <f t="shared" si="3"/>
        <v>285</v>
      </c>
      <c r="B286" s="53" t="s">
        <v>892</v>
      </c>
      <c r="C286" s="53" t="s">
        <v>101</v>
      </c>
      <c r="D286" s="56" t="s">
        <v>102</v>
      </c>
      <c r="E286" s="53" t="str">
        <f t="shared" si="1"/>
        <v>PONTA DE PEDRASSATELITE</v>
      </c>
      <c r="F286" s="59">
        <v>1.0</v>
      </c>
      <c r="G286" s="53" t="s">
        <v>258</v>
      </c>
      <c r="H286" s="59" t="str">
        <f t="array" ref="H286">XLOOKUP(B286,municipios,regiao!$D$6:$D$150,0)</f>
        <v>SIM</v>
      </c>
      <c r="I286" s="53" t="s">
        <v>258</v>
      </c>
      <c r="J286" s="60" t="s">
        <v>106</v>
      </c>
      <c r="K286" s="61">
        <v>4799.0</v>
      </c>
      <c r="L286" s="70">
        <f>K286/(1-pconfig!$G$2-pconfig!$G$3-pconfig!$G$4)</f>
        <v>9061.555891</v>
      </c>
      <c r="M286" s="61">
        <v>519.17</v>
      </c>
      <c r="N286" s="61">
        <f>M286/(1-pconfig!$G$2-pconfig!$G$3-pconfig!$G$4)</f>
        <v>980.3058912</v>
      </c>
      <c r="O286" s="61">
        <f>((K286*F286)+M286)/(1-pconfig!$G$2-pconfig!$G$3-pconfig!$G$4)</f>
        <v>10041.86178</v>
      </c>
      <c r="P286" s="74">
        <f>K286*F286/(1-pconfig!$G$2-pconfig!$G$3-pconfig!$G$4)</f>
        <v>9061.555891</v>
      </c>
      <c r="Q286" s="74">
        <f>IFS(F286&lt;=pconfig!$B$12,P286*pconfig!$C$12,F286&lt;=pconfig!$B$13,P286*pconfig!$C$13,F286&lt;=pconfig!$B$14,P286*pconfig!$C$14,F286&lt;=pconfig!$B$15,P286*pconfig!$C$15,F286&lt;=pconfig!$B$16,P286*pconfig!$C$16,F286&lt;=pconfig!$B$17,P286*pconfig!$C$17,F286&lt;=pconfig!$B$18,P286*pconfig!$C$18,F286&lt;=pconfig!$B$19,P286*pconfig!$C$19,F286&lt;=pconfig!$B$20,P286*pconfig!$C$20,F286&lt;=pconfig!$B$21,P286*pconfig!$C$21)</f>
        <v>9061.555891</v>
      </c>
      <c r="R286" s="76">
        <f t="shared" si="2"/>
        <v>10041.86178</v>
      </c>
    </row>
    <row r="287" ht="22.5" hidden="1" customHeight="1">
      <c r="A287" s="78">
        <f t="shared" si="3"/>
        <v>286</v>
      </c>
      <c r="B287" s="79" t="s">
        <v>909</v>
      </c>
      <c r="C287" s="79" t="s">
        <v>59</v>
      </c>
      <c r="D287" s="80" t="s">
        <v>60</v>
      </c>
      <c r="E287" s="79" t="str">
        <f t="shared" si="1"/>
        <v>PORTELRADIO</v>
      </c>
      <c r="F287" s="81">
        <v>1.0</v>
      </c>
      <c r="G287" s="79" t="s">
        <v>258</v>
      </c>
      <c r="H287" s="81" t="str">
        <f t="array" ref="H287">XLOOKUP(B287,municipios,regiao!$D$6:$D$150,0)</f>
        <v>NÃO</v>
      </c>
      <c r="I287" s="79" t="s">
        <v>258</v>
      </c>
      <c r="J287" s="82" t="s">
        <v>259</v>
      </c>
      <c r="K287" s="83">
        <v>35.73</v>
      </c>
      <c r="L287" s="85">
        <f>K287/(1-pconfig!$G$2-pconfig!$G$3-pconfig!$G$4)</f>
        <v>67.46601208</v>
      </c>
      <c r="M287" s="83">
        <v>106.693333333333</v>
      </c>
      <c r="N287" s="83">
        <f>M287/(1-pconfig!$G$2-pconfig!$G$3-pconfig!$G$4)</f>
        <v>201.4602216</v>
      </c>
      <c r="O287" s="83">
        <f>((K287*F287)+M287)/(1-pconfig!$G$2-pconfig!$G$3-pconfig!$G$4)</f>
        <v>268.9262336</v>
      </c>
      <c r="P287" s="86">
        <f>K287*F287/(1-pconfig!$G$2-pconfig!$G$3-pconfig!$G$4)</f>
        <v>67.46601208</v>
      </c>
      <c r="Q287" s="86">
        <f>IFS(F287&lt;=pconfig!$B$12,P287*pconfig!$C$12,F287&lt;=pconfig!$B$13,P287*pconfig!$C$13,F287&lt;=pconfig!$B$14,P287*pconfig!$C$14,F287&lt;=pconfig!$B$15,P287*pconfig!$C$15,F287&lt;=pconfig!$B$16,P287*pconfig!$C$16,F287&lt;=pconfig!$B$17,P287*pconfig!$C$17,F287&lt;=pconfig!$B$18,P287*pconfig!$C$18,F287&lt;=pconfig!$B$19,P287*pconfig!$C$19,F287&lt;=pconfig!$B$20,P287*pconfig!$C$20,F287&lt;=pconfig!$B$21,P287*pconfig!$C$21)</f>
        <v>67.46601208</v>
      </c>
      <c r="R287" s="87">
        <f t="shared" si="2"/>
        <v>268.9262336</v>
      </c>
    </row>
    <row r="288" ht="22.5" hidden="1" customHeight="1">
      <c r="A288" s="52">
        <f t="shared" si="3"/>
        <v>287</v>
      </c>
      <c r="B288" s="53" t="s">
        <v>909</v>
      </c>
      <c r="C288" s="53" t="s">
        <v>50</v>
      </c>
      <c r="D288" s="56" t="s">
        <v>82</v>
      </c>
      <c r="E288" s="53" t="str">
        <f t="shared" si="1"/>
        <v>PORTELFIBRA</v>
      </c>
      <c r="F288" s="59">
        <v>1.0</v>
      </c>
      <c r="G288" s="53" t="s">
        <v>258</v>
      </c>
      <c r="H288" s="59" t="str">
        <f t="array" ref="H288">XLOOKUP(B288,municipios,regiao!$D$6:$D$150,0)</f>
        <v>NÃO</v>
      </c>
      <c r="I288" s="53" t="s">
        <v>258</v>
      </c>
      <c r="J288" s="60" t="s">
        <v>259</v>
      </c>
      <c r="K288" s="61">
        <v>35.73</v>
      </c>
      <c r="L288" s="70">
        <f>K288/(1-pconfig!$G$2-pconfig!$G$3-pconfig!$G$4)</f>
        <v>67.46601208</v>
      </c>
      <c r="M288" s="61">
        <v>519.17</v>
      </c>
      <c r="N288" s="61">
        <f>M288/(1-pconfig!$G$2-pconfig!$G$3-pconfig!$G$4)</f>
        <v>980.3058912</v>
      </c>
      <c r="O288" s="61">
        <f>((K288*F288)+M288)/(1-pconfig!$G$2-pconfig!$G$3-pconfig!$G$4)</f>
        <v>1047.771903</v>
      </c>
      <c r="P288" s="74">
        <f>K288*F288/(1-pconfig!$G$2-pconfig!$G$3-pconfig!$G$4)</f>
        <v>67.46601208</v>
      </c>
      <c r="Q288" s="74">
        <f>IFS(F288&lt;=pconfig!$B$12,P288*pconfig!$C$12,F288&lt;=pconfig!$B$13,P288*pconfig!$C$13,F288&lt;=pconfig!$B$14,P288*pconfig!$C$14,F288&lt;=pconfig!$B$15,P288*pconfig!$C$15,F288&lt;=pconfig!$B$16,P288*pconfig!$C$16,F288&lt;=pconfig!$B$17,P288*pconfig!$C$17,F288&lt;=pconfig!$B$18,P288*pconfig!$C$18,F288&lt;=pconfig!$B$19,P288*pconfig!$C$19,F288&lt;=pconfig!$B$20,P288*pconfig!$C$20,F288&lt;=pconfig!$B$21,P288*pconfig!$C$21)</f>
        <v>67.46601208</v>
      </c>
      <c r="R288" s="76">
        <f t="shared" si="2"/>
        <v>1047.771903</v>
      </c>
    </row>
    <row r="289" ht="22.5" hidden="1" customHeight="1">
      <c r="A289" s="78">
        <f t="shared" si="3"/>
        <v>288</v>
      </c>
      <c r="B289" s="79" t="s">
        <v>909</v>
      </c>
      <c r="C289" s="79" t="s">
        <v>101</v>
      </c>
      <c r="D289" s="80" t="s">
        <v>102</v>
      </c>
      <c r="E289" s="79" t="str">
        <f t="shared" si="1"/>
        <v>PORTELSATELITE</v>
      </c>
      <c r="F289" s="81">
        <v>1.0</v>
      </c>
      <c r="G289" s="79" t="s">
        <v>258</v>
      </c>
      <c r="H289" s="81" t="str">
        <f t="array" ref="H289">XLOOKUP(B289,municipios,regiao!$D$6:$D$150,0)</f>
        <v>NÃO</v>
      </c>
      <c r="I289" s="79" t="s">
        <v>258</v>
      </c>
      <c r="J289" s="82" t="s">
        <v>106</v>
      </c>
      <c r="K289" s="83">
        <v>4799.0</v>
      </c>
      <c r="L289" s="85">
        <f>K289/(1-pconfig!$G$2-pconfig!$G$3-pconfig!$G$4)</f>
        <v>9061.555891</v>
      </c>
      <c r="M289" s="83">
        <v>519.17</v>
      </c>
      <c r="N289" s="83">
        <f>M289/(1-pconfig!$G$2-pconfig!$G$3-pconfig!$G$4)</f>
        <v>980.3058912</v>
      </c>
      <c r="O289" s="83">
        <f>((K289*F289)+M289)/(1-pconfig!$G$2-pconfig!$G$3-pconfig!$G$4)</f>
        <v>10041.86178</v>
      </c>
      <c r="P289" s="86">
        <f>K289*F289/(1-pconfig!$G$2-pconfig!$G$3-pconfig!$G$4)</f>
        <v>9061.555891</v>
      </c>
      <c r="Q289" s="86">
        <f>IFS(F289&lt;=pconfig!$B$12,P289*pconfig!$C$12,F289&lt;=pconfig!$B$13,P289*pconfig!$C$13,F289&lt;=pconfig!$B$14,P289*pconfig!$C$14,F289&lt;=pconfig!$B$15,P289*pconfig!$C$15,F289&lt;=pconfig!$B$16,P289*pconfig!$C$16,F289&lt;=pconfig!$B$17,P289*pconfig!$C$17,F289&lt;=pconfig!$B$18,P289*pconfig!$C$18,F289&lt;=pconfig!$B$19,P289*pconfig!$C$19,F289&lt;=pconfig!$B$20,P289*pconfig!$C$20,F289&lt;=pconfig!$B$21,P289*pconfig!$C$21)</f>
        <v>9061.555891</v>
      </c>
      <c r="R289" s="87">
        <f t="shared" si="2"/>
        <v>10041.86178</v>
      </c>
    </row>
    <row r="290" ht="22.5" hidden="1" customHeight="1">
      <c r="A290" s="52">
        <f t="shared" si="3"/>
        <v>289</v>
      </c>
      <c r="B290" s="53" t="s">
        <v>910</v>
      </c>
      <c r="C290" s="53" t="s">
        <v>50</v>
      </c>
      <c r="D290" s="56" t="s">
        <v>82</v>
      </c>
      <c r="E290" s="53" t="str">
        <f t="shared" si="1"/>
        <v>PORTO DE MOZFIBRA</v>
      </c>
      <c r="F290" s="59">
        <v>1.0</v>
      </c>
      <c r="G290" s="53" t="s">
        <v>297</v>
      </c>
      <c r="H290" s="59" t="str">
        <f t="array" ref="H290">XLOOKUP(B290,municipios,regiao!$D$6:$D$150,0)</f>
        <v>NÃO</v>
      </c>
      <c r="I290" s="53" t="s">
        <v>375</v>
      </c>
      <c r="J290" s="60" t="s">
        <v>259</v>
      </c>
      <c r="K290" s="61">
        <v>35.73</v>
      </c>
      <c r="L290" s="70">
        <f>K290/(1-pconfig!$G$2-pconfig!$G$3-pconfig!$G$4)</f>
        <v>67.46601208</v>
      </c>
      <c r="M290" s="61">
        <v>283.33</v>
      </c>
      <c r="N290" s="61">
        <f>M290/(1-pconfig!$G$2-pconfig!$G$3-pconfig!$G$4)</f>
        <v>534.9886707</v>
      </c>
      <c r="O290" s="61">
        <f>((K290*F290)+M290)/(1-pconfig!$G$2-pconfig!$G$3-pconfig!$G$4)</f>
        <v>602.4546828</v>
      </c>
      <c r="P290" s="74">
        <f>K290*F290/(1-pconfig!$G$2-pconfig!$G$3-pconfig!$G$4)</f>
        <v>67.46601208</v>
      </c>
      <c r="Q290" s="74">
        <f>IFS(F290&lt;=pconfig!$B$12,P290*pconfig!$C$12,F290&lt;=pconfig!$B$13,P290*pconfig!$C$13,F290&lt;=pconfig!$B$14,P290*pconfig!$C$14,F290&lt;=pconfig!$B$15,P290*pconfig!$C$15,F290&lt;=pconfig!$B$16,P290*pconfig!$C$16,F290&lt;=pconfig!$B$17,P290*pconfig!$C$17,F290&lt;=pconfig!$B$18,P290*pconfig!$C$18,F290&lt;=pconfig!$B$19,P290*pconfig!$C$19,F290&lt;=pconfig!$B$20,P290*pconfig!$C$20,F290&lt;=pconfig!$B$21,P290*pconfig!$C$21)</f>
        <v>67.46601208</v>
      </c>
      <c r="R290" s="76">
        <f t="shared" si="2"/>
        <v>602.4546828</v>
      </c>
    </row>
    <row r="291" ht="22.5" hidden="1" customHeight="1">
      <c r="A291" s="78">
        <f t="shared" si="3"/>
        <v>290</v>
      </c>
      <c r="B291" s="79" t="s">
        <v>910</v>
      </c>
      <c r="C291" s="79" t="s">
        <v>101</v>
      </c>
      <c r="D291" s="80" t="s">
        <v>102</v>
      </c>
      <c r="E291" s="79" t="str">
        <f t="shared" si="1"/>
        <v>PORTO DE MOZSATELITE</v>
      </c>
      <c r="F291" s="81">
        <v>1.0</v>
      </c>
      <c r="G291" s="79" t="s">
        <v>297</v>
      </c>
      <c r="H291" s="81" t="str">
        <f t="array" ref="H291">XLOOKUP(B291,municipios,regiao!$D$6:$D$150,0)</f>
        <v>NÃO</v>
      </c>
      <c r="I291" s="79" t="s">
        <v>375</v>
      </c>
      <c r="J291" s="82" t="s">
        <v>106</v>
      </c>
      <c r="K291" s="83">
        <v>4799.0</v>
      </c>
      <c r="L291" s="85">
        <f>K291/(1-pconfig!$G$2-pconfig!$G$3-pconfig!$G$4)</f>
        <v>9061.555891</v>
      </c>
      <c r="M291" s="83">
        <v>283.33</v>
      </c>
      <c r="N291" s="83">
        <f>M291/(1-pconfig!$G$2-pconfig!$G$3-pconfig!$G$4)</f>
        <v>534.9886707</v>
      </c>
      <c r="O291" s="83">
        <f>((K291*F291)+M291)/(1-pconfig!$G$2-pconfig!$G$3-pconfig!$G$4)</f>
        <v>9596.544562</v>
      </c>
      <c r="P291" s="86">
        <f>K291*F291/(1-pconfig!$G$2-pconfig!$G$3-pconfig!$G$4)</f>
        <v>9061.555891</v>
      </c>
      <c r="Q291" s="86">
        <f>IFS(F291&lt;=pconfig!$B$12,P291*pconfig!$C$12,F291&lt;=pconfig!$B$13,P291*pconfig!$C$13,F291&lt;=pconfig!$B$14,P291*pconfig!$C$14,F291&lt;=pconfig!$B$15,P291*pconfig!$C$15,F291&lt;=pconfig!$B$16,P291*pconfig!$C$16,F291&lt;=pconfig!$B$17,P291*pconfig!$C$17,F291&lt;=pconfig!$B$18,P291*pconfig!$C$18,F291&lt;=pconfig!$B$19,P291*pconfig!$C$19,F291&lt;=pconfig!$B$20,P291*pconfig!$C$20,F291&lt;=pconfig!$B$21,P291*pconfig!$C$21)</f>
        <v>9061.555891</v>
      </c>
      <c r="R291" s="87">
        <f t="shared" si="2"/>
        <v>9596.544562</v>
      </c>
    </row>
    <row r="292" ht="22.5" hidden="1" customHeight="1">
      <c r="A292" s="52">
        <f t="shared" si="3"/>
        <v>291</v>
      </c>
      <c r="B292" s="53" t="s">
        <v>910</v>
      </c>
      <c r="C292" s="53" t="s">
        <v>59</v>
      </c>
      <c r="D292" s="56" t="s">
        <v>60</v>
      </c>
      <c r="E292" s="53" t="str">
        <f t="shared" si="1"/>
        <v>PORTO DE MOZRADIO</v>
      </c>
      <c r="F292" s="59">
        <v>1.0</v>
      </c>
      <c r="G292" s="53" t="s">
        <v>297</v>
      </c>
      <c r="H292" s="59" t="str">
        <f t="array" ref="H292">XLOOKUP(B292,municipios,regiao!$D$6:$D$150,0)</f>
        <v>NÃO</v>
      </c>
      <c r="I292" s="53" t="s">
        <v>375</v>
      </c>
      <c r="J292" s="60" t="s">
        <v>259</v>
      </c>
      <c r="K292" s="61">
        <v>35.73</v>
      </c>
      <c r="L292" s="70">
        <f>K292/(1-pconfig!$G$2-pconfig!$G$3-pconfig!$G$4)</f>
        <v>67.46601208</v>
      </c>
      <c r="M292" s="61">
        <v>416.666666666667</v>
      </c>
      <c r="N292" s="61">
        <f>M292/(1-pconfig!$G$2-pconfig!$G$3-pconfig!$G$4)</f>
        <v>786.7573011</v>
      </c>
      <c r="O292" s="61">
        <f>((K292*F292)+M292)/(1-pconfig!$G$2-pconfig!$G$3-pconfig!$G$4)</f>
        <v>854.2233132</v>
      </c>
      <c r="P292" s="74">
        <f>K292*F292/(1-pconfig!$G$2-pconfig!$G$3-pconfig!$G$4)</f>
        <v>67.46601208</v>
      </c>
      <c r="Q292" s="74">
        <f>IFS(F292&lt;=pconfig!$B$12,P292*pconfig!$C$12,F292&lt;=pconfig!$B$13,P292*pconfig!$C$13,F292&lt;=pconfig!$B$14,P292*pconfig!$C$14,F292&lt;=pconfig!$B$15,P292*pconfig!$C$15,F292&lt;=pconfig!$B$16,P292*pconfig!$C$16,F292&lt;=pconfig!$B$17,P292*pconfig!$C$17,F292&lt;=pconfig!$B$18,P292*pconfig!$C$18,F292&lt;=pconfig!$B$19,P292*pconfig!$C$19,F292&lt;=pconfig!$B$20,P292*pconfig!$C$20,F292&lt;=pconfig!$B$21,P292*pconfig!$C$21)</f>
        <v>67.46601208</v>
      </c>
      <c r="R292" s="76">
        <f t="shared" si="2"/>
        <v>854.2233132</v>
      </c>
    </row>
    <row r="293" ht="22.5" hidden="1" customHeight="1">
      <c r="A293" s="78">
        <f t="shared" si="3"/>
        <v>292</v>
      </c>
      <c r="B293" s="79" t="s">
        <v>911</v>
      </c>
      <c r="C293" s="79" t="s">
        <v>50</v>
      </c>
      <c r="D293" s="80" t="s">
        <v>82</v>
      </c>
      <c r="E293" s="79" t="str">
        <f t="shared" si="1"/>
        <v>PRAINHAFIBRA</v>
      </c>
      <c r="F293" s="81">
        <v>1.0</v>
      </c>
      <c r="G293" s="79" t="s">
        <v>297</v>
      </c>
      <c r="H293" s="81" t="str">
        <f t="array" ref="H293">XLOOKUP(B293,municipios,regiao!$D$6:$D$150,0)</f>
        <v>NÃO</v>
      </c>
      <c r="I293" s="79" t="s">
        <v>297</v>
      </c>
      <c r="J293" s="82" t="s">
        <v>133</v>
      </c>
      <c r="K293" s="83">
        <v>29.29</v>
      </c>
      <c r="L293" s="85">
        <f>K293/(1-pconfig!$G$2-pconfig!$G$3-pconfig!$G$4)</f>
        <v>55.30589124</v>
      </c>
      <c r="M293" s="83">
        <v>133.3</v>
      </c>
      <c r="N293" s="83">
        <f>M293/(1-pconfig!$G$2-pconfig!$G$3-pconfig!$G$4)</f>
        <v>251.6993958</v>
      </c>
      <c r="O293" s="83">
        <f>((K293*F293)+M293)/(1-pconfig!$G$2-pconfig!$G$3-pconfig!$G$4)</f>
        <v>307.005287</v>
      </c>
      <c r="P293" s="86">
        <f>K293*F293/(1-pconfig!$G$2-pconfig!$G$3-pconfig!$G$4)</f>
        <v>55.30589124</v>
      </c>
      <c r="Q293" s="86">
        <f>IFS(F293&lt;=pconfig!$B$12,P293*pconfig!$C$12,F293&lt;=pconfig!$B$13,P293*pconfig!$C$13,F293&lt;=pconfig!$B$14,P293*pconfig!$C$14,F293&lt;=pconfig!$B$15,P293*pconfig!$C$15,F293&lt;=pconfig!$B$16,P293*pconfig!$C$16,F293&lt;=pconfig!$B$17,P293*pconfig!$C$17,F293&lt;=pconfig!$B$18,P293*pconfig!$C$18,F293&lt;=pconfig!$B$19,P293*pconfig!$C$19,F293&lt;=pconfig!$B$20,P293*pconfig!$C$20,F293&lt;=pconfig!$B$21,P293*pconfig!$C$21)</f>
        <v>55.30589124</v>
      </c>
      <c r="R293" s="87">
        <f t="shared" si="2"/>
        <v>307.005287</v>
      </c>
    </row>
    <row r="294" ht="22.5" hidden="1" customHeight="1">
      <c r="A294" s="52">
        <f t="shared" si="3"/>
        <v>293</v>
      </c>
      <c r="B294" s="53" t="s">
        <v>911</v>
      </c>
      <c r="C294" s="53" t="s">
        <v>101</v>
      </c>
      <c r="D294" s="56" t="s">
        <v>102</v>
      </c>
      <c r="E294" s="53" t="str">
        <f t="shared" si="1"/>
        <v>PRAINHASATELITE</v>
      </c>
      <c r="F294" s="59">
        <v>1.0</v>
      </c>
      <c r="G294" s="53" t="s">
        <v>297</v>
      </c>
      <c r="H294" s="59" t="str">
        <f t="array" ref="H294">XLOOKUP(B294,municipios,regiao!$D$6:$D$150,0)</f>
        <v>NÃO</v>
      </c>
      <c r="I294" s="53" t="s">
        <v>297</v>
      </c>
      <c r="J294" s="60" t="s">
        <v>106</v>
      </c>
      <c r="K294" s="61">
        <v>4799.0</v>
      </c>
      <c r="L294" s="70">
        <f>K294/(1-pconfig!$G$2-pconfig!$G$3-pconfig!$G$4)</f>
        <v>9061.555891</v>
      </c>
      <c r="M294" s="61">
        <v>133.3</v>
      </c>
      <c r="N294" s="61">
        <f>M294/(1-pconfig!$G$2-pconfig!$G$3-pconfig!$G$4)</f>
        <v>251.6993958</v>
      </c>
      <c r="O294" s="61">
        <f>((K294*F294)+M294)/(1-pconfig!$G$2-pconfig!$G$3-pconfig!$G$4)</f>
        <v>9313.255287</v>
      </c>
      <c r="P294" s="74">
        <f>K294*F294/(1-pconfig!$G$2-pconfig!$G$3-pconfig!$G$4)</f>
        <v>9061.555891</v>
      </c>
      <c r="Q294" s="74">
        <f>IFS(F294&lt;=pconfig!$B$12,P294*pconfig!$C$12,F294&lt;=pconfig!$B$13,P294*pconfig!$C$13,F294&lt;=pconfig!$B$14,P294*pconfig!$C$14,F294&lt;=pconfig!$B$15,P294*pconfig!$C$15,F294&lt;=pconfig!$B$16,P294*pconfig!$C$16,F294&lt;=pconfig!$B$17,P294*pconfig!$C$17,F294&lt;=pconfig!$B$18,P294*pconfig!$C$18,F294&lt;=pconfig!$B$19,P294*pconfig!$C$19,F294&lt;=pconfig!$B$20,P294*pconfig!$C$20,F294&lt;=pconfig!$B$21,P294*pconfig!$C$21)</f>
        <v>9061.555891</v>
      </c>
      <c r="R294" s="76">
        <f t="shared" si="2"/>
        <v>9313.255287</v>
      </c>
    </row>
    <row r="295" ht="22.5" hidden="1" customHeight="1">
      <c r="A295" s="78">
        <f t="shared" si="3"/>
        <v>294</v>
      </c>
      <c r="B295" s="153" t="s">
        <v>911</v>
      </c>
      <c r="C295" s="79" t="s">
        <v>59</v>
      </c>
      <c r="D295" s="80" t="s">
        <v>60</v>
      </c>
      <c r="E295" s="79" t="str">
        <f t="shared" si="1"/>
        <v>PRAINHARADIO</v>
      </c>
      <c r="F295" s="81">
        <v>1.0</v>
      </c>
      <c r="G295" s="79" t="s">
        <v>297</v>
      </c>
      <c r="H295" s="81" t="str">
        <f t="array" ref="H295">XLOOKUP(B295,municipios,regiao!$D$6:$D$150,0)</f>
        <v>NÃO</v>
      </c>
      <c r="I295" s="79" t="s">
        <v>297</v>
      </c>
      <c r="J295" s="82" t="s">
        <v>133</v>
      </c>
      <c r="K295" s="83">
        <v>29.29</v>
      </c>
      <c r="L295" s="85">
        <f>K295/(1-pconfig!$G$2-pconfig!$G$3-pconfig!$G$4)</f>
        <v>55.30589124</v>
      </c>
      <c r="M295" s="83">
        <v>166.666666666667</v>
      </c>
      <c r="N295" s="83">
        <f>M295/(1-pconfig!$G$2-pconfig!$G$3-pconfig!$G$4)</f>
        <v>314.7029204</v>
      </c>
      <c r="O295" s="83">
        <f>((K295*F295)+M295)/(1-pconfig!$G$2-pconfig!$G$3-pconfig!$G$4)</f>
        <v>370.0088117</v>
      </c>
      <c r="P295" s="86">
        <f>K295*F295/(1-pconfig!$G$2-pconfig!$G$3-pconfig!$G$4)</f>
        <v>55.30589124</v>
      </c>
      <c r="Q295" s="86">
        <f>IFS(F295&lt;=pconfig!$B$12,P295*pconfig!$C$12,F295&lt;=pconfig!$B$13,P295*pconfig!$C$13,F295&lt;=pconfig!$B$14,P295*pconfig!$C$14,F295&lt;=pconfig!$B$15,P295*pconfig!$C$15,F295&lt;=pconfig!$B$16,P295*pconfig!$C$16,F295&lt;=pconfig!$B$17,P295*pconfig!$C$17,F295&lt;=pconfig!$B$18,P295*pconfig!$C$18,F295&lt;=pconfig!$B$19,P295*pconfig!$C$19,F295&lt;=pconfig!$B$20,P295*pconfig!$C$20,F295&lt;=pconfig!$B$21,P295*pconfig!$C$21)</f>
        <v>55.30589124</v>
      </c>
      <c r="R295" s="87">
        <f t="shared" si="2"/>
        <v>370.0088117</v>
      </c>
    </row>
    <row r="296" ht="22.5" hidden="1" customHeight="1">
      <c r="A296" s="52">
        <f t="shared" si="3"/>
        <v>295</v>
      </c>
      <c r="B296" s="53" t="s">
        <v>912</v>
      </c>
      <c r="C296" s="53" t="s">
        <v>59</v>
      </c>
      <c r="D296" s="56" t="s">
        <v>60</v>
      </c>
      <c r="E296" s="53" t="str">
        <f t="shared" si="1"/>
        <v>PRIMAVERARADIO</v>
      </c>
      <c r="F296" s="59">
        <v>1.0</v>
      </c>
      <c r="G296" s="53" t="s">
        <v>61</v>
      </c>
      <c r="H296" s="59" t="str">
        <f t="array" ref="H296">XLOOKUP(B296,municipios,regiao!$D$6:$D$150,0)</f>
        <v>SIM</v>
      </c>
      <c r="I296" s="53" t="s">
        <v>496</v>
      </c>
      <c r="J296" s="60" t="s">
        <v>337</v>
      </c>
      <c r="K296" s="61">
        <v>17.84</v>
      </c>
      <c r="L296" s="70">
        <f>K296/(1-pconfig!$G$2-pconfig!$G$3-pconfig!$G$4)</f>
        <v>33.6858006</v>
      </c>
      <c r="M296" s="61">
        <v>137.604166666667</v>
      </c>
      <c r="N296" s="61">
        <f>M296/(1-pconfig!$G$2-pconfig!$G$3-pconfig!$G$4)</f>
        <v>259.8265987</v>
      </c>
      <c r="O296" s="61">
        <f>((K296*F296)+M296)/(1-pconfig!$G$2-pconfig!$G$3-pconfig!$G$4)</f>
        <v>293.5123993</v>
      </c>
      <c r="P296" s="74">
        <f>K296*F296/(1-pconfig!$G$2-pconfig!$G$3-pconfig!$G$4)</f>
        <v>33.6858006</v>
      </c>
      <c r="Q296" s="74">
        <f>IFS(F296&lt;=pconfig!$B$12,P296*pconfig!$C$12,F296&lt;=pconfig!$B$13,P296*pconfig!$C$13,F296&lt;=pconfig!$B$14,P296*pconfig!$C$14,F296&lt;=pconfig!$B$15,P296*pconfig!$C$15,F296&lt;=pconfig!$B$16,P296*pconfig!$C$16,F296&lt;=pconfig!$B$17,P296*pconfig!$C$17,F296&lt;=pconfig!$B$18,P296*pconfig!$C$18,F296&lt;=pconfig!$B$19,P296*pconfig!$C$19,F296&lt;=pconfig!$B$20,P296*pconfig!$C$20,F296&lt;=pconfig!$B$21,P296*pconfig!$C$21)</f>
        <v>33.6858006</v>
      </c>
      <c r="R296" s="76">
        <f t="shared" si="2"/>
        <v>293.5123993</v>
      </c>
    </row>
    <row r="297" ht="22.5" hidden="1" customHeight="1">
      <c r="A297" s="78">
        <f t="shared" si="3"/>
        <v>296</v>
      </c>
      <c r="B297" s="79" t="s">
        <v>912</v>
      </c>
      <c r="C297" s="79" t="s">
        <v>50</v>
      </c>
      <c r="D297" s="80" t="s">
        <v>82</v>
      </c>
      <c r="E297" s="79" t="str">
        <f t="shared" si="1"/>
        <v>PRIMAVERAFIBRA</v>
      </c>
      <c r="F297" s="81">
        <v>1.0</v>
      </c>
      <c r="G297" s="79" t="s">
        <v>61</v>
      </c>
      <c r="H297" s="81" t="str">
        <f t="array" ref="H297">XLOOKUP(B297,municipios,regiao!$D$6:$D$150,0)</f>
        <v>SIM</v>
      </c>
      <c r="I297" s="79" t="s">
        <v>496</v>
      </c>
      <c r="J297" s="82" t="s">
        <v>337</v>
      </c>
      <c r="K297" s="83">
        <v>17.84</v>
      </c>
      <c r="L297" s="85">
        <f>K297/(1-pconfig!$G$2-pconfig!$G$3-pconfig!$G$4)</f>
        <v>33.6858006</v>
      </c>
      <c r="M297" s="83">
        <v>406.12</v>
      </c>
      <c r="N297" s="83">
        <f>M297/(1-pconfig!$G$2-pconfig!$G$3-pconfig!$G$4)</f>
        <v>766.8429003</v>
      </c>
      <c r="O297" s="83">
        <f>((K297*F297)+M297)/(1-pconfig!$G$2-pconfig!$G$3-pconfig!$G$4)</f>
        <v>800.5287009</v>
      </c>
      <c r="P297" s="86">
        <f>K297*F297/(1-pconfig!$G$2-pconfig!$G$3-pconfig!$G$4)</f>
        <v>33.6858006</v>
      </c>
      <c r="Q297" s="86">
        <f>IFS(F297&lt;=pconfig!$B$12,P297*pconfig!$C$12,F297&lt;=pconfig!$B$13,P297*pconfig!$C$13,F297&lt;=pconfig!$B$14,P297*pconfig!$C$14,F297&lt;=pconfig!$B$15,P297*pconfig!$C$15,F297&lt;=pconfig!$B$16,P297*pconfig!$C$16,F297&lt;=pconfig!$B$17,P297*pconfig!$C$17,F297&lt;=pconfig!$B$18,P297*pconfig!$C$18,F297&lt;=pconfig!$B$19,P297*pconfig!$C$19,F297&lt;=pconfig!$B$20,P297*pconfig!$C$20,F297&lt;=pconfig!$B$21,P297*pconfig!$C$21)</f>
        <v>33.6858006</v>
      </c>
      <c r="R297" s="87">
        <f t="shared" si="2"/>
        <v>800.5287009</v>
      </c>
    </row>
    <row r="298" ht="22.5" hidden="1" customHeight="1">
      <c r="A298" s="52">
        <f t="shared" si="3"/>
        <v>297</v>
      </c>
      <c r="B298" s="53" t="s">
        <v>912</v>
      </c>
      <c r="C298" s="53" t="s">
        <v>101</v>
      </c>
      <c r="D298" s="56" t="s">
        <v>102</v>
      </c>
      <c r="E298" s="53" t="str">
        <f t="shared" si="1"/>
        <v>PRIMAVERASATELITE</v>
      </c>
      <c r="F298" s="59">
        <v>1.0</v>
      </c>
      <c r="G298" s="53" t="s">
        <v>61</v>
      </c>
      <c r="H298" s="59" t="str">
        <f t="array" ref="H298">XLOOKUP(B298,municipios,regiao!$D$6:$D$150,0)</f>
        <v>SIM</v>
      </c>
      <c r="I298" s="53" t="s">
        <v>496</v>
      </c>
      <c r="J298" s="60" t="s">
        <v>106</v>
      </c>
      <c r="K298" s="61">
        <v>4799.0</v>
      </c>
      <c r="L298" s="70">
        <f>K298/(1-pconfig!$G$2-pconfig!$G$3-pconfig!$G$4)</f>
        <v>9061.555891</v>
      </c>
      <c r="M298" s="61">
        <v>406.12</v>
      </c>
      <c r="N298" s="61">
        <f>M298/(1-pconfig!$G$2-pconfig!$G$3-pconfig!$G$4)</f>
        <v>766.8429003</v>
      </c>
      <c r="O298" s="61">
        <f>((K298*F298)+M298)/(1-pconfig!$G$2-pconfig!$G$3-pconfig!$G$4)</f>
        <v>9828.398792</v>
      </c>
      <c r="P298" s="74">
        <f>K298*F298/(1-pconfig!$G$2-pconfig!$G$3-pconfig!$G$4)</f>
        <v>9061.555891</v>
      </c>
      <c r="Q298" s="74">
        <f>IFS(F298&lt;=pconfig!$B$12,P298*pconfig!$C$12,F298&lt;=pconfig!$B$13,P298*pconfig!$C$13,F298&lt;=pconfig!$B$14,P298*pconfig!$C$14,F298&lt;=pconfig!$B$15,P298*pconfig!$C$15,F298&lt;=pconfig!$B$16,P298*pconfig!$C$16,F298&lt;=pconfig!$B$17,P298*pconfig!$C$17,F298&lt;=pconfig!$B$18,P298*pconfig!$C$18,F298&lt;=pconfig!$B$19,P298*pconfig!$C$19,F298&lt;=pconfig!$B$20,P298*pconfig!$C$20,F298&lt;=pconfig!$B$21,P298*pconfig!$C$21)</f>
        <v>9061.555891</v>
      </c>
      <c r="R298" s="76">
        <f t="shared" si="2"/>
        <v>9828.398792</v>
      </c>
    </row>
    <row r="299" ht="22.5" hidden="1" customHeight="1">
      <c r="A299" s="78">
        <f t="shared" si="3"/>
        <v>298</v>
      </c>
      <c r="B299" s="79" t="s">
        <v>913</v>
      </c>
      <c r="C299" s="79" t="s">
        <v>59</v>
      </c>
      <c r="D299" s="80" t="s">
        <v>60</v>
      </c>
      <c r="E299" s="79" t="str">
        <f t="shared" si="1"/>
        <v>QUATIPURURADIO</v>
      </c>
      <c r="F299" s="81">
        <v>1.0</v>
      </c>
      <c r="G299" s="79" t="s">
        <v>61</v>
      </c>
      <c r="H299" s="81" t="str">
        <f t="array" ref="H299">XLOOKUP(B299,municipios,regiao!$D$6:$D$150,0)</f>
        <v>SIM</v>
      </c>
      <c r="I299" s="79" t="s">
        <v>496</v>
      </c>
      <c r="J299" s="82" t="s">
        <v>337</v>
      </c>
      <c r="K299" s="83">
        <v>17.84</v>
      </c>
      <c r="L299" s="85">
        <f>K299/(1-pconfig!$G$2-pconfig!$G$3-pconfig!$G$4)</f>
        <v>33.6858006</v>
      </c>
      <c r="M299" s="83">
        <v>137.604166666667</v>
      </c>
      <c r="N299" s="83">
        <f>M299/(1-pconfig!$G$2-pconfig!$G$3-pconfig!$G$4)</f>
        <v>259.8265987</v>
      </c>
      <c r="O299" s="83">
        <f>((K299*F299)+M299)/(1-pconfig!$G$2-pconfig!$G$3-pconfig!$G$4)</f>
        <v>293.5123993</v>
      </c>
      <c r="P299" s="86">
        <f>K299*F299/(1-pconfig!$G$2-pconfig!$G$3-pconfig!$G$4)</f>
        <v>33.6858006</v>
      </c>
      <c r="Q299" s="86">
        <f>IFS(F299&lt;=pconfig!$B$12,P299*pconfig!$C$12,F299&lt;=pconfig!$B$13,P299*pconfig!$C$13,F299&lt;=pconfig!$B$14,P299*pconfig!$C$14,F299&lt;=pconfig!$B$15,P299*pconfig!$C$15,F299&lt;=pconfig!$B$16,P299*pconfig!$C$16,F299&lt;=pconfig!$B$17,P299*pconfig!$C$17,F299&lt;=pconfig!$B$18,P299*pconfig!$C$18,F299&lt;=pconfig!$B$19,P299*pconfig!$C$19,F299&lt;=pconfig!$B$20,P299*pconfig!$C$20,F299&lt;=pconfig!$B$21,P299*pconfig!$C$21)</f>
        <v>33.6858006</v>
      </c>
      <c r="R299" s="87">
        <f t="shared" si="2"/>
        <v>293.5123993</v>
      </c>
    </row>
    <row r="300" ht="22.5" hidden="1" customHeight="1">
      <c r="A300" s="52">
        <f t="shared" si="3"/>
        <v>299</v>
      </c>
      <c r="B300" s="53" t="s">
        <v>913</v>
      </c>
      <c r="C300" s="53" t="s">
        <v>50</v>
      </c>
      <c r="D300" s="56" t="s">
        <v>82</v>
      </c>
      <c r="E300" s="53" t="str">
        <f t="shared" si="1"/>
        <v>QUATIPURUFIBRA</v>
      </c>
      <c r="F300" s="59">
        <v>1.0</v>
      </c>
      <c r="G300" s="53" t="s">
        <v>61</v>
      </c>
      <c r="H300" s="59" t="str">
        <f t="array" ref="H300">XLOOKUP(B300,municipios,regiao!$D$6:$D$150,0)</f>
        <v>SIM</v>
      </c>
      <c r="I300" s="53" t="s">
        <v>496</v>
      </c>
      <c r="J300" s="60" t="s">
        <v>337</v>
      </c>
      <c r="K300" s="61">
        <v>17.84</v>
      </c>
      <c r="L300" s="70">
        <f>K300/(1-pconfig!$G$2-pconfig!$G$3-pconfig!$G$4)</f>
        <v>33.6858006</v>
      </c>
      <c r="M300" s="61">
        <v>406.12</v>
      </c>
      <c r="N300" s="61">
        <f>M300/(1-pconfig!$G$2-pconfig!$G$3-pconfig!$G$4)</f>
        <v>766.8429003</v>
      </c>
      <c r="O300" s="61">
        <f>((K300*F300)+M300)/(1-pconfig!$G$2-pconfig!$G$3-pconfig!$G$4)</f>
        <v>800.5287009</v>
      </c>
      <c r="P300" s="74">
        <f>K300*F300/(1-pconfig!$G$2-pconfig!$G$3-pconfig!$G$4)</f>
        <v>33.6858006</v>
      </c>
      <c r="Q300" s="74">
        <f>IFS(F300&lt;=pconfig!$B$12,P300*pconfig!$C$12,F300&lt;=pconfig!$B$13,P300*pconfig!$C$13,F300&lt;=pconfig!$B$14,P300*pconfig!$C$14,F300&lt;=pconfig!$B$15,P300*pconfig!$C$15,F300&lt;=pconfig!$B$16,P300*pconfig!$C$16,F300&lt;=pconfig!$B$17,P300*pconfig!$C$17,F300&lt;=pconfig!$B$18,P300*pconfig!$C$18,F300&lt;=pconfig!$B$19,P300*pconfig!$C$19,F300&lt;=pconfig!$B$20,P300*pconfig!$C$20,F300&lt;=pconfig!$B$21,P300*pconfig!$C$21)</f>
        <v>33.6858006</v>
      </c>
      <c r="R300" s="76">
        <f t="shared" si="2"/>
        <v>800.5287009</v>
      </c>
    </row>
    <row r="301" ht="22.5" hidden="1" customHeight="1">
      <c r="A301" s="78">
        <f t="shared" si="3"/>
        <v>300</v>
      </c>
      <c r="B301" s="79" t="s">
        <v>913</v>
      </c>
      <c r="C301" s="79" t="s">
        <v>101</v>
      </c>
      <c r="D301" s="80" t="s">
        <v>102</v>
      </c>
      <c r="E301" s="79" t="str">
        <f t="shared" si="1"/>
        <v>QUATIPURUSATELITE</v>
      </c>
      <c r="F301" s="81">
        <v>1.0</v>
      </c>
      <c r="G301" s="79" t="s">
        <v>61</v>
      </c>
      <c r="H301" s="81" t="str">
        <f t="array" ref="H301">XLOOKUP(B301,municipios,regiao!$D$6:$D$150,0)</f>
        <v>SIM</v>
      </c>
      <c r="I301" s="79" t="s">
        <v>496</v>
      </c>
      <c r="J301" s="82" t="s">
        <v>106</v>
      </c>
      <c r="K301" s="83">
        <v>4799.0</v>
      </c>
      <c r="L301" s="85">
        <f>K301/(1-pconfig!$G$2-pconfig!$G$3-pconfig!$G$4)</f>
        <v>9061.555891</v>
      </c>
      <c r="M301" s="83">
        <v>406.12</v>
      </c>
      <c r="N301" s="83">
        <f>M301/(1-pconfig!$G$2-pconfig!$G$3-pconfig!$G$4)</f>
        <v>766.8429003</v>
      </c>
      <c r="O301" s="83">
        <f>((K301*F301)+M301)/(1-pconfig!$G$2-pconfig!$G$3-pconfig!$G$4)</f>
        <v>9828.398792</v>
      </c>
      <c r="P301" s="86">
        <f>K301*F301/(1-pconfig!$G$2-pconfig!$G$3-pconfig!$G$4)</f>
        <v>9061.555891</v>
      </c>
      <c r="Q301" s="86">
        <f>IFS(F301&lt;=pconfig!$B$12,P301*pconfig!$C$12,F301&lt;=pconfig!$B$13,P301*pconfig!$C$13,F301&lt;=pconfig!$B$14,P301*pconfig!$C$14,F301&lt;=pconfig!$B$15,P301*pconfig!$C$15,F301&lt;=pconfig!$B$16,P301*pconfig!$C$16,F301&lt;=pconfig!$B$17,P301*pconfig!$C$17,F301&lt;=pconfig!$B$18,P301*pconfig!$C$18,F301&lt;=pconfig!$B$19,P301*pconfig!$C$19,F301&lt;=pconfig!$B$20,P301*pconfig!$C$20,F301&lt;=pconfig!$B$21,P301*pconfig!$C$21)</f>
        <v>9061.555891</v>
      </c>
      <c r="R301" s="87">
        <f t="shared" si="2"/>
        <v>9828.398792</v>
      </c>
    </row>
    <row r="302" ht="22.5" hidden="1" customHeight="1">
      <c r="A302" s="52">
        <f t="shared" si="3"/>
        <v>301</v>
      </c>
      <c r="B302" s="53" t="s">
        <v>914</v>
      </c>
      <c r="C302" s="53" t="s">
        <v>59</v>
      </c>
      <c r="D302" s="56" t="s">
        <v>60</v>
      </c>
      <c r="E302" s="53" t="str">
        <f t="shared" si="1"/>
        <v>REDENCAORADIO</v>
      </c>
      <c r="F302" s="59">
        <v>1.0</v>
      </c>
      <c r="G302" s="53" t="s">
        <v>128</v>
      </c>
      <c r="H302" s="59" t="str">
        <f t="array" ref="H302">XLOOKUP(B302,municipios,regiao!$D$6:$D$150,0)</f>
        <v>SIM</v>
      </c>
      <c r="I302" s="53" t="s">
        <v>280</v>
      </c>
      <c r="J302" s="60" t="s">
        <v>337</v>
      </c>
      <c r="K302" s="61">
        <v>17.84</v>
      </c>
      <c r="L302" s="70">
        <f>K302/(1-pconfig!$G$2-pconfig!$G$3-pconfig!$G$4)</f>
        <v>33.6858006</v>
      </c>
      <c r="M302" s="61">
        <v>336.074166666667</v>
      </c>
      <c r="N302" s="61">
        <f>M302/(1-pconfig!$G$2-pconfig!$G$3-pconfig!$G$4)</f>
        <v>634.5811304</v>
      </c>
      <c r="O302" s="61">
        <f>((K302*F302)+M302)/(1-pconfig!$G$2-pconfig!$G$3-pconfig!$G$4)</f>
        <v>668.266931</v>
      </c>
      <c r="P302" s="74">
        <f>K302*F302/(1-pconfig!$G$2-pconfig!$G$3-pconfig!$G$4)</f>
        <v>33.6858006</v>
      </c>
      <c r="Q302" s="74">
        <f>IFS(F302&lt;=pconfig!$B$12,P302*pconfig!$C$12,F302&lt;=pconfig!$B$13,P302*pconfig!$C$13,F302&lt;=pconfig!$B$14,P302*pconfig!$C$14,F302&lt;=pconfig!$B$15,P302*pconfig!$C$15,F302&lt;=pconfig!$B$16,P302*pconfig!$C$16,F302&lt;=pconfig!$B$17,P302*pconfig!$C$17,F302&lt;=pconfig!$B$18,P302*pconfig!$C$18,F302&lt;=pconfig!$B$19,P302*pconfig!$C$19,F302&lt;=pconfig!$B$20,P302*pconfig!$C$20,F302&lt;=pconfig!$B$21,P302*pconfig!$C$21)</f>
        <v>33.6858006</v>
      </c>
      <c r="R302" s="76">
        <f t="shared" si="2"/>
        <v>668.266931</v>
      </c>
    </row>
    <row r="303" ht="22.5" hidden="1" customHeight="1">
      <c r="A303" s="78">
        <f t="shared" si="3"/>
        <v>302</v>
      </c>
      <c r="B303" s="79" t="s">
        <v>914</v>
      </c>
      <c r="C303" s="79" t="s">
        <v>50</v>
      </c>
      <c r="D303" s="80" t="s">
        <v>82</v>
      </c>
      <c r="E303" s="79" t="str">
        <f t="shared" si="1"/>
        <v>REDENCAOFIBRA</v>
      </c>
      <c r="F303" s="81">
        <v>1.0</v>
      </c>
      <c r="G303" s="79" t="s">
        <v>128</v>
      </c>
      <c r="H303" s="81" t="str">
        <f t="array" ref="H303">XLOOKUP(B303,municipios,regiao!$D$6:$D$150,0)</f>
        <v>SIM</v>
      </c>
      <c r="I303" s="79" t="s">
        <v>280</v>
      </c>
      <c r="J303" s="82" t="s">
        <v>337</v>
      </c>
      <c r="K303" s="83">
        <v>17.84</v>
      </c>
      <c r="L303" s="85">
        <f>K303/(1-pconfig!$G$2-pconfig!$G$3-pconfig!$G$4)</f>
        <v>33.6858006</v>
      </c>
      <c r="M303" s="83">
        <v>447.5</v>
      </c>
      <c r="N303" s="83">
        <f>M303/(1-pconfig!$G$2-pconfig!$G$3-pconfig!$G$4)</f>
        <v>844.9773414</v>
      </c>
      <c r="O303" s="83">
        <f>((K303*F303)+M303)/(1-pconfig!$G$2-pconfig!$G$3-pconfig!$G$4)</f>
        <v>878.663142</v>
      </c>
      <c r="P303" s="86">
        <f>K303*F303/(1-pconfig!$G$2-pconfig!$G$3-pconfig!$G$4)</f>
        <v>33.6858006</v>
      </c>
      <c r="Q303" s="86">
        <f>IFS(F303&lt;=pconfig!$B$12,P303*pconfig!$C$12,F303&lt;=pconfig!$B$13,P303*pconfig!$C$13,F303&lt;=pconfig!$B$14,P303*pconfig!$C$14,F303&lt;=pconfig!$B$15,P303*pconfig!$C$15,F303&lt;=pconfig!$B$16,P303*pconfig!$C$16,F303&lt;=pconfig!$B$17,P303*pconfig!$C$17,F303&lt;=pconfig!$B$18,P303*pconfig!$C$18,F303&lt;=pconfig!$B$19,P303*pconfig!$C$19,F303&lt;=pconfig!$B$20,P303*pconfig!$C$20,F303&lt;=pconfig!$B$21,P303*pconfig!$C$21)</f>
        <v>33.6858006</v>
      </c>
      <c r="R303" s="87">
        <f t="shared" si="2"/>
        <v>878.663142</v>
      </c>
    </row>
    <row r="304" ht="22.5" hidden="1" customHeight="1">
      <c r="A304" s="52">
        <f t="shared" si="3"/>
        <v>303</v>
      </c>
      <c r="B304" s="53" t="s">
        <v>914</v>
      </c>
      <c r="C304" s="53" t="s">
        <v>101</v>
      </c>
      <c r="D304" s="56" t="s">
        <v>102</v>
      </c>
      <c r="E304" s="53" t="str">
        <f t="shared" si="1"/>
        <v>REDENCAOSATELITE</v>
      </c>
      <c r="F304" s="59">
        <v>1.0</v>
      </c>
      <c r="G304" s="53" t="s">
        <v>128</v>
      </c>
      <c r="H304" s="59" t="str">
        <f t="array" ref="H304">XLOOKUP(B304,municipios,regiao!$D$6:$D$150,0)</f>
        <v>SIM</v>
      </c>
      <c r="I304" s="53" t="s">
        <v>280</v>
      </c>
      <c r="J304" s="60" t="s">
        <v>106</v>
      </c>
      <c r="K304" s="61">
        <v>4799.0</v>
      </c>
      <c r="L304" s="70">
        <f>K304/(1-pconfig!$G$2-pconfig!$G$3-pconfig!$G$4)</f>
        <v>9061.555891</v>
      </c>
      <c r="M304" s="61">
        <v>447.5</v>
      </c>
      <c r="N304" s="61">
        <f>M304/(1-pconfig!$G$2-pconfig!$G$3-pconfig!$G$4)</f>
        <v>844.9773414</v>
      </c>
      <c r="O304" s="61">
        <f>((K304*F304)+M304)/(1-pconfig!$G$2-pconfig!$G$3-pconfig!$G$4)</f>
        <v>9906.533233</v>
      </c>
      <c r="P304" s="74">
        <f>K304*F304/(1-pconfig!$G$2-pconfig!$G$3-pconfig!$G$4)</f>
        <v>9061.555891</v>
      </c>
      <c r="Q304" s="74">
        <f>IFS(F304&lt;=pconfig!$B$12,P304*pconfig!$C$12,F304&lt;=pconfig!$B$13,P304*pconfig!$C$13,F304&lt;=pconfig!$B$14,P304*pconfig!$C$14,F304&lt;=pconfig!$B$15,P304*pconfig!$C$15,F304&lt;=pconfig!$B$16,P304*pconfig!$C$16,F304&lt;=pconfig!$B$17,P304*pconfig!$C$17,F304&lt;=pconfig!$B$18,P304*pconfig!$C$18,F304&lt;=pconfig!$B$19,P304*pconfig!$C$19,F304&lt;=pconfig!$B$20,P304*pconfig!$C$20,F304&lt;=pconfig!$B$21,P304*pconfig!$C$21)</f>
        <v>9061.555891</v>
      </c>
      <c r="R304" s="76">
        <f t="shared" si="2"/>
        <v>9906.533233</v>
      </c>
    </row>
    <row r="305" ht="22.5" hidden="1" customHeight="1">
      <c r="A305" s="78">
        <f t="shared" si="3"/>
        <v>304</v>
      </c>
      <c r="B305" s="79" t="s">
        <v>915</v>
      </c>
      <c r="C305" s="79" t="s">
        <v>59</v>
      </c>
      <c r="D305" s="80" t="s">
        <v>60</v>
      </c>
      <c r="E305" s="79" t="str">
        <f t="shared" si="1"/>
        <v>RIO MARIARADIO</v>
      </c>
      <c r="F305" s="81">
        <v>1.0</v>
      </c>
      <c r="G305" s="79" t="s">
        <v>128</v>
      </c>
      <c r="H305" s="81" t="str">
        <f t="array" ref="H305">XLOOKUP(B305,municipios,regiao!$D$6:$D$150,0)</f>
        <v>SIM</v>
      </c>
      <c r="I305" s="79" t="s">
        <v>280</v>
      </c>
      <c r="J305" s="82" t="s">
        <v>259</v>
      </c>
      <c r="K305" s="83">
        <v>35.73</v>
      </c>
      <c r="L305" s="85">
        <f>K305/(1-pconfig!$G$2-pconfig!$G$3-pconfig!$G$4)</f>
        <v>67.46601208</v>
      </c>
      <c r="M305" s="83">
        <v>336.074166666667</v>
      </c>
      <c r="N305" s="83">
        <f>M305/(1-pconfig!$G$2-pconfig!$G$3-pconfig!$G$4)</f>
        <v>634.5811304</v>
      </c>
      <c r="O305" s="83">
        <f>((K305*F305)+M305)/(1-pconfig!$G$2-pconfig!$G$3-pconfig!$G$4)</f>
        <v>702.0471425</v>
      </c>
      <c r="P305" s="86">
        <f>K305*F305/(1-pconfig!$G$2-pconfig!$G$3-pconfig!$G$4)</f>
        <v>67.46601208</v>
      </c>
      <c r="Q305" s="86">
        <f>IFS(F305&lt;=pconfig!$B$12,P305*pconfig!$C$12,F305&lt;=pconfig!$B$13,P305*pconfig!$C$13,F305&lt;=pconfig!$B$14,P305*pconfig!$C$14,F305&lt;=pconfig!$B$15,P305*pconfig!$C$15,F305&lt;=pconfig!$B$16,P305*pconfig!$C$16,F305&lt;=pconfig!$B$17,P305*pconfig!$C$17,F305&lt;=pconfig!$B$18,P305*pconfig!$C$18,F305&lt;=pconfig!$B$19,P305*pconfig!$C$19,F305&lt;=pconfig!$B$20,P305*pconfig!$C$20,F305&lt;=pconfig!$B$21,P305*pconfig!$C$21)</f>
        <v>67.46601208</v>
      </c>
      <c r="R305" s="87">
        <f t="shared" si="2"/>
        <v>702.0471425</v>
      </c>
    </row>
    <row r="306" ht="22.5" hidden="1" customHeight="1">
      <c r="A306" s="52">
        <f t="shared" si="3"/>
        <v>305</v>
      </c>
      <c r="B306" s="53" t="s">
        <v>915</v>
      </c>
      <c r="C306" s="53" t="s">
        <v>50</v>
      </c>
      <c r="D306" s="56" t="s">
        <v>82</v>
      </c>
      <c r="E306" s="53" t="str">
        <f t="shared" si="1"/>
        <v>RIO MARIAFIBRA</v>
      </c>
      <c r="F306" s="59">
        <v>1.0</v>
      </c>
      <c r="G306" s="53" t="s">
        <v>128</v>
      </c>
      <c r="H306" s="59" t="str">
        <f t="array" ref="H306">XLOOKUP(B306,municipios,regiao!$D$6:$D$150,0)</f>
        <v>SIM</v>
      </c>
      <c r="I306" s="53" t="s">
        <v>280</v>
      </c>
      <c r="J306" s="60" t="s">
        <v>259</v>
      </c>
      <c r="K306" s="61">
        <v>35.73</v>
      </c>
      <c r="L306" s="70">
        <f>K306/(1-pconfig!$G$2-pconfig!$G$3-pconfig!$G$4)</f>
        <v>67.46601208</v>
      </c>
      <c r="M306" s="61">
        <v>447.5</v>
      </c>
      <c r="N306" s="61">
        <f>M306/(1-pconfig!$G$2-pconfig!$G$3-pconfig!$G$4)</f>
        <v>844.9773414</v>
      </c>
      <c r="O306" s="61">
        <f>((K306*F306)+M306)/(1-pconfig!$G$2-pconfig!$G$3-pconfig!$G$4)</f>
        <v>912.4433535</v>
      </c>
      <c r="P306" s="74">
        <f>K306*F306/(1-pconfig!$G$2-pconfig!$G$3-pconfig!$G$4)</f>
        <v>67.46601208</v>
      </c>
      <c r="Q306" s="74">
        <f>IFS(F306&lt;=pconfig!$B$12,P306*pconfig!$C$12,F306&lt;=pconfig!$B$13,P306*pconfig!$C$13,F306&lt;=pconfig!$B$14,P306*pconfig!$C$14,F306&lt;=pconfig!$B$15,P306*pconfig!$C$15,F306&lt;=pconfig!$B$16,P306*pconfig!$C$16,F306&lt;=pconfig!$B$17,P306*pconfig!$C$17,F306&lt;=pconfig!$B$18,P306*pconfig!$C$18,F306&lt;=pconfig!$B$19,P306*pconfig!$C$19,F306&lt;=pconfig!$B$20,P306*pconfig!$C$20,F306&lt;=pconfig!$B$21,P306*pconfig!$C$21)</f>
        <v>67.46601208</v>
      </c>
      <c r="R306" s="76">
        <f t="shared" si="2"/>
        <v>912.4433535</v>
      </c>
    </row>
    <row r="307" ht="22.5" hidden="1" customHeight="1">
      <c r="A307" s="78">
        <f t="shared" si="3"/>
        <v>306</v>
      </c>
      <c r="B307" s="79" t="s">
        <v>915</v>
      </c>
      <c r="C307" s="79" t="s">
        <v>101</v>
      </c>
      <c r="D307" s="80" t="s">
        <v>102</v>
      </c>
      <c r="E307" s="79" t="str">
        <f t="shared" si="1"/>
        <v>RIO MARIASATELITE</v>
      </c>
      <c r="F307" s="81">
        <v>1.0</v>
      </c>
      <c r="G307" s="79" t="s">
        <v>128</v>
      </c>
      <c r="H307" s="81" t="str">
        <f t="array" ref="H307">XLOOKUP(B307,municipios,regiao!$D$6:$D$150,0)</f>
        <v>SIM</v>
      </c>
      <c r="I307" s="79" t="s">
        <v>280</v>
      </c>
      <c r="J307" s="82" t="s">
        <v>106</v>
      </c>
      <c r="K307" s="83">
        <v>4799.0</v>
      </c>
      <c r="L307" s="85">
        <f>K307/(1-pconfig!$G$2-pconfig!$G$3-pconfig!$G$4)</f>
        <v>9061.555891</v>
      </c>
      <c r="M307" s="83">
        <v>447.5</v>
      </c>
      <c r="N307" s="83">
        <f>M307/(1-pconfig!$G$2-pconfig!$G$3-pconfig!$G$4)</f>
        <v>844.9773414</v>
      </c>
      <c r="O307" s="83">
        <f>((K307*F307)+M307)/(1-pconfig!$G$2-pconfig!$G$3-pconfig!$G$4)</f>
        <v>9906.533233</v>
      </c>
      <c r="P307" s="86">
        <f>K307*F307/(1-pconfig!$G$2-pconfig!$G$3-pconfig!$G$4)</f>
        <v>9061.555891</v>
      </c>
      <c r="Q307" s="86">
        <f>IFS(F307&lt;=pconfig!$B$12,P307*pconfig!$C$12,F307&lt;=pconfig!$B$13,P307*pconfig!$C$13,F307&lt;=pconfig!$B$14,P307*pconfig!$C$14,F307&lt;=pconfig!$B$15,P307*pconfig!$C$15,F307&lt;=pconfig!$B$16,P307*pconfig!$C$16,F307&lt;=pconfig!$B$17,P307*pconfig!$C$17,F307&lt;=pconfig!$B$18,P307*pconfig!$C$18,F307&lt;=pconfig!$B$19,P307*pconfig!$C$19,F307&lt;=pconfig!$B$20,P307*pconfig!$C$20,F307&lt;=pconfig!$B$21,P307*pconfig!$C$21)</f>
        <v>9061.555891</v>
      </c>
      <c r="R307" s="87">
        <f t="shared" si="2"/>
        <v>9906.533233</v>
      </c>
    </row>
    <row r="308" ht="22.5" hidden="1" customHeight="1">
      <c r="A308" s="52">
        <f t="shared" si="3"/>
        <v>307</v>
      </c>
      <c r="B308" s="53" t="s">
        <v>916</v>
      </c>
      <c r="C308" s="53" t="s">
        <v>50</v>
      </c>
      <c r="D308" s="56" t="s">
        <v>82</v>
      </c>
      <c r="E308" s="53" t="str">
        <f t="shared" si="1"/>
        <v>RONDON DO PARAFIBRA</v>
      </c>
      <c r="F308" s="59">
        <v>1.0</v>
      </c>
      <c r="G308" s="53" t="s">
        <v>128</v>
      </c>
      <c r="H308" s="59" t="str">
        <f t="array" ref="H308">XLOOKUP(B308,municipios,regiao!$D$6:$D$150,0)</f>
        <v>NÃO</v>
      </c>
      <c r="I308" s="53" t="s">
        <v>132</v>
      </c>
      <c r="J308" s="60" t="s">
        <v>133</v>
      </c>
      <c r="K308" s="61">
        <v>29.29</v>
      </c>
      <c r="L308" s="70">
        <f>K308/(1-pconfig!$G$2-pconfig!$G$3-pconfig!$G$4)</f>
        <v>55.30589124</v>
      </c>
      <c r="M308" s="61">
        <v>63.39</v>
      </c>
      <c r="N308" s="61">
        <f>M308/(1-pconfig!$G$2-pconfig!$G$3-pconfig!$G$4)</f>
        <v>119.6941088</v>
      </c>
      <c r="O308" s="61">
        <f>((K308*F308)+M308)/(1-pconfig!$G$2-pconfig!$G$3-pconfig!$G$4)</f>
        <v>175</v>
      </c>
      <c r="P308" s="74">
        <f>K308*F308/(1-pconfig!$G$2-pconfig!$G$3-pconfig!$G$4)</f>
        <v>55.30589124</v>
      </c>
      <c r="Q308" s="74">
        <f>IFS(F308&lt;=pconfig!$B$12,P308*pconfig!$C$12,F308&lt;=pconfig!$B$13,P308*pconfig!$C$13,F308&lt;=pconfig!$B$14,P308*pconfig!$C$14,F308&lt;=pconfig!$B$15,P308*pconfig!$C$15,F308&lt;=pconfig!$B$16,P308*pconfig!$C$16,F308&lt;=pconfig!$B$17,P308*pconfig!$C$17,F308&lt;=pconfig!$B$18,P308*pconfig!$C$18,F308&lt;=pconfig!$B$19,P308*pconfig!$C$19,F308&lt;=pconfig!$B$20,P308*pconfig!$C$20,F308&lt;=pconfig!$B$21,P308*pconfig!$C$21)</f>
        <v>55.30589124</v>
      </c>
      <c r="R308" s="76">
        <f t="shared" si="2"/>
        <v>175</v>
      </c>
    </row>
    <row r="309" ht="22.5" hidden="1" customHeight="1">
      <c r="A309" s="78">
        <f t="shared" si="3"/>
        <v>308</v>
      </c>
      <c r="B309" s="153" t="s">
        <v>916</v>
      </c>
      <c r="C309" s="79" t="s">
        <v>101</v>
      </c>
      <c r="D309" s="80" t="s">
        <v>102</v>
      </c>
      <c r="E309" s="79" t="str">
        <f t="shared" si="1"/>
        <v>RONDON DO PARASATELITE</v>
      </c>
      <c r="F309" s="81">
        <v>1.0</v>
      </c>
      <c r="G309" s="79" t="s">
        <v>128</v>
      </c>
      <c r="H309" s="81" t="str">
        <f t="array" ref="H309">XLOOKUP(B309,municipios,regiao!$D$6:$D$150,0)</f>
        <v>NÃO</v>
      </c>
      <c r="I309" s="79" t="s">
        <v>132</v>
      </c>
      <c r="J309" s="82" t="s">
        <v>106</v>
      </c>
      <c r="K309" s="83">
        <v>4799.0</v>
      </c>
      <c r="L309" s="85">
        <f>K309/(1-pconfig!$G$2-pconfig!$G$3-pconfig!$G$4)</f>
        <v>9061.555891</v>
      </c>
      <c r="M309" s="83">
        <v>63.39</v>
      </c>
      <c r="N309" s="83">
        <f>M309/(1-pconfig!$G$2-pconfig!$G$3-pconfig!$G$4)</f>
        <v>119.6941088</v>
      </c>
      <c r="O309" s="83">
        <f>((K309*F309)+M309)/(1-pconfig!$G$2-pconfig!$G$3-pconfig!$G$4)</f>
        <v>9181.25</v>
      </c>
      <c r="P309" s="86">
        <f>K309*F309/(1-pconfig!$G$2-pconfig!$G$3-pconfig!$G$4)</f>
        <v>9061.555891</v>
      </c>
      <c r="Q309" s="86">
        <f>IFS(F309&lt;=pconfig!$B$12,P309*pconfig!$C$12,F309&lt;=pconfig!$B$13,P309*pconfig!$C$13,F309&lt;=pconfig!$B$14,P309*pconfig!$C$14,F309&lt;=pconfig!$B$15,P309*pconfig!$C$15,F309&lt;=pconfig!$B$16,P309*pconfig!$C$16,F309&lt;=pconfig!$B$17,P309*pconfig!$C$17,F309&lt;=pconfig!$B$18,P309*pconfig!$C$18,F309&lt;=pconfig!$B$19,P309*pconfig!$C$19,F309&lt;=pconfig!$B$20,P309*pconfig!$C$20,F309&lt;=pconfig!$B$21,P309*pconfig!$C$21)</f>
        <v>9061.555891</v>
      </c>
      <c r="R309" s="87">
        <f t="shared" si="2"/>
        <v>9181.25</v>
      </c>
    </row>
    <row r="310" ht="22.5" hidden="1" customHeight="1">
      <c r="A310" s="52">
        <f t="shared" si="3"/>
        <v>309</v>
      </c>
      <c r="B310" s="53" t="s">
        <v>916</v>
      </c>
      <c r="C310" s="53" t="s">
        <v>59</v>
      </c>
      <c r="D310" s="56" t="s">
        <v>60</v>
      </c>
      <c r="E310" s="53" t="str">
        <f t="shared" si="1"/>
        <v>RONDON DO PARARADIO</v>
      </c>
      <c r="F310" s="59">
        <v>1.0</v>
      </c>
      <c r="G310" s="53" t="s">
        <v>128</v>
      </c>
      <c r="H310" s="59" t="str">
        <f t="array" ref="H310">XLOOKUP(B310,municipios,regiao!$D$6:$D$150,0)</f>
        <v>NÃO</v>
      </c>
      <c r="I310" s="53" t="s">
        <v>132</v>
      </c>
      <c r="J310" s="60" t="s">
        <v>133</v>
      </c>
      <c r="K310" s="61">
        <v>29.29</v>
      </c>
      <c r="L310" s="70">
        <f>K310/(1-pconfig!$G$2-pconfig!$G$3-pconfig!$G$4)</f>
        <v>55.30589124</v>
      </c>
      <c r="M310" s="61">
        <v>333.333333333333</v>
      </c>
      <c r="N310" s="61">
        <f>M310/(1-pconfig!$G$2-pconfig!$G$3-pconfig!$G$4)</f>
        <v>629.4058409</v>
      </c>
      <c r="O310" s="61">
        <f>((K310*F310)+M310)/(1-pconfig!$G$2-pconfig!$G$3-pconfig!$G$4)</f>
        <v>684.7117321</v>
      </c>
      <c r="P310" s="74">
        <f>K310*F310/(1-pconfig!$G$2-pconfig!$G$3-pconfig!$G$4)</f>
        <v>55.30589124</v>
      </c>
      <c r="Q310" s="74">
        <f>IFS(F310&lt;=pconfig!$B$12,P310*pconfig!$C$12,F310&lt;=pconfig!$B$13,P310*pconfig!$C$13,F310&lt;=pconfig!$B$14,P310*pconfig!$C$14,F310&lt;=pconfig!$B$15,P310*pconfig!$C$15,F310&lt;=pconfig!$B$16,P310*pconfig!$C$16,F310&lt;=pconfig!$B$17,P310*pconfig!$C$17,F310&lt;=pconfig!$B$18,P310*pconfig!$C$18,F310&lt;=pconfig!$B$19,P310*pconfig!$C$19,F310&lt;=pconfig!$B$20,P310*pconfig!$C$20,F310&lt;=pconfig!$B$21,P310*pconfig!$C$21)</f>
        <v>55.30589124</v>
      </c>
      <c r="R310" s="76">
        <f t="shared" si="2"/>
        <v>684.7117321</v>
      </c>
    </row>
    <row r="311" ht="22.5" hidden="1" customHeight="1">
      <c r="A311" s="78">
        <f t="shared" si="3"/>
        <v>310</v>
      </c>
      <c r="B311" s="79" t="s">
        <v>917</v>
      </c>
      <c r="C311" s="79" t="s">
        <v>59</v>
      </c>
      <c r="D311" s="80" t="s">
        <v>60</v>
      </c>
      <c r="E311" s="79" t="str">
        <f t="shared" si="1"/>
        <v>RUROPOLISRADIO</v>
      </c>
      <c r="F311" s="81">
        <v>1.0</v>
      </c>
      <c r="G311" s="79" t="s">
        <v>374</v>
      </c>
      <c r="H311" s="81" t="str">
        <f t="array" ref="H311">XLOOKUP(B311,municipios,regiao!$D$6:$D$150,0)</f>
        <v>SIM</v>
      </c>
      <c r="I311" s="79" t="s">
        <v>555</v>
      </c>
      <c r="J311" s="82" t="s">
        <v>235</v>
      </c>
      <c r="K311" s="83">
        <v>20.69</v>
      </c>
      <c r="L311" s="85">
        <f>K311/(1-pconfig!$G$2-pconfig!$G$3-pconfig!$G$4)</f>
        <v>39.06722054</v>
      </c>
      <c r="M311" s="83">
        <v>166.666666666667</v>
      </c>
      <c r="N311" s="83">
        <f>M311/(1-pconfig!$G$2-pconfig!$G$3-pconfig!$G$4)</f>
        <v>314.7029204</v>
      </c>
      <c r="O311" s="83">
        <f>((K311*F311)+M311)/(1-pconfig!$G$2-pconfig!$G$3-pconfig!$G$4)</f>
        <v>353.770141</v>
      </c>
      <c r="P311" s="86">
        <f>K311*F311/(1-pconfig!$G$2-pconfig!$G$3-pconfig!$G$4)</f>
        <v>39.06722054</v>
      </c>
      <c r="Q311" s="86">
        <f>IFS(F311&lt;=pconfig!$B$12,P311*pconfig!$C$12,F311&lt;=pconfig!$B$13,P311*pconfig!$C$13,F311&lt;=pconfig!$B$14,P311*pconfig!$C$14,F311&lt;=pconfig!$B$15,P311*pconfig!$C$15,F311&lt;=pconfig!$B$16,P311*pconfig!$C$16,F311&lt;=pconfig!$B$17,P311*pconfig!$C$17,F311&lt;=pconfig!$B$18,P311*pconfig!$C$18,F311&lt;=pconfig!$B$19,P311*pconfig!$C$19,F311&lt;=pconfig!$B$20,P311*pconfig!$C$20,F311&lt;=pconfig!$B$21,P311*pconfig!$C$21)</f>
        <v>39.06722054</v>
      </c>
      <c r="R311" s="87">
        <f t="shared" si="2"/>
        <v>353.770141</v>
      </c>
    </row>
    <row r="312" ht="22.5" hidden="1" customHeight="1">
      <c r="A312" s="52">
        <f t="shared" si="3"/>
        <v>311</v>
      </c>
      <c r="B312" s="53" t="s">
        <v>917</v>
      </c>
      <c r="C312" s="53" t="s">
        <v>50</v>
      </c>
      <c r="D312" s="56" t="s">
        <v>82</v>
      </c>
      <c r="E312" s="53" t="str">
        <f t="shared" si="1"/>
        <v>RUROPOLISFIBRA</v>
      </c>
      <c r="F312" s="59">
        <v>1.0</v>
      </c>
      <c r="G312" s="53" t="s">
        <v>374</v>
      </c>
      <c r="H312" s="59" t="str">
        <f t="array" ref="H312">XLOOKUP(B312,municipios,regiao!$D$6:$D$150,0)</f>
        <v>SIM</v>
      </c>
      <c r="I312" s="53" t="s">
        <v>555</v>
      </c>
      <c r="J312" s="60" t="s">
        <v>235</v>
      </c>
      <c r="K312" s="61">
        <v>20.69</v>
      </c>
      <c r="L312" s="70">
        <f>K312/(1-pconfig!$G$2-pconfig!$G$3-pconfig!$G$4)</f>
        <v>39.06722054</v>
      </c>
      <c r="M312" s="61">
        <v>407.5</v>
      </c>
      <c r="N312" s="61">
        <f>M312/(1-pconfig!$G$2-pconfig!$G$3-pconfig!$G$4)</f>
        <v>769.4486405</v>
      </c>
      <c r="O312" s="61">
        <f>((K312*F312)+M312)/(1-pconfig!$G$2-pconfig!$G$3-pconfig!$G$4)</f>
        <v>808.515861</v>
      </c>
      <c r="P312" s="74">
        <f>K312*F312/(1-pconfig!$G$2-pconfig!$G$3-pconfig!$G$4)</f>
        <v>39.06722054</v>
      </c>
      <c r="Q312" s="74">
        <f>IFS(F312&lt;=pconfig!$B$12,P312*pconfig!$C$12,F312&lt;=pconfig!$B$13,P312*pconfig!$C$13,F312&lt;=pconfig!$B$14,P312*pconfig!$C$14,F312&lt;=pconfig!$B$15,P312*pconfig!$C$15,F312&lt;=pconfig!$B$16,P312*pconfig!$C$16,F312&lt;=pconfig!$B$17,P312*pconfig!$C$17,F312&lt;=pconfig!$B$18,P312*pconfig!$C$18,F312&lt;=pconfig!$B$19,P312*pconfig!$C$19,F312&lt;=pconfig!$B$20,P312*pconfig!$C$20,F312&lt;=pconfig!$B$21,P312*pconfig!$C$21)</f>
        <v>39.06722054</v>
      </c>
      <c r="R312" s="76">
        <f t="shared" si="2"/>
        <v>808.515861</v>
      </c>
    </row>
    <row r="313" ht="22.5" hidden="1" customHeight="1">
      <c r="A313" s="78">
        <f t="shared" si="3"/>
        <v>312</v>
      </c>
      <c r="B313" s="79" t="s">
        <v>917</v>
      </c>
      <c r="C313" s="79" t="s">
        <v>101</v>
      </c>
      <c r="D313" s="80" t="s">
        <v>102</v>
      </c>
      <c r="E313" s="79" t="str">
        <f t="shared" si="1"/>
        <v>RUROPOLISSATELITE</v>
      </c>
      <c r="F313" s="81">
        <v>1.0</v>
      </c>
      <c r="G313" s="79" t="s">
        <v>374</v>
      </c>
      <c r="H313" s="81" t="str">
        <f t="array" ref="H313">XLOOKUP(B313,municipios,regiao!$D$6:$D$150,0)</f>
        <v>SIM</v>
      </c>
      <c r="I313" s="79" t="s">
        <v>555</v>
      </c>
      <c r="J313" s="82" t="s">
        <v>106</v>
      </c>
      <c r="K313" s="83">
        <v>4799.0</v>
      </c>
      <c r="L313" s="85">
        <f>K313/(1-pconfig!$G$2-pconfig!$G$3-pconfig!$G$4)</f>
        <v>9061.555891</v>
      </c>
      <c r="M313" s="83">
        <v>407.5</v>
      </c>
      <c r="N313" s="83">
        <f>M313/(1-pconfig!$G$2-pconfig!$G$3-pconfig!$G$4)</f>
        <v>769.4486405</v>
      </c>
      <c r="O313" s="83">
        <f>((K313*F313)+M313)/(1-pconfig!$G$2-pconfig!$G$3-pconfig!$G$4)</f>
        <v>9831.004532</v>
      </c>
      <c r="P313" s="86">
        <f>K313*F313/(1-pconfig!$G$2-pconfig!$G$3-pconfig!$G$4)</f>
        <v>9061.555891</v>
      </c>
      <c r="Q313" s="86">
        <f>IFS(F313&lt;=pconfig!$B$12,P313*pconfig!$C$12,F313&lt;=pconfig!$B$13,P313*pconfig!$C$13,F313&lt;=pconfig!$B$14,P313*pconfig!$C$14,F313&lt;=pconfig!$B$15,P313*pconfig!$C$15,F313&lt;=pconfig!$B$16,P313*pconfig!$C$16,F313&lt;=pconfig!$B$17,P313*pconfig!$C$17,F313&lt;=pconfig!$B$18,P313*pconfig!$C$18,F313&lt;=pconfig!$B$19,P313*pconfig!$C$19,F313&lt;=pconfig!$B$20,P313*pconfig!$C$20,F313&lt;=pconfig!$B$21,P313*pconfig!$C$21)</f>
        <v>9061.555891</v>
      </c>
      <c r="R313" s="87">
        <f t="shared" si="2"/>
        <v>9831.004532</v>
      </c>
    </row>
    <row r="314" ht="22.5" hidden="1" customHeight="1">
      <c r="A314" s="52">
        <f t="shared" si="3"/>
        <v>313</v>
      </c>
      <c r="B314" s="53" t="s">
        <v>847</v>
      </c>
      <c r="C314" s="53" t="s">
        <v>59</v>
      </c>
      <c r="D314" s="56" t="s">
        <v>60</v>
      </c>
      <c r="E314" s="53" t="str">
        <f t="shared" si="1"/>
        <v>SALINOPOLISRADIO</v>
      </c>
      <c r="F314" s="59">
        <v>1.0</v>
      </c>
      <c r="G314" s="53" t="s">
        <v>61</v>
      </c>
      <c r="H314" s="59" t="str">
        <f t="array" ref="H314">XLOOKUP(B314,municipios,regiao!$D$6:$D$150,0)</f>
        <v>SIM</v>
      </c>
      <c r="I314" s="53" t="s">
        <v>496</v>
      </c>
      <c r="J314" s="60" t="s">
        <v>337</v>
      </c>
      <c r="K314" s="61">
        <v>17.84</v>
      </c>
      <c r="L314" s="70">
        <f>K314/(1-pconfig!$G$2-pconfig!$G$3-pconfig!$G$4)</f>
        <v>33.6858006</v>
      </c>
      <c r="M314" s="61">
        <v>137.604166666667</v>
      </c>
      <c r="N314" s="61">
        <f>M314/(1-pconfig!$G$2-pconfig!$G$3-pconfig!$G$4)</f>
        <v>259.8265987</v>
      </c>
      <c r="O314" s="61">
        <f>((K314*F314)+M314)/(1-pconfig!$G$2-pconfig!$G$3-pconfig!$G$4)</f>
        <v>293.5123993</v>
      </c>
      <c r="P314" s="74">
        <f>K314*F314/(1-pconfig!$G$2-pconfig!$G$3-pconfig!$G$4)</f>
        <v>33.6858006</v>
      </c>
      <c r="Q314" s="74">
        <f>IFS(F314&lt;=pconfig!$B$12,P314*pconfig!$C$12,F314&lt;=pconfig!$B$13,P314*pconfig!$C$13,F314&lt;=pconfig!$B$14,P314*pconfig!$C$14,F314&lt;=pconfig!$B$15,P314*pconfig!$C$15,F314&lt;=pconfig!$B$16,P314*pconfig!$C$16,F314&lt;=pconfig!$B$17,P314*pconfig!$C$17,F314&lt;=pconfig!$B$18,P314*pconfig!$C$18,F314&lt;=pconfig!$B$19,P314*pconfig!$C$19,F314&lt;=pconfig!$B$20,P314*pconfig!$C$20,F314&lt;=pconfig!$B$21,P314*pconfig!$C$21)</f>
        <v>33.6858006</v>
      </c>
      <c r="R314" s="76">
        <f t="shared" si="2"/>
        <v>293.5123993</v>
      </c>
    </row>
    <row r="315" ht="22.5" hidden="1" customHeight="1">
      <c r="A315" s="78">
        <f t="shared" si="3"/>
        <v>314</v>
      </c>
      <c r="B315" s="79" t="s">
        <v>847</v>
      </c>
      <c r="C315" s="79" t="s">
        <v>50</v>
      </c>
      <c r="D315" s="80" t="s">
        <v>82</v>
      </c>
      <c r="E315" s="79" t="str">
        <f t="shared" si="1"/>
        <v>SALINOPOLISFIBRA</v>
      </c>
      <c r="F315" s="81">
        <v>1.0</v>
      </c>
      <c r="G315" s="79" t="s">
        <v>61</v>
      </c>
      <c r="H315" s="81" t="str">
        <f t="array" ref="H315">XLOOKUP(B315,municipios,regiao!$D$6:$D$150,0)</f>
        <v>SIM</v>
      </c>
      <c r="I315" s="79" t="s">
        <v>496</v>
      </c>
      <c r="J315" s="82" t="s">
        <v>337</v>
      </c>
      <c r="K315" s="83">
        <v>17.84</v>
      </c>
      <c r="L315" s="85">
        <f>K315/(1-pconfig!$G$2-pconfig!$G$3-pconfig!$G$4)</f>
        <v>33.6858006</v>
      </c>
      <c r="M315" s="83">
        <v>406.12</v>
      </c>
      <c r="N315" s="83">
        <f>M315/(1-pconfig!$G$2-pconfig!$G$3-pconfig!$G$4)</f>
        <v>766.8429003</v>
      </c>
      <c r="O315" s="83">
        <f>((K315*F315)+M315)/(1-pconfig!$G$2-pconfig!$G$3-pconfig!$G$4)</f>
        <v>800.5287009</v>
      </c>
      <c r="P315" s="86">
        <f>K315*F315/(1-pconfig!$G$2-pconfig!$G$3-pconfig!$G$4)</f>
        <v>33.6858006</v>
      </c>
      <c r="Q315" s="86">
        <f>IFS(F315&lt;=pconfig!$B$12,P315*pconfig!$C$12,F315&lt;=pconfig!$B$13,P315*pconfig!$C$13,F315&lt;=pconfig!$B$14,P315*pconfig!$C$14,F315&lt;=pconfig!$B$15,P315*pconfig!$C$15,F315&lt;=pconfig!$B$16,P315*pconfig!$C$16,F315&lt;=pconfig!$B$17,P315*pconfig!$C$17,F315&lt;=pconfig!$B$18,P315*pconfig!$C$18,F315&lt;=pconfig!$B$19,P315*pconfig!$C$19,F315&lt;=pconfig!$B$20,P315*pconfig!$C$20,F315&lt;=pconfig!$B$21,P315*pconfig!$C$21)</f>
        <v>33.6858006</v>
      </c>
      <c r="R315" s="87">
        <f t="shared" si="2"/>
        <v>800.5287009</v>
      </c>
    </row>
    <row r="316" ht="22.5" hidden="1" customHeight="1">
      <c r="A316" s="52">
        <f t="shared" si="3"/>
        <v>315</v>
      </c>
      <c r="B316" s="53" t="s">
        <v>847</v>
      </c>
      <c r="C316" s="53" t="s">
        <v>101</v>
      </c>
      <c r="D316" s="56" t="s">
        <v>102</v>
      </c>
      <c r="E316" s="53" t="str">
        <f t="shared" si="1"/>
        <v>SALINOPOLISSATELITE</v>
      </c>
      <c r="F316" s="59">
        <v>1.0</v>
      </c>
      <c r="G316" s="53" t="s">
        <v>61</v>
      </c>
      <c r="H316" s="59" t="str">
        <f t="array" ref="H316">XLOOKUP(B316,municipios,regiao!$D$6:$D$150,0)</f>
        <v>SIM</v>
      </c>
      <c r="I316" s="53" t="s">
        <v>496</v>
      </c>
      <c r="J316" s="60" t="s">
        <v>106</v>
      </c>
      <c r="K316" s="61">
        <v>4799.0</v>
      </c>
      <c r="L316" s="70">
        <f>K316/(1-pconfig!$G$2-pconfig!$G$3-pconfig!$G$4)</f>
        <v>9061.555891</v>
      </c>
      <c r="M316" s="61">
        <v>406.12</v>
      </c>
      <c r="N316" s="61">
        <f>M316/(1-pconfig!$G$2-pconfig!$G$3-pconfig!$G$4)</f>
        <v>766.8429003</v>
      </c>
      <c r="O316" s="61">
        <f>((K316*F316)+M316)/(1-pconfig!$G$2-pconfig!$G$3-pconfig!$G$4)</f>
        <v>9828.398792</v>
      </c>
      <c r="P316" s="74">
        <f>K316*F316/(1-pconfig!$G$2-pconfig!$G$3-pconfig!$G$4)</f>
        <v>9061.555891</v>
      </c>
      <c r="Q316" s="74">
        <f>IFS(F316&lt;=pconfig!$B$12,P316*pconfig!$C$12,F316&lt;=pconfig!$B$13,P316*pconfig!$C$13,F316&lt;=pconfig!$B$14,P316*pconfig!$C$14,F316&lt;=pconfig!$B$15,P316*pconfig!$C$15,F316&lt;=pconfig!$B$16,P316*pconfig!$C$16,F316&lt;=pconfig!$B$17,P316*pconfig!$C$17,F316&lt;=pconfig!$B$18,P316*pconfig!$C$18,F316&lt;=pconfig!$B$19,P316*pconfig!$C$19,F316&lt;=pconfig!$B$20,P316*pconfig!$C$20,F316&lt;=pconfig!$B$21,P316*pconfig!$C$21)</f>
        <v>9061.555891</v>
      </c>
      <c r="R316" s="76">
        <f t="shared" si="2"/>
        <v>9828.398792</v>
      </c>
    </row>
    <row r="317" ht="22.5" hidden="1" customHeight="1">
      <c r="A317" s="78">
        <f t="shared" si="3"/>
        <v>316</v>
      </c>
      <c r="B317" s="79" t="s">
        <v>918</v>
      </c>
      <c r="C317" s="79" t="s">
        <v>59</v>
      </c>
      <c r="D317" s="80" t="s">
        <v>60</v>
      </c>
      <c r="E317" s="79" t="str">
        <f t="shared" si="1"/>
        <v>SALVATERRARADIO</v>
      </c>
      <c r="F317" s="81">
        <v>1.0</v>
      </c>
      <c r="G317" s="79" t="s">
        <v>258</v>
      </c>
      <c r="H317" s="81" t="str">
        <f t="array" ref="H317">XLOOKUP(B317,municipios,regiao!$D$6:$D$150,0)</f>
        <v>SIM</v>
      </c>
      <c r="I317" s="79" t="s">
        <v>258</v>
      </c>
      <c r="J317" s="82" t="s">
        <v>624</v>
      </c>
      <c r="K317" s="83">
        <v>24.41</v>
      </c>
      <c r="L317" s="85">
        <f>K317/(1-pconfig!$G$2-pconfig!$G$3-pconfig!$G$4)</f>
        <v>46.09138973</v>
      </c>
      <c r="M317" s="83">
        <v>138.285</v>
      </c>
      <c r="N317" s="83">
        <f>M317/(1-pconfig!$G$2-pconfig!$G$3-pconfig!$G$4)</f>
        <v>261.1121601</v>
      </c>
      <c r="O317" s="83">
        <f>((K317*F317)+M317)/(1-pconfig!$G$2-pconfig!$G$3-pconfig!$G$4)</f>
        <v>307.2035498</v>
      </c>
      <c r="P317" s="86">
        <f>K317*F317/(1-pconfig!$G$2-pconfig!$G$3-pconfig!$G$4)</f>
        <v>46.09138973</v>
      </c>
      <c r="Q317" s="86">
        <f>IFS(F317&lt;=pconfig!$B$12,P317*pconfig!$C$12,F317&lt;=pconfig!$B$13,P317*pconfig!$C$13,F317&lt;=pconfig!$B$14,P317*pconfig!$C$14,F317&lt;=pconfig!$B$15,P317*pconfig!$C$15,F317&lt;=pconfig!$B$16,P317*pconfig!$C$16,F317&lt;=pconfig!$B$17,P317*pconfig!$C$17,F317&lt;=pconfig!$B$18,P317*pconfig!$C$18,F317&lt;=pconfig!$B$19,P317*pconfig!$C$19,F317&lt;=pconfig!$B$20,P317*pconfig!$C$20,F317&lt;=pconfig!$B$21,P317*pconfig!$C$21)</f>
        <v>46.09138973</v>
      </c>
      <c r="R317" s="87">
        <f t="shared" si="2"/>
        <v>307.2035498</v>
      </c>
    </row>
    <row r="318" ht="22.5" hidden="1" customHeight="1">
      <c r="A318" s="52">
        <f t="shared" si="3"/>
        <v>317</v>
      </c>
      <c r="B318" s="53" t="s">
        <v>918</v>
      </c>
      <c r="C318" s="53" t="s">
        <v>50</v>
      </c>
      <c r="D318" s="56" t="s">
        <v>82</v>
      </c>
      <c r="E318" s="53" t="str">
        <f t="shared" si="1"/>
        <v>SALVATERRAFIBRA</v>
      </c>
      <c r="F318" s="59">
        <v>1.0</v>
      </c>
      <c r="G318" s="53" t="s">
        <v>258</v>
      </c>
      <c r="H318" s="59" t="str">
        <f t="array" ref="H318">XLOOKUP(B318,municipios,regiao!$D$6:$D$150,0)</f>
        <v>SIM</v>
      </c>
      <c r="I318" s="53" t="s">
        <v>258</v>
      </c>
      <c r="J318" s="60" t="s">
        <v>624</v>
      </c>
      <c r="K318" s="61">
        <v>24.41</v>
      </c>
      <c r="L318" s="70">
        <f>K318/(1-pconfig!$G$2-pconfig!$G$3-pconfig!$G$4)</f>
        <v>46.09138973</v>
      </c>
      <c r="M318" s="61">
        <v>519.17</v>
      </c>
      <c r="N318" s="61">
        <f>M318/(1-pconfig!$G$2-pconfig!$G$3-pconfig!$G$4)</f>
        <v>980.3058912</v>
      </c>
      <c r="O318" s="61">
        <f>((K318*F318)+M318)/(1-pconfig!$G$2-pconfig!$G$3-pconfig!$G$4)</f>
        <v>1026.397281</v>
      </c>
      <c r="P318" s="74">
        <f>K318*F318/(1-pconfig!$G$2-pconfig!$G$3-pconfig!$G$4)</f>
        <v>46.09138973</v>
      </c>
      <c r="Q318" s="74">
        <f>IFS(F318&lt;=pconfig!$B$12,P318*pconfig!$C$12,F318&lt;=pconfig!$B$13,P318*pconfig!$C$13,F318&lt;=pconfig!$B$14,P318*pconfig!$C$14,F318&lt;=pconfig!$B$15,P318*pconfig!$C$15,F318&lt;=pconfig!$B$16,P318*pconfig!$C$16,F318&lt;=pconfig!$B$17,P318*pconfig!$C$17,F318&lt;=pconfig!$B$18,P318*pconfig!$C$18,F318&lt;=pconfig!$B$19,P318*pconfig!$C$19,F318&lt;=pconfig!$B$20,P318*pconfig!$C$20,F318&lt;=pconfig!$B$21,P318*pconfig!$C$21)</f>
        <v>46.09138973</v>
      </c>
      <c r="R318" s="76">
        <f t="shared" si="2"/>
        <v>1026.397281</v>
      </c>
    </row>
    <row r="319" ht="22.5" hidden="1" customHeight="1">
      <c r="A319" s="78">
        <f t="shared" si="3"/>
        <v>318</v>
      </c>
      <c r="B319" s="79" t="s">
        <v>918</v>
      </c>
      <c r="C319" s="79" t="s">
        <v>101</v>
      </c>
      <c r="D319" s="80" t="s">
        <v>102</v>
      </c>
      <c r="E319" s="79" t="str">
        <f t="shared" si="1"/>
        <v>SALVATERRASATELITE</v>
      </c>
      <c r="F319" s="81">
        <v>1.0</v>
      </c>
      <c r="G319" s="79" t="s">
        <v>258</v>
      </c>
      <c r="H319" s="81" t="str">
        <f t="array" ref="H319">XLOOKUP(B319,municipios,regiao!$D$6:$D$150,0)</f>
        <v>SIM</v>
      </c>
      <c r="I319" s="79" t="s">
        <v>258</v>
      </c>
      <c r="J319" s="82" t="s">
        <v>106</v>
      </c>
      <c r="K319" s="83">
        <v>4799.0</v>
      </c>
      <c r="L319" s="85">
        <f>K319/(1-pconfig!$G$2-pconfig!$G$3-pconfig!$G$4)</f>
        <v>9061.555891</v>
      </c>
      <c r="M319" s="83">
        <v>519.17</v>
      </c>
      <c r="N319" s="83">
        <f>M319/(1-pconfig!$G$2-pconfig!$G$3-pconfig!$G$4)</f>
        <v>980.3058912</v>
      </c>
      <c r="O319" s="83">
        <f>((K319*F319)+M319)/(1-pconfig!$G$2-pconfig!$G$3-pconfig!$G$4)</f>
        <v>10041.86178</v>
      </c>
      <c r="P319" s="86">
        <f>K319*F319/(1-pconfig!$G$2-pconfig!$G$3-pconfig!$G$4)</f>
        <v>9061.555891</v>
      </c>
      <c r="Q319" s="86">
        <f>IFS(F319&lt;=pconfig!$B$12,P319*pconfig!$C$12,F319&lt;=pconfig!$B$13,P319*pconfig!$C$13,F319&lt;=pconfig!$B$14,P319*pconfig!$C$14,F319&lt;=pconfig!$B$15,P319*pconfig!$C$15,F319&lt;=pconfig!$B$16,P319*pconfig!$C$16,F319&lt;=pconfig!$B$17,P319*pconfig!$C$17,F319&lt;=pconfig!$B$18,P319*pconfig!$C$18,F319&lt;=pconfig!$B$19,P319*pconfig!$C$19,F319&lt;=pconfig!$B$20,P319*pconfig!$C$20,F319&lt;=pconfig!$B$21,P319*pconfig!$C$21)</f>
        <v>9061.555891</v>
      </c>
      <c r="R319" s="87">
        <f t="shared" si="2"/>
        <v>10041.86178</v>
      </c>
    </row>
    <row r="320" ht="22.5" hidden="1" customHeight="1">
      <c r="A320" s="52">
        <f t="shared" si="3"/>
        <v>319</v>
      </c>
      <c r="B320" s="53" t="s">
        <v>919</v>
      </c>
      <c r="C320" s="53" t="s">
        <v>59</v>
      </c>
      <c r="D320" s="56" t="s">
        <v>60</v>
      </c>
      <c r="E320" s="53" t="str">
        <f t="shared" si="1"/>
        <v>SANTA BARBARA DO PARARADIO</v>
      </c>
      <c r="F320" s="59">
        <v>1.0</v>
      </c>
      <c r="G320" s="53" t="s">
        <v>411</v>
      </c>
      <c r="H320" s="59" t="str">
        <f t="array" ref="H320">XLOOKUP(B320,municipios,regiao!$D$6:$D$150,0)</f>
        <v>SIM</v>
      </c>
      <c r="I320" s="53" t="s">
        <v>414</v>
      </c>
      <c r="J320" s="60" t="s">
        <v>64</v>
      </c>
      <c r="K320" s="61">
        <v>15.65</v>
      </c>
      <c r="L320" s="70">
        <f>K320/(1-pconfig!$G$2-pconfig!$G$3-pconfig!$G$4)</f>
        <v>29.55060423</v>
      </c>
      <c r="M320" s="61">
        <v>89.8608333333333</v>
      </c>
      <c r="N320" s="61">
        <f>M320/(1-pconfig!$G$2-pconfig!$G$3-pconfig!$G$4)</f>
        <v>169.6768001</v>
      </c>
      <c r="O320" s="61">
        <f>((K320*F320)+M320)/(1-pconfig!$G$2-pconfig!$G$3-pconfig!$G$4)</f>
        <v>199.2274043</v>
      </c>
      <c r="P320" s="74">
        <f>K320*F320/(1-pconfig!$G$2-pconfig!$G$3-pconfig!$G$4)</f>
        <v>29.55060423</v>
      </c>
      <c r="Q320" s="74">
        <f>IFS(F320&lt;=pconfig!$B$12,P320*pconfig!$C$12,F320&lt;=pconfig!$B$13,P320*pconfig!$C$13,F320&lt;=pconfig!$B$14,P320*pconfig!$C$14,F320&lt;=pconfig!$B$15,P320*pconfig!$C$15,F320&lt;=pconfig!$B$16,P320*pconfig!$C$16,F320&lt;=pconfig!$B$17,P320*pconfig!$C$17,F320&lt;=pconfig!$B$18,P320*pconfig!$C$18,F320&lt;=pconfig!$B$19,P320*pconfig!$C$19,F320&lt;=pconfig!$B$20,P320*pconfig!$C$20,F320&lt;=pconfig!$B$21,P320*pconfig!$C$21)</f>
        <v>29.55060423</v>
      </c>
      <c r="R320" s="76">
        <f t="shared" si="2"/>
        <v>199.2274043</v>
      </c>
    </row>
    <row r="321" ht="22.5" hidden="1" customHeight="1">
      <c r="A321" s="78">
        <f t="shared" si="3"/>
        <v>320</v>
      </c>
      <c r="B321" s="79" t="s">
        <v>919</v>
      </c>
      <c r="C321" s="79" t="s">
        <v>50</v>
      </c>
      <c r="D321" s="80" t="s">
        <v>82</v>
      </c>
      <c r="E321" s="79" t="str">
        <f t="shared" si="1"/>
        <v>SANTA BARBARA DO PARAFIBRA</v>
      </c>
      <c r="F321" s="81">
        <v>1.0</v>
      </c>
      <c r="G321" s="79" t="s">
        <v>411</v>
      </c>
      <c r="H321" s="81" t="str">
        <f t="array" ref="H321">XLOOKUP(B321,municipios,regiao!$D$6:$D$150,0)</f>
        <v>SIM</v>
      </c>
      <c r="I321" s="79" t="s">
        <v>414</v>
      </c>
      <c r="J321" s="82" t="s">
        <v>64</v>
      </c>
      <c r="K321" s="83">
        <v>15.65</v>
      </c>
      <c r="L321" s="85">
        <f>K321/(1-pconfig!$G$2-pconfig!$G$3-pconfig!$G$4)</f>
        <v>29.55060423</v>
      </c>
      <c r="M321" s="83">
        <v>94.7</v>
      </c>
      <c r="N321" s="83">
        <f>M321/(1-pconfig!$G$2-pconfig!$G$3-pconfig!$G$4)</f>
        <v>178.8141994</v>
      </c>
      <c r="O321" s="83">
        <f>((K321*F321)+M321)/(1-pconfig!$G$2-pconfig!$G$3-pconfig!$G$4)</f>
        <v>208.3648036</v>
      </c>
      <c r="P321" s="86">
        <f>K321*F321/(1-pconfig!$G$2-pconfig!$G$3-pconfig!$G$4)</f>
        <v>29.55060423</v>
      </c>
      <c r="Q321" s="86">
        <f>IFS(F321&lt;=pconfig!$B$12,P321*pconfig!$C$12,F321&lt;=pconfig!$B$13,P321*pconfig!$C$13,F321&lt;=pconfig!$B$14,P321*pconfig!$C$14,F321&lt;=pconfig!$B$15,P321*pconfig!$C$15,F321&lt;=pconfig!$B$16,P321*pconfig!$C$16,F321&lt;=pconfig!$B$17,P321*pconfig!$C$17,F321&lt;=pconfig!$B$18,P321*pconfig!$C$18,F321&lt;=pconfig!$B$19,P321*pconfig!$C$19,F321&lt;=pconfig!$B$20,P321*pconfig!$C$20,F321&lt;=pconfig!$B$21,P321*pconfig!$C$21)</f>
        <v>29.55060423</v>
      </c>
      <c r="R321" s="87">
        <f t="shared" si="2"/>
        <v>208.3648036</v>
      </c>
    </row>
    <row r="322" ht="22.5" hidden="1" customHeight="1">
      <c r="A322" s="52">
        <f t="shared" si="3"/>
        <v>321</v>
      </c>
      <c r="B322" s="53" t="s">
        <v>919</v>
      </c>
      <c r="C322" s="53" t="s">
        <v>101</v>
      </c>
      <c r="D322" s="56" t="s">
        <v>102</v>
      </c>
      <c r="E322" s="53" t="str">
        <f t="shared" si="1"/>
        <v>SANTA BARBARA DO PARASATELITE</v>
      </c>
      <c r="F322" s="59">
        <v>1.0</v>
      </c>
      <c r="G322" s="53" t="s">
        <v>411</v>
      </c>
      <c r="H322" s="59" t="str">
        <f t="array" ref="H322">XLOOKUP(B322,municipios,regiao!$D$6:$D$150,0)</f>
        <v>SIM</v>
      </c>
      <c r="I322" s="53" t="s">
        <v>414</v>
      </c>
      <c r="J322" s="60" t="s">
        <v>106</v>
      </c>
      <c r="K322" s="61">
        <v>4799.0</v>
      </c>
      <c r="L322" s="70">
        <f>K322/(1-pconfig!$G$2-pconfig!$G$3-pconfig!$G$4)</f>
        <v>9061.555891</v>
      </c>
      <c r="M322" s="61">
        <v>94.7</v>
      </c>
      <c r="N322" s="61">
        <f>M322/(1-pconfig!$G$2-pconfig!$G$3-pconfig!$G$4)</f>
        <v>178.8141994</v>
      </c>
      <c r="O322" s="61">
        <f>((K322*F322)+M322)/(1-pconfig!$G$2-pconfig!$G$3-pconfig!$G$4)</f>
        <v>9240.370091</v>
      </c>
      <c r="P322" s="74">
        <f>K322*F322/(1-pconfig!$G$2-pconfig!$G$3-pconfig!$G$4)</f>
        <v>9061.555891</v>
      </c>
      <c r="Q322" s="74">
        <f>IFS(F322&lt;=pconfig!$B$12,P322*pconfig!$C$12,F322&lt;=pconfig!$B$13,P322*pconfig!$C$13,F322&lt;=pconfig!$B$14,P322*pconfig!$C$14,F322&lt;=pconfig!$B$15,P322*pconfig!$C$15,F322&lt;=pconfig!$B$16,P322*pconfig!$C$16,F322&lt;=pconfig!$B$17,P322*pconfig!$C$17,F322&lt;=pconfig!$B$18,P322*pconfig!$C$18,F322&lt;=pconfig!$B$19,P322*pconfig!$C$19,F322&lt;=pconfig!$B$20,P322*pconfig!$C$20,F322&lt;=pconfig!$B$21,P322*pconfig!$C$21)</f>
        <v>9061.555891</v>
      </c>
      <c r="R322" s="76">
        <f t="shared" si="2"/>
        <v>9240.370091</v>
      </c>
    </row>
    <row r="323" ht="22.5" hidden="1" customHeight="1">
      <c r="A323" s="78">
        <f t="shared" si="3"/>
        <v>322</v>
      </c>
      <c r="B323" s="79" t="s">
        <v>920</v>
      </c>
      <c r="C323" s="79" t="s">
        <v>59</v>
      </c>
      <c r="D323" s="80" t="s">
        <v>60</v>
      </c>
      <c r="E323" s="79" t="str">
        <f t="shared" si="1"/>
        <v>SANTA CRUZ DO ARARIRADIO</v>
      </c>
      <c r="F323" s="81">
        <v>1.0</v>
      </c>
      <c r="G323" s="79" t="s">
        <v>258</v>
      </c>
      <c r="H323" s="81" t="str">
        <f t="array" ref="H323">XLOOKUP(B323,municipios,regiao!$D$6:$D$150,0)</f>
        <v>NÃO</v>
      </c>
      <c r="I323" s="79" t="s">
        <v>258</v>
      </c>
      <c r="J323" s="82" t="s">
        <v>259</v>
      </c>
      <c r="K323" s="83">
        <v>35.73</v>
      </c>
      <c r="L323" s="85">
        <f>K323/(1-pconfig!$G$2-pconfig!$G$3-pconfig!$G$4)</f>
        <v>67.46601208</v>
      </c>
      <c r="M323" s="83">
        <v>138.285</v>
      </c>
      <c r="N323" s="83">
        <f>M323/(1-pconfig!$G$2-pconfig!$G$3-pconfig!$G$4)</f>
        <v>261.1121601</v>
      </c>
      <c r="O323" s="83">
        <f>((K323*F323)+M323)/(1-pconfig!$G$2-pconfig!$G$3-pconfig!$G$4)</f>
        <v>328.5781722</v>
      </c>
      <c r="P323" s="86">
        <f>K323*F323/(1-pconfig!$G$2-pconfig!$G$3-pconfig!$G$4)</f>
        <v>67.46601208</v>
      </c>
      <c r="Q323" s="86">
        <f>IFS(F323&lt;=pconfig!$B$12,P323*pconfig!$C$12,F323&lt;=pconfig!$B$13,P323*pconfig!$C$13,F323&lt;=pconfig!$B$14,P323*pconfig!$C$14,F323&lt;=pconfig!$B$15,P323*pconfig!$C$15,F323&lt;=pconfig!$B$16,P323*pconfig!$C$16,F323&lt;=pconfig!$B$17,P323*pconfig!$C$17,F323&lt;=pconfig!$B$18,P323*pconfig!$C$18,F323&lt;=pconfig!$B$19,P323*pconfig!$C$19,F323&lt;=pconfig!$B$20,P323*pconfig!$C$20,F323&lt;=pconfig!$B$21,P323*pconfig!$C$21)</f>
        <v>67.46601208</v>
      </c>
      <c r="R323" s="87">
        <f t="shared" si="2"/>
        <v>328.5781722</v>
      </c>
    </row>
    <row r="324" ht="22.5" hidden="1" customHeight="1">
      <c r="A324" s="52">
        <f t="shared" si="3"/>
        <v>323</v>
      </c>
      <c r="B324" s="53" t="s">
        <v>920</v>
      </c>
      <c r="C324" s="53" t="s">
        <v>50</v>
      </c>
      <c r="D324" s="56" t="s">
        <v>82</v>
      </c>
      <c r="E324" s="53" t="str">
        <f t="shared" si="1"/>
        <v>SANTA CRUZ DO ARARIFIBRA</v>
      </c>
      <c r="F324" s="59">
        <v>1.0</v>
      </c>
      <c r="G324" s="53" t="s">
        <v>258</v>
      </c>
      <c r="H324" s="59" t="str">
        <f t="array" ref="H324">XLOOKUP(B324,municipios,regiao!$D$6:$D$150,0)</f>
        <v>NÃO</v>
      </c>
      <c r="I324" s="53" t="s">
        <v>258</v>
      </c>
      <c r="J324" s="60" t="s">
        <v>259</v>
      </c>
      <c r="K324" s="61">
        <v>35.73</v>
      </c>
      <c r="L324" s="70">
        <f>K324/(1-pconfig!$G$2-pconfig!$G$3-pconfig!$G$4)</f>
        <v>67.46601208</v>
      </c>
      <c r="M324" s="61">
        <v>519.17</v>
      </c>
      <c r="N324" s="61">
        <f>M324/(1-pconfig!$G$2-pconfig!$G$3-pconfig!$G$4)</f>
        <v>980.3058912</v>
      </c>
      <c r="O324" s="61">
        <f>((K324*F324)+M324)/(1-pconfig!$G$2-pconfig!$G$3-pconfig!$G$4)</f>
        <v>1047.771903</v>
      </c>
      <c r="P324" s="74">
        <f>K324*F324/(1-pconfig!$G$2-pconfig!$G$3-pconfig!$G$4)</f>
        <v>67.46601208</v>
      </c>
      <c r="Q324" s="74">
        <f>IFS(F324&lt;=pconfig!$B$12,P324*pconfig!$C$12,F324&lt;=pconfig!$B$13,P324*pconfig!$C$13,F324&lt;=pconfig!$B$14,P324*pconfig!$C$14,F324&lt;=pconfig!$B$15,P324*pconfig!$C$15,F324&lt;=pconfig!$B$16,P324*pconfig!$C$16,F324&lt;=pconfig!$B$17,P324*pconfig!$C$17,F324&lt;=pconfig!$B$18,P324*pconfig!$C$18,F324&lt;=pconfig!$B$19,P324*pconfig!$C$19,F324&lt;=pconfig!$B$20,P324*pconfig!$C$20,F324&lt;=pconfig!$B$21,P324*pconfig!$C$21)</f>
        <v>67.46601208</v>
      </c>
      <c r="R324" s="76">
        <f t="shared" si="2"/>
        <v>1047.771903</v>
      </c>
    </row>
    <row r="325" ht="22.5" hidden="1" customHeight="1">
      <c r="A325" s="78">
        <f t="shared" si="3"/>
        <v>324</v>
      </c>
      <c r="B325" s="79" t="s">
        <v>920</v>
      </c>
      <c r="C325" s="79" t="s">
        <v>101</v>
      </c>
      <c r="D325" s="80" t="s">
        <v>102</v>
      </c>
      <c r="E325" s="79" t="str">
        <f t="shared" si="1"/>
        <v>SANTA CRUZ DO ARARISATELITE</v>
      </c>
      <c r="F325" s="81">
        <v>1.0</v>
      </c>
      <c r="G325" s="79" t="s">
        <v>258</v>
      </c>
      <c r="H325" s="81" t="str">
        <f t="array" ref="H325">XLOOKUP(B325,municipios,regiao!$D$6:$D$150,0)</f>
        <v>NÃO</v>
      </c>
      <c r="I325" s="79" t="s">
        <v>258</v>
      </c>
      <c r="J325" s="82" t="s">
        <v>106</v>
      </c>
      <c r="K325" s="83">
        <v>4799.0</v>
      </c>
      <c r="L325" s="85">
        <f>K325/(1-pconfig!$G$2-pconfig!$G$3-pconfig!$G$4)</f>
        <v>9061.555891</v>
      </c>
      <c r="M325" s="83">
        <v>519.17</v>
      </c>
      <c r="N325" s="83">
        <f>M325/(1-pconfig!$G$2-pconfig!$G$3-pconfig!$G$4)</f>
        <v>980.3058912</v>
      </c>
      <c r="O325" s="83">
        <f>((K325*F325)+M325)/(1-pconfig!$G$2-pconfig!$G$3-pconfig!$G$4)</f>
        <v>10041.86178</v>
      </c>
      <c r="P325" s="86">
        <f>K325*F325/(1-pconfig!$G$2-pconfig!$G$3-pconfig!$G$4)</f>
        <v>9061.555891</v>
      </c>
      <c r="Q325" s="86">
        <f>IFS(F325&lt;=pconfig!$B$12,P325*pconfig!$C$12,F325&lt;=pconfig!$B$13,P325*pconfig!$C$13,F325&lt;=pconfig!$B$14,P325*pconfig!$C$14,F325&lt;=pconfig!$B$15,P325*pconfig!$C$15,F325&lt;=pconfig!$B$16,P325*pconfig!$C$16,F325&lt;=pconfig!$B$17,P325*pconfig!$C$17,F325&lt;=pconfig!$B$18,P325*pconfig!$C$18,F325&lt;=pconfig!$B$19,P325*pconfig!$C$19,F325&lt;=pconfig!$B$20,P325*pconfig!$C$20,F325&lt;=pconfig!$B$21,P325*pconfig!$C$21)</f>
        <v>9061.555891</v>
      </c>
      <c r="R325" s="87">
        <f t="shared" si="2"/>
        <v>10041.86178</v>
      </c>
    </row>
    <row r="326" ht="22.5" hidden="1" customHeight="1">
      <c r="A326" s="52">
        <f t="shared" si="3"/>
        <v>325</v>
      </c>
      <c r="B326" s="53" t="s">
        <v>921</v>
      </c>
      <c r="C326" s="53" t="s">
        <v>50</v>
      </c>
      <c r="D326" s="56" t="s">
        <v>82</v>
      </c>
      <c r="E326" s="53" t="str">
        <f t="shared" si="1"/>
        <v>SANTA IZABEL DO PARAFIBRA</v>
      </c>
      <c r="F326" s="59">
        <v>1.0</v>
      </c>
      <c r="G326" s="53" t="s">
        <v>411</v>
      </c>
      <c r="H326" s="59" t="str">
        <f t="array" ref="H326">XLOOKUP(B326,municipios,regiao!$D$6:$D$150,0)</f>
        <v>SIM</v>
      </c>
      <c r="I326" s="53" t="s">
        <v>798</v>
      </c>
      <c r="J326" s="60" t="s">
        <v>416</v>
      </c>
      <c r="K326" s="61">
        <v>13.97</v>
      </c>
      <c r="L326" s="70">
        <f>K326/(1-pconfig!$G$2-pconfig!$G$3-pconfig!$G$4)</f>
        <v>26.37839879</v>
      </c>
      <c r="M326" s="61">
        <v>70.72</v>
      </c>
      <c r="N326" s="61">
        <f>M326/(1-pconfig!$G$2-pconfig!$G$3-pconfig!$G$4)</f>
        <v>133.5347432</v>
      </c>
      <c r="O326" s="61">
        <f>((K326*F326)+M326)/(1-pconfig!$G$2-pconfig!$G$3-pconfig!$G$4)</f>
        <v>159.913142</v>
      </c>
      <c r="P326" s="74">
        <f>K326*F326/(1-pconfig!$G$2-pconfig!$G$3-pconfig!$G$4)</f>
        <v>26.37839879</v>
      </c>
      <c r="Q326" s="74">
        <f>IFS(F326&lt;=pconfig!$B$12,P326*pconfig!$C$12,F326&lt;=pconfig!$B$13,P326*pconfig!$C$13,F326&lt;=pconfig!$B$14,P326*pconfig!$C$14,F326&lt;=pconfig!$B$15,P326*pconfig!$C$15,F326&lt;=pconfig!$B$16,P326*pconfig!$C$16,F326&lt;=pconfig!$B$17,P326*pconfig!$C$17,F326&lt;=pconfig!$B$18,P326*pconfig!$C$18,F326&lt;=pconfig!$B$19,P326*pconfig!$C$19,F326&lt;=pconfig!$B$20,P326*pconfig!$C$20,F326&lt;=pconfig!$B$21,P326*pconfig!$C$21)</f>
        <v>26.37839879</v>
      </c>
      <c r="R326" s="76">
        <f t="shared" si="2"/>
        <v>159.913142</v>
      </c>
    </row>
    <row r="327" ht="22.5" hidden="1" customHeight="1">
      <c r="A327" s="78">
        <f t="shared" si="3"/>
        <v>326</v>
      </c>
      <c r="B327" s="153" t="s">
        <v>921</v>
      </c>
      <c r="C327" s="79" t="s">
        <v>101</v>
      </c>
      <c r="D327" s="80" t="s">
        <v>102</v>
      </c>
      <c r="E327" s="79" t="str">
        <f t="shared" si="1"/>
        <v>SANTA IZABEL DO PARASATELITE</v>
      </c>
      <c r="F327" s="81">
        <v>1.0</v>
      </c>
      <c r="G327" s="79" t="s">
        <v>411</v>
      </c>
      <c r="H327" s="81" t="str">
        <f t="array" ref="H327">XLOOKUP(B327,municipios,regiao!$D$6:$D$150,0)</f>
        <v>SIM</v>
      </c>
      <c r="I327" s="79" t="s">
        <v>798</v>
      </c>
      <c r="J327" s="82" t="s">
        <v>106</v>
      </c>
      <c r="K327" s="83">
        <v>4799.0</v>
      </c>
      <c r="L327" s="85">
        <f>K327/(1-pconfig!$G$2-pconfig!$G$3-pconfig!$G$4)</f>
        <v>9061.555891</v>
      </c>
      <c r="M327" s="83">
        <v>70.72</v>
      </c>
      <c r="N327" s="83">
        <f>M327/(1-pconfig!$G$2-pconfig!$G$3-pconfig!$G$4)</f>
        <v>133.5347432</v>
      </c>
      <c r="O327" s="83">
        <f>((K327*F327)+M327)/(1-pconfig!$G$2-pconfig!$G$3-pconfig!$G$4)</f>
        <v>9195.090634</v>
      </c>
      <c r="P327" s="86">
        <f>K327*F327/(1-pconfig!$G$2-pconfig!$G$3-pconfig!$G$4)</f>
        <v>9061.555891</v>
      </c>
      <c r="Q327" s="86">
        <f>IFS(F327&lt;=pconfig!$B$12,P327*pconfig!$C$12,F327&lt;=pconfig!$B$13,P327*pconfig!$C$13,F327&lt;=pconfig!$B$14,P327*pconfig!$C$14,F327&lt;=pconfig!$B$15,P327*pconfig!$C$15,F327&lt;=pconfig!$B$16,P327*pconfig!$C$16,F327&lt;=pconfig!$B$17,P327*pconfig!$C$17,F327&lt;=pconfig!$B$18,P327*pconfig!$C$18,F327&lt;=pconfig!$B$19,P327*pconfig!$C$19,F327&lt;=pconfig!$B$20,P327*pconfig!$C$20,F327&lt;=pconfig!$B$21,P327*pconfig!$C$21)</f>
        <v>9061.555891</v>
      </c>
      <c r="R327" s="87">
        <f t="shared" si="2"/>
        <v>9195.090634</v>
      </c>
    </row>
    <row r="328" ht="22.5" hidden="1" customHeight="1">
      <c r="A328" s="52">
        <f t="shared" si="3"/>
        <v>327</v>
      </c>
      <c r="B328" s="53" t="s">
        <v>921</v>
      </c>
      <c r="C328" s="53" t="s">
        <v>59</v>
      </c>
      <c r="D328" s="56" t="s">
        <v>60</v>
      </c>
      <c r="E328" s="53" t="str">
        <f t="shared" si="1"/>
        <v>SANTA IZABEL DO PARARADIO</v>
      </c>
      <c r="F328" s="59">
        <v>1.0</v>
      </c>
      <c r="G328" s="53" t="s">
        <v>411</v>
      </c>
      <c r="H328" s="59" t="str">
        <f t="array" ref="H328">XLOOKUP(B328,municipios,regiao!$D$6:$D$150,0)</f>
        <v>SIM</v>
      </c>
      <c r="I328" s="53" t="s">
        <v>798</v>
      </c>
      <c r="J328" s="60" t="s">
        <v>416</v>
      </c>
      <c r="K328" s="61">
        <v>13.97</v>
      </c>
      <c r="L328" s="70">
        <f>K328/(1-pconfig!$G$2-pconfig!$G$3-pconfig!$G$4)</f>
        <v>26.37839879</v>
      </c>
      <c r="M328" s="61">
        <v>137.604166666667</v>
      </c>
      <c r="N328" s="61">
        <f>M328/(1-pconfig!$G$2-pconfig!$G$3-pconfig!$G$4)</f>
        <v>259.8265987</v>
      </c>
      <c r="O328" s="61">
        <f>((K328*F328)+M328)/(1-pconfig!$G$2-pconfig!$G$3-pconfig!$G$4)</f>
        <v>286.2049975</v>
      </c>
      <c r="P328" s="74">
        <f>K328*F328/(1-pconfig!$G$2-pconfig!$G$3-pconfig!$G$4)</f>
        <v>26.37839879</v>
      </c>
      <c r="Q328" s="74">
        <f>IFS(F328&lt;=pconfig!$B$12,P328*pconfig!$C$12,F328&lt;=pconfig!$B$13,P328*pconfig!$C$13,F328&lt;=pconfig!$B$14,P328*pconfig!$C$14,F328&lt;=pconfig!$B$15,P328*pconfig!$C$15,F328&lt;=pconfig!$B$16,P328*pconfig!$C$16,F328&lt;=pconfig!$B$17,P328*pconfig!$C$17,F328&lt;=pconfig!$B$18,P328*pconfig!$C$18,F328&lt;=pconfig!$B$19,P328*pconfig!$C$19,F328&lt;=pconfig!$B$20,P328*pconfig!$C$20,F328&lt;=pconfig!$B$21,P328*pconfig!$C$21)</f>
        <v>26.37839879</v>
      </c>
      <c r="R328" s="76">
        <f t="shared" si="2"/>
        <v>286.2049975</v>
      </c>
    </row>
    <row r="329" ht="22.5" hidden="1" customHeight="1">
      <c r="A329" s="78">
        <f t="shared" si="3"/>
        <v>328</v>
      </c>
      <c r="B329" s="79" t="s">
        <v>922</v>
      </c>
      <c r="C329" s="79" t="s">
        <v>59</v>
      </c>
      <c r="D329" s="80" t="s">
        <v>60</v>
      </c>
      <c r="E329" s="79" t="str">
        <f t="shared" si="1"/>
        <v>SANTA LUZIA DO PARARADIO</v>
      </c>
      <c r="F329" s="81">
        <v>1.0</v>
      </c>
      <c r="G329" s="79" t="s">
        <v>61</v>
      </c>
      <c r="H329" s="81" t="str">
        <f t="array" ref="H329">XLOOKUP(B329,municipios,regiao!$D$6:$D$150,0)</f>
        <v>NÃO</v>
      </c>
      <c r="I329" s="79" t="s">
        <v>496</v>
      </c>
      <c r="J329" s="82" t="s">
        <v>337</v>
      </c>
      <c r="K329" s="83">
        <v>17.84</v>
      </c>
      <c r="L329" s="85">
        <f>K329/(1-pconfig!$G$2-pconfig!$G$3-pconfig!$G$4)</f>
        <v>33.6858006</v>
      </c>
      <c r="M329" s="83">
        <v>137.604166666667</v>
      </c>
      <c r="N329" s="83">
        <f>M329/(1-pconfig!$G$2-pconfig!$G$3-pconfig!$G$4)</f>
        <v>259.8265987</v>
      </c>
      <c r="O329" s="83">
        <f>((K329*F329)+M329)/(1-pconfig!$G$2-pconfig!$G$3-pconfig!$G$4)</f>
        <v>293.5123993</v>
      </c>
      <c r="P329" s="86">
        <f>K329*F329/(1-pconfig!$G$2-pconfig!$G$3-pconfig!$G$4)</f>
        <v>33.6858006</v>
      </c>
      <c r="Q329" s="86">
        <f>IFS(F329&lt;=pconfig!$B$12,P329*pconfig!$C$12,F329&lt;=pconfig!$B$13,P329*pconfig!$C$13,F329&lt;=pconfig!$B$14,P329*pconfig!$C$14,F329&lt;=pconfig!$B$15,P329*pconfig!$C$15,F329&lt;=pconfig!$B$16,P329*pconfig!$C$16,F329&lt;=pconfig!$B$17,P329*pconfig!$C$17,F329&lt;=pconfig!$B$18,P329*pconfig!$C$18,F329&lt;=pconfig!$B$19,P329*pconfig!$C$19,F329&lt;=pconfig!$B$20,P329*pconfig!$C$20,F329&lt;=pconfig!$B$21,P329*pconfig!$C$21)</f>
        <v>33.6858006</v>
      </c>
      <c r="R329" s="87">
        <f t="shared" si="2"/>
        <v>293.5123993</v>
      </c>
    </row>
    <row r="330" ht="22.5" hidden="1" customHeight="1">
      <c r="A330" s="52">
        <f t="shared" si="3"/>
        <v>329</v>
      </c>
      <c r="B330" s="53" t="s">
        <v>922</v>
      </c>
      <c r="C330" s="53" t="s">
        <v>50</v>
      </c>
      <c r="D330" s="56" t="s">
        <v>82</v>
      </c>
      <c r="E330" s="53" t="str">
        <f t="shared" si="1"/>
        <v>SANTA LUZIA DO PARAFIBRA</v>
      </c>
      <c r="F330" s="59">
        <v>1.0</v>
      </c>
      <c r="G330" s="53" t="s">
        <v>61</v>
      </c>
      <c r="H330" s="59" t="str">
        <f t="array" ref="H330">XLOOKUP(B330,municipios,regiao!$D$6:$D$150,0)</f>
        <v>NÃO</v>
      </c>
      <c r="I330" s="53" t="s">
        <v>496</v>
      </c>
      <c r="J330" s="60" t="s">
        <v>337</v>
      </c>
      <c r="K330" s="61">
        <v>17.84</v>
      </c>
      <c r="L330" s="70">
        <f>K330/(1-pconfig!$G$2-pconfig!$G$3-pconfig!$G$4)</f>
        <v>33.6858006</v>
      </c>
      <c r="M330" s="61">
        <v>406.12</v>
      </c>
      <c r="N330" s="61">
        <f>M330/(1-pconfig!$G$2-pconfig!$G$3-pconfig!$G$4)</f>
        <v>766.8429003</v>
      </c>
      <c r="O330" s="61">
        <f>((K330*F330)+M330)/(1-pconfig!$G$2-pconfig!$G$3-pconfig!$G$4)</f>
        <v>800.5287009</v>
      </c>
      <c r="P330" s="74">
        <f>K330*F330/(1-pconfig!$G$2-pconfig!$G$3-pconfig!$G$4)</f>
        <v>33.6858006</v>
      </c>
      <c r="Q330" s="74">
        <f>IFS(F330&lt;=pconfig!$B$12,P330*pconfig!$C$12,F330&lt;=pconfig!$B$13,P330*pconfig!$C$13,F330&lt;=pconfig!$B$14,P330*pconfig!$C$14,F330&lt;=pconfig!$B$15,P330*pconfig!$C$15,F330&lt;=pconfig!$B$16,P330*pconfig!$C$16,F330&lt;=pconfig!$B$17,P330*pconfig!$C$17,F330&lt;=pconfig!$B$18,P330*pconfig!$C$18,F330&lt;=pconfig!$B$19,P330*pconfig!$C$19,F330&lt;=pconfig!$B$20,P330*pconfig!$C$20,F330&lt;=pconfig!$B$21,P330*pconfig!$C$21)</f>
        <v>33.6858006</v>
      </c>
      <c r="R330" s="76">
        <f t="shared" si="2"/>
        <v>800.5287009</v>
      </c>
    </row>
    <row r="331" ht="22.5" hidden="1" customHeight="1">
      <c r="A331" s="78">
        <f t="shared" si="3"/>
        <v>330</v>
      </c>
      <c r="B331" s="79" t="s">
        <v>922</v>
      </c>
      <c r="C331" s="79" t="s">
        <v>101</v>
      </c>
      <c r="D331" s="80" t="s">
        <v>102</v>
      </c>
      <c r="E331" s="79" t="str">
        <f t="shared" si="1"/>
        <v>SANTA LUZIA DO PARASATELITE</v>
      </c>
      <c r="F331" s="81">
        <v>1.0</v>
      </c>
      <c r="G331" s="79" t="s">
        <v>61</v>
      </c>
      <c r="H331" s="81" t="str">
        <f t="array" ref="H331">XLOOKUP(B331,municipios,regiao!$D$6:$D$150,0)</f>
        <v>NÃO</v>
      </c>
      <c r="I331" s="79" t="s">
        <v>496</v>
      </c>
      <c r="J331" s="82" t="s">
        <v>106</v>
      </c>
      <c r="K331" s="83">
        <v>4799.0</v>
      </c>
      <c r="L331" s="85">
        <f>K331/(1-pconfig!$G$2-pconfig!$G$3-pconfig!$G$4)</f>
        <v>9061.555891</v>
      </c>
      <c r="M331" s="83">
        <v>406.12</v>
      </c>
      <c r="N331" s="83">
        <f>M331/(1-pconfig!$G$2-pconfig!$G$3-pconfig!$G$4)</f>
        <v>766.8429003</v>
      </c>
      <c r="O331" s="83">
        <f>((K331*F331)+M331)/(1-pconfig!$G$2-pconfig!$G$3-pconfig!$G$4)</f>
        <v>9828.398792</v>
      </c>
      <c r="P331" s="86">
        <f>K331*F331/(1-pconfig!$G$2-pconfig!$G$3-pconfig!$G$4)</f>
        <v>9061.555891</v>
      </c>
      <c r="Q331" s="86">
        <f>IFS(F331&lt;=pconfig!$B$12,P331*pconfig!$C$12,F331&lt;=pconfig!$B$13,P331*pconfig!$C$13,F331&lt;=pconfig!$B$14,P331*pconfig!$C$14,F331&lt;=pconfig!$B$15,P331*pconfig!$C$15,F331&lt;=pconfig!$B$16,P331*pconfig!$C$16,F331&lt;=pconfig!$B$17,P331*pconfig!$C$17,F331&lt;=pconfig!$B$18,P331*pconfig!$C$18,F331&lt;=pconfig!$B$19,P331*pconfig!$C$19,F331&lt;=pconfig!$B$20,P331*pconfig!$C$20,F331&lt;=pconfig!$B$21,P331*pconfig!$C$21)</f>
        <v>9061.555891</v>
      </c>
      <c r="R331" s="87">
        <f t="shared" si="2"/>
        <v>9828.398792</v>
      </c>
    </row>
    <row r="332" ht="22.5" hidden="1" customHeight="1">
      <c r="A332" s="52">
        <f t="shared" si="3"/>
        <v>331</v>
      </c>
      <c r="B332" s="53" t="s">
        <v>923</v>
      </c>
      <c r="C332" s="53" t="s">
        <v>59</v>
      </c>
      <c r="D332" s="56" t="s">
        <v>60</v>
      </c>
      <c r="E332" s="53" t="str">
        <f t="shared" si="1"/>
        <v>SANTA MARIA DAS BARREIRASRADIO</v>
      </c>
      <c r="F332" s="59">
        <v>1.0</v>
      </c>
      <c r="G332" s="53" t="s">
        <v>128</v>
      </c>
      <c r="H332" s="59" t="str">
        <f t="array" ref="H332">XLOOKUP(B332,municipios,regiao!$D$6:$D$150,0)</f>
        <v>NÃO</v>
      </c>
      <c r="I332" s="53" t="s">
        <v>280</v>
      </c>
      <c r="J332" s="60" t="s">
        <v>133</v>
      </c>
      <c r="K332" s="61">
        <v>29.29</v>
      </c>
      <c r="L332" s="70">
        <f>K332/(1-pconfig!$G$2-pconfig!$G$3-pconfig!$G$4)</f>
        <v>55.30589124</v>
      </c>
      <c r="M332" s="61">
        <v>336.074166666667</v>
      </c>
      <c r="N332" s="61">
        <f>M332/(1-pconfig!$G$2-pconfig!$G$3-pconfig!$G$4)</f>
        <v>634.5811304</v>
      </c>
      <c r="O332" s="61">
        <f>((K332*F332)+M332)/(1-pconfig!$G$2-pconfig!$G$3-pconfig!$G$4)</f>
        <v>689.8870217</v>
      </c>
      <c r="P332" s="74">
        <f>K332*F332/(1-pconfig!$G$2-pconfig!$G$3-pconfig!$G$4)</f>
        <v>55.30589124</v>
      </c>
      <c r="Q332" s="74">
        <f>IFS(F332&lt;=pconfig!$B$12,P332*pconfig!$C$12,F332&lt;=pconfig!$B$13,P332*pconfig!$C$13,F332&lt;=pconfig!$B$14,P332*pconfig!$C$14,F332&lt;=pconfig!$B$15,P332*pconfig!$C$15,F332&lt;=pconfig!$B$16,P332*pconfig!$C$16,F332&lt;=pconfig!$B$17,P332*pconfig!$C$17,F332&lt;=pconfig!$B$18,P332*pconfig!$C$18,F332&lt;=pconfig!$B$19,P332*pconfig!$C$19,F332&lt;=pconfig!$B$20,P332*pconfig!$C$20,F332&lt;=pconfig!$B$21,P332*pconfig!$C$21)</f>
        <v>55.30589124</v>
      </c>
      <c r="R332" s="76">
        <f t="shared" si="2"/>
        <v>689.8870217</v>
      </c>
    </row>
    <row r="333" ht="22.5" hidden="1" customHeight="1">
      <c r="A333" s="78">
        <f t="shared" si="3"/>
        <v>332</v>
      </c>
      <c r="B333" s="79" t="s">
        <v>923</v>
      </c>
      <c r="C333" s="79" t="s">
        <v>50</v>
      </c>
      <c r="D333" s="80" t="s">
        <v>82</v>
      </c>
      <c r="E333" s="79" t="str">
        <f t="shared" si="1"/>
        <v>SANTA MARIA DAS BARREIRASFIBRA</v>
      </c>
      <c r="F333" s="81">
        <v>1.0</v>
      </c>
      <c r="G333" s="79" t="s">
        <v>128</v>
      </c>
      <c r="H333" s="81" t="str">
        <f t="array" ref="H333">XLOOKUP(B333,municipios,regiao!$D$6:$D$150,0)</f>
        <v>NÃO</v>
      </c>
      <c r="I333" s="79" t="s">
        <v>280</v>
      </c>
      <c r="J333" s="82" t="s">
        <v>133</v>
      </c>
      <c r="K333" s="83">
        <v>29.29</v>
      </c>
      <c r="L333" s="85">
        <f>K333/(1-pconfig!$G$2-pconfig!$G$3-pconfig!$G$4)</f>
        <v>55.30589124</v>
      </c>
      <c r="M333" s="83">
        <v>447.5</v>
      </c>
      <c r="N333" s="83">
        <f>M333/(1-pconfig!$G$2-pconfig!$G$3-pconfig!$G$4)</f>
        <v>844.9773414</v>
      </c>
      <c r="O333" s="83">
        <f>((K333*F333)+M333)/(1-pconfig!$G$2-pconfig!$G$3-pconfig!$G$4)</f>
        <v>900.2832326</v>
      </c>
      <c r="P333" s="86">
        <f>K333*F333/(1-pconfig!$G$2-pconfig!$G$3-pconfig!$G$4)</f>
        <v>55.30589124</v>
      </c>
      <c r="Q333" s="86">
        <f>IFS(F333&lt;=pconfig!$B$12,P333*pconfig!$C$12,F333&lt;=pconfig!$B$13,P333*pconfig!$C$13,F333&lt;=pconfig!$B$14,P333*pconfig!$C$14,F333&lt;=pconfig!$B$15,P333*pconfig!$C$15,F333&lt;=pconfig!$B$16,P333*pconfig!$C$16,F333&lt;=pconfig!$B$17,P333*pconfig!$C$17,F333&lt;=pconfig!$B$18,P333*pconfig!$C$18,F333&lt;=pconfig!$B$19,P333*pconfig!$C$19,F333&lt;=pconfig!$B$20,P333*pconfig!$C$20,F333&lt;=pconfig!$B$21,P333*pconfig!$C$21)</f>
        <v>55.30589124</v>
      </c>
      <c r="R333" s="87">
        <f t="shared" si="2"/>
        <v>900.2832326</v>
      </c>
    </row>
    <row r="334" ht="22.5" hidden="1" customHeight="1">
      <c r="A334" s="52">
        <f t="shared" si="3"/>
        <v>333</v>
      </c>
      <c r="B334" s="53" t="s">
        <v>923</v>
      </c>
      <c r="C334" s="53" t="s">
        <v>101</v>
      </c>
      <c r="D334" s="56" t="s">
        <v>102</v>
      </c>
      <c r="E334" s="53" t="str">
        <f t="shared" si="1"/>
        <v>SANTA MARIA DAS BARREIRASSATELITE</v>
      </c>
      <c r="F334" s="59">
        <v>1.0</v>
      </c>
      <c r="G334" s="53" t="s">
        <v>128</v>
      </c>
      <c r="H334" s="59" t="str">
        <f t="array" ref="H334">XLOOKUP(B334,municipios,regiao!$D$6:$D$150,0)</f>
        <v>NÃO</v>
      </c>
      <c r="I334" s="53" t="s">
        <v>280</v>
      </c>
      <c r="J334" s="60" t="s">
        <v>106</v>
      </c>
      <c r="K334" s="61">
        <v>4799.0</v>
      </c>
      <c r="L334" s="70">
        <f>K334/(1-pconfig!$G$2-pconfig!$G$3-pconfig!$G$4)</f>
        <v>9061.555891</v>
      </c>
      <c r="M334" s="61">
        <v>447.5</v>
      </c>
      <c r="N334" s="61">
        <f>M334/(1-pconfig!$G$2-pconfig!$G$3-pconfig!$G$4)</f>
        <v>844.9773414</v>
      </c>
      <c r="O334" s="61">
        <f>((K334*F334)+M334)/(1-pconfig!$G$2-pconfig!$G$3-pconfig!$G$4)</f>
        <v>9906.533233</v>
      </c>
      <c r="P334" s="74">
        <f>K334*F334/(1-pconfig!$G$2-pconfig!$G$3-pconfig!$G$4)</f>
        <v>9061.555891</v>
      </c>
      <c r="Q334" s="74">
        <f>IFS(F334&lt;=pconfig!$B$12,P334*pconfig!$C$12,F334&lt;=pconfig!$B$13,P334*pconfig!$C$13,F334&lt;=pconfig!$B$14,P334*pconfig!$C$14,F334&lt;=pconfig!$B$15,P334*pconfig!$C$15,F334&lt;=pconfig!$B$16,P334*pconfig!$C$16,F334&lt;=pconfig!$B$17,P334*pconfig!$C$17,F334&lt;=pconfig!$B$18,P334*pconfig!$C$18,F334&lt;=pconfig!$B$19,P334*pconfig!$C$19,F334&lt;=pconfig!$B$20,P334*pconfig!$C$20,F334&lt;=pconfig!$B$21,P334*pconfig!$C$21)</f>
        <v>9061.555891</v>
      </c>
      <c r="R334" s="76">
        <f t="shared" si="2"/>
        <v>9906.533233</v>
      </c>
    </row>
    <row r="335" ht="22.5" hidden="1" customHeight="1">
      <c r="A335" s="78">
        <f t="shared" si="3"/>
        <v>334</v>
      </c>
      <c r="B335" s="79" t="s">
        <v>924</v>
      </c>
      <c r="C335" s="79" t="s">
        <v>50</v>
      </c>
      <c r="D335" s="80" t="s">
        <v>82</v>
      </c>
      <c r="E335" s="79" t="str">
        <f t="shared" si="1"/>
        <v>SANTA MARIA DO PARAFIBRA</v>
      </c>
      <c r="F335" s="81">
        <v>1.0</v>
      </c>
      <c r="G335" s="79" t="s">
        <v>61</v>
      </c>
      <c r="H335" s="81" t="str">
        <f t="array" ref="H335">XLOOKUP(B335,municipios,regiao!$D$6:$D$150,0)</f>
        <v>SIM</v>
      </c>
      <c r="I335" s="79" t="s">
        <v>798</v>
      </c>
      <c r="J335" s="82" t="s">
        <v>416</v>
      </c>
      <c r="K335" s="83">
        <v>13.97</v>
      </c>
      <c r="L335" s="85">
        <f>K335/(1-pconfig!$G$2-pconfig!$G$3-pconfig!$G$4)</f>
        <v>26.37839879</v>
      </c>
      <c r="M335" s="83">
        <v>70.72</v>
      </c>
      <c r="N335" s="83">
        <f>M335/(1-pconfig!$G$2-pconfig!$G$3-pconfig!$G$4)</f>
        <v>133.5347432</v>
      </c>
      <c r="O335" s="83">
        <f>((K335*F335)+M335)/(1-pconfig!$G$2-pconfig!$G$3-pconfig!$G$4)</f>
        <v>159.913142</v>
      </c>
      <c r="P335" s="86">
        <f>K335*F335/(1-pconfig!$G$2-pconfig!$G$3-pconfig!$G$4)</f>
        <v>26.37839879</v>
      </c>
      <c r="Q335" s="86">
        <f>IFS(F335&lt;=pconfig!$B$12,P335*pconfig!$C$12,F335&lt;=pconfig!$B$13,P335*pconfig!$C$13,F335&lt;=pconfig!$B$14,P335*pconfig!$C$14,F335&lt;=pconfig!$B$15,P335*pconfig!$C$15,F335&lt;=pconfig!$B$16,P335*pconfig!$C$16,F335&lt;=pconfig!$B$17,P335*pconfig!$C$17,F335&lt;=pconfig!$B$18,P335*pconfig!$C$18,F335&lt;=pconfig!$B$19,P335*pconfig!$C$19,F335&lt;=pconfig!$B$20,P335*pconfig!$C$20,F335&lt;=pconfig!$B$21,P335*pconfig!$C$21)</f>
        <v>26.37839879</v>
      </c>
      <c r="R335" s="87">
        <f t="shared" si="2"/>
        <v>159.913142</v>
      </c>
    </row>
    <row r="336" ht="22.5" hidden="1" customHeight="1">
      <c r="A336" s="52">
        <f t="shared" si="3"/>
        <v>335</v>
      </c>
      <c r="B336" s="53" t="s">
        <v>924</v>
      </c>
      <c r="C336" s="53" t="s">
        <v>101</v>
      </c>
      <c r="D336" s="56" t="s">
        <v>102</v>
      </c>
      <c r="E336" s="53" t="str">
        <f t="shared" si="1"/>
        <v>SANTA MARIA DO PARASATELITE</v>
      </c>
      <c r="F336" s="59">
        <v>1.0</v>
      </c>
      <c r="G336" s="53" t="s">
        <v>61</v>
      </c>
      <c r="H336" s="59" t="str">
        <f t="array" ref="H336">XLOOKUP(B336,municipios,regiao!$D$6:$D$150,0)</f>
        <v>SIM</v>
      </c>
      <c r="I336" s="53" t="s">
        <v>798</v>
      </c>
      <c r="J336" s="60" t="s">
        <v>106</v>
      </c>
      <c r="K336" s="61">
        <v>4799.0</v>
      </c>
      <c r="L336" s="70">
        <f>K336/(1-pconfig!$G$2-pconfig!$G$3-pconfig!$G$4)</f>
        <v>9061.555891</v>
      </c>
      <c r="M336" s="61">
        <v>70.72</v>
      </c>
      <c r="N336" s="61">
        <f>M336/(1-pconfig!$G$2-pconfig!$G$3-pconfig!$G$4)</f>
        <v>133.5347432</v>
      </c>
      <c r="O336" s="61">
        <f>((K336*F336)+M336)/(1-pconfig!$G$2-pconfig!$G$3-pconfig!$G$4)</f>
        <v>9195.090634</v>
      </c>
      <c r="P336" s="74">
        <f>K336*F336/(1-pconfig!$G$2-pconfig!$G$3-pconfig!$G$4)</f>
        <v>9061.555891</v>
      </c>
      <c r="Q336" s="74">
        <f>IFS(F336&lt;=pconfig!$B$12,P336*pconfig!$C$12,F336&lt;=pconfig!$B$13,P336*pconfig!$C$13,F336&lt;=pconfig!$B$14,P336*pconfig!$C$14,F336&lt;=pconfig!$B$15,P336*pconfig!$C$15,F336&lt;=pconfig!$B$16,P336*pconfig!$C$16,F336&lt;=pconfig!$B$17,P336*pconfig!$C$17,F336&lt;=pconfig!$B$18,P336*pconfig!$C$18,F336&lt;=pconfig!$B$19,P336*pconfig!$C$19,F336&lt;=pconfig!$B$20,P336*pconfig!$C$20,F336&lt;=pconfig!$B$21,P336*pconfig!$C$21)</f>
        <v>9061.555891</v>
      </c>
      <c r="R336" s="76">
        <f t="shared" si="2"/>
        <v>9195.090634</v>
      </c>
    </row>
    <row r="337" ht="22.5" hidden="1" customHeight="1">
      <c r="A337" s="78">
        <f t="shared" si="3"/>
        <v>336</v>
      </c>
      <c r="B337" s="79" t="s">
        <v>924</v>
      </c>
      <c r="C337" s="79" t="s">
        <v>59</v>
      </c>
      <c r="D337" s="80" t="s">
        <v>60</v>
      </c>
      <c r="E337" s="79" t="str">
        <f t="shared" si="1"/>
        <v>SANTA MARIA DO PARARADIO</v>
      </c>
      <c r="F337" s="81">
        <v>1.0</v>
      </c>
      <c r="G337" s="79" t="s">
        <v>61</v>
      </c>
      <c r="H337" s="81" t="str">
        <f t="array" ref="H337">XLOOKUP(B337,municipios,regiao!$D$6:$D$150,0)</f>
        <v>SIM</v>
      </c>
      <c r="I337" s="79" t="s">
        <v>798</v>
      </c>
      <c r="J337" s="82" t="s">
        <v>416</v>
      </c>
      <c r="K337" s="83">
        <v>13.97</v>
      </c>
      <c r="L337" s="85">
        <f>K337/(1-pconfig!$G$2-pconfig!$G$3-pconfig!$G$4)</f>
        <v>26.37839879</v>
      </c>
      <c r="M337" s="83">
        <v>137.604166666667</v>
      </c>
      <c r="N337" s="83">
        <f>M337/(1-pconfig!$G$2-pconfig!$G$3-pconfig!$G$4)</f>
        <v>259.8265987</v>
      </c>
      <c r="O337" s="83">
        <f>((K337*F337)+M337)/(1-pconfig!$G$2-pconfig!$G$3-pconfig!$G$4)</f>
        <v>286.2049975</v>
      </c>
      <c r="P337" s="86">
        <f>K337*F337/(1-pconfig!$G$2-pconfig!$G$3-pconfig!$G$4)</f>
        <v>26.37839879</v>
      </c>
      <c r="Q337" s="86">
        <f>IFS(F337&lt;=pconfig!$B$12,P337*pconfig!$C$12,F337&lt;=pconfig!$B$13,P337*pconfig!$C$13,F337&lt;=pconfig!$B$14,P337*pconfig!$C$14,F337&lt;=pconfig!$B$15,P337*pconfig!$C$15,F337&lt;=pconfig!$B$16,P337*pconfig!$C$16,F337&lt;=pconfig!$B$17,P337*pconfig!$C$17,F337&lt;=pconfig!$B$18,P337*pconfig!$C$18,F337&lt;=pconfig!$B$19,P337*pconfig!$C$19,F337&lt;=pconfig!$B$20,P337*pconfig!$C$20,F337&lt;=pconfig!$B$21,P337*pconfig!$C$21)</f>
        <v>26.37839879</v>
      </c>
      <c r="R337" s="87">
        <f t="shared" si="2"/>
        <v>286.2049975</v>
      </c>
    </row>
    <row r="338" ht="22.5" hidden="1" customHeight="1">
      <c r="A338" s="52">
        <f t="shared" si="3"/>
        <v>337</v>
      </c>
      <c r="B338" s="53" t="s">
        <v>925</v>
      </c>
      <c r="C338" s="53" t="s">
        <v>59</v>
      </c>
      <c r="D338" s="56" t="s">
        <v>60</v>
      </c>
      <c r="E338" s="53" t="str">
        <f t="shared" si="1"/>
        <v>SANTANA DO ARAGUAIARADIO</v>
      </c>
      <c r="F338" s="59">
        <v>1.0</v>
      </c>
      <c r="G338" s="53" t="s">
        <v>128</v>
      </c>
      <c r="H338" s="59" t="str">
        <f t="array" ref="H338">XLOOKUP(B338,municipios,regiao!$D$6:$D$150,0)</f>
        <v>NÃO</v>
      </c>
      <c r="I338" s="53" t="s">
        <v>280</v>
      </c>
      <c r="J338" s="60" t="s">
        <v>133</v>
      </c>
      <c r="K338" s="61">
        <v>29.29</v>
      </c>
      <c r="L338" s="70">
        <f>K338/(1-pconfig!$G$2-pconfig!$G$3-pconfig!$G$4)</f>
        <v>55.30589124</v>
      </c>
      <c r="M338" s="61">
        <v>336.074166666667</v>
      </c>
      <c r="N338" s="61">
        <f>M338/(1-pconfig!$G$2-pconfig!$G$3-pconfig!$G$4)</f>
        <v>634.5811304</v>
      </c>
      <c r="O338" s="61">
        <f>((K338*F338)+M338)/(1-pconfig!$G$2-pconfig!$G$3-pconfig!$G$4)</f>
        <v>689.8870217</v>
      </c>
      <c r="P338" s="74">
        <f>K338*F338/(1-pconfig!$G$2-pconfig!$G$3-pconfig!$G$4)</f>
        <v>55.30589124</v>
      </c>
      <c r="Q338" s="74">
        <f>IFS(F338&lt;=pconfig!$B$12,P338*pconfig!$C$12,F338&lt;=pconfig!$B$13,P338*pconfig!$C$13,F338&lt;=pconfig!$B$14,P338*pconfig!$C$14,F338&lt;=pconfig!$B$15,P338*pconfig!$C$15,F338&lt;=pconfig!$B$16,P338*pconfig!$C$16,F338&lt;=pconfig!$B$17,P338*pconfig!$C$17,F338&lt;=pconfig!$B$18,P338*pconfig!$C$18,F338&lt;=pconfig!$B$19,P338*pconfig!$C$19,F338&lt;=pconfig!$B$20,P338*pconfig!$C$20,F338&lt;=pconfig!$B$21,P338*pconfig!$C$21)</f>
        <v>55.30589124</v>
      </c>
      <c r="R338" s="76">
        <f t="shared" si="2"/>
        <v>689.8870217</v>
      </c>
    </row>
    <row r="339" ht="22.5" hidden="1" customHeight="1">
      <c r="A339" s="78">
        <f t="shared" si="3"/>
        <v>338</v>
      </c>
      <c r="B339" s="79" t="s">
        <v>925</v>
      </c>
      <c r="C339" s="79" t="s">
        <v>50</v>
      </c>
      <c r="D339" s="80" t="s">
        <v>82</v>
      </c>
      <c r="E339" s="79" t="str">
        <f t="shared" si="1"/>
        <v>SANTANA DO ARAGUAIAFIBRA</v>
      </c>
      <c r="F339" s="81">
        <v>1.0</v>
      </c>
      <c r="G339" s="79" t="s">
        <v>128</v>
      </c>
      <c r="H339" s="81" t="str">
        <f t="array" ref="H339">XLOOKUP(B339,municipios,regiao!$D$6:$D$150,0)</f>
        <v>NÃO</v>
      </c>
      <c r="I339" s="79" t="s">
        <v>280</v>
      </c>
      <c r="J339" s="82" t="s">
        <v>133</v>
      </c>
      <c r="K339" s="83">
        <v>29.29</v>
      </c>
      <c r="L339" s="85">
        <f>K339/(1-pconfig!$G$2-pconfig!$G$3-pconfig!$G$4)</f>
        <v>55.30589124</v>
      </c>
      <c r="M339" s="83">
        <v>447.5</v>
      </c>
      <c r="N339" s="83">
        <f>M339/(1-pconfig!$G$2-pconfig!$G$3-pconfig!$G$4)</f>
        <v>844.9773414</v>
      </c>
      <c r="O339" s="83">
        <f>((K339*F339)+M339)/(1-pconfig!$G$2-pconfig!$G$3-pconfig!$G$4)</f>
        <v>900.2832326</v>
      </c>
      <c r="P339" s="86">
        <f>K339*F339/(1-pconfig!$G$2-pconfig!$G$3-pconfig!$G$4)</f>
        <v>55.30589124</v>
      </c>
      <c r="Q339" s="86">
        <f>IFS(F339&lt;=pconfig!$B$12,P339*pconfig!$C$12,F339&lt;=pconfig!$B$13,P339*pconfig!$C$13,F339&lt;=pconfig!$B$14,P339*pconfig!$C$14,F339&lt;=pconfig!$B$15,P339*pconfig!$C$15,F339&lt;=pconfig!$B$16,P339*pconfig!$C$16,F339&lt;=pconfig!$B$17,P339*pconfig!$C$17,F339&lt;=pconfig!$B$18,P339*pconfig!$C$18,F339&lt;=pconfig!$B$19,P339*pconfig!$C$19,F339&lt;=pconfig!$B$20,P339*pconfig!$C$20,F339&lt;=pconfig!$B$21,P339*pconfig!$C$21)</f>
        <v>55.30589124</v>
      </c>
      <c r="R339" s="87">
        <f t="shared" si="2"/>
        <v>900.2832326</v>
      </c>
    </row>
    <row r="340" ht="22.5" hidden="1" customHeight="1">
      <c r="A340" s="52">
        <f t="shared" si="3"/>
        <v>339</v>
      </c>
      <c r="B340" s="53" t="s">
        <v>925</v>
      </c>
      <c r="C340" s="53" t="s">
        <v>101</v>
      </c>
      <c r="D340" s="56" t="s">
        <v>102</v>
      </c>
      <c r="E340" s="53" t="str">
        <f t="shared" si="1"/>
        <v>SANTANA DO ARAGUAIASATELITE</v>
      </c>
      <c r="F340" s="59">
        <v>1.0</v>
      </c>
      <c r="G340" s="53" t="s">
        <v>128</v>
      </c>
      <c r="H340" s="59" t="str">
        <f t="array" ref="H340">XLOOKUP(B340,municipios,regiao!$D$6:$D$150,0)</f>
        <v>NÃO</v>
      </c>
      <c r="I340" s="53" t="s">
        <v>280</v>
      </c>
      <c r="J340" s="60" t="s">
        <v>106</v>
      </c>
      <c r="K340" s="61">
        <v>4799.0</v>
      </c>
      <c r="L340" s="70">
        <f>K340/(1-pconfig!$G$2-pconfig!$G$3-pconfig!$G$4)</f>
        <v>9061.555891</v>
      </c>
      <c r="M340" s="61">
        <v>447.5</v>
      </c>
      <c r="N340" s="61">
        <f>M340/(1-pconfig!$G$2-pconfig!$G$3-pconfig!$G$4)</f>
        <v>844.9773414</v>
      </c>
      <c r="O340" s="61">
        <f>((K340*F340)+M340)/(1-pconfig!$G$2-pconfig!$G$3-pconfig!$G$4)</f>
        <v>9906.533233</v>
      </c>
      <c r="P340" s="74">
        <f>K340*F340/(1-pconfig!$G$2-pconfig!$G$3-pconfig!$G$4)</f>
        <v>9061.555891</v>
      </c>
      <c r="Q340" s="74">
        <f>IFS(F340&lt;=pconfig!$B$12,P340*pconfig!$C$12,F340&lt;=pconfig!$B$13,P340*pconfig!$C$13,F340&lt;=pconfig!$B$14,P340*pconfig!$C$14,F340&lt;=pconfig!$B$15,P340*pconfig!$C$15,F340&lt;=pconfig!$B$16,P340*pconfig!$C$16,F340&lt;=pconfig!$B$17,P340*pconfig!$C$17,F340&lt;=pconfig!$B$18,P340*pconfig!$C$18,F340&lt;=pconfig!$B$19,P340*pconfig!$C$19,F340&lt;=pconfig!$B$20,P340*pconfig!$C$20,F340&lt;=pconfig!$B$21,P340*pconfig!$C$21)</f>
        <v>9061.555891</v>
      </c>
      <c r="R340" s="76">
        <f t="shared" si="2"/>
        <v>9906.533233</v>
      </c>
    </row>
    <row r="341" ht="22.5" hidden="1" customHeight="1">
      <c r="A341" s="78">
        <f t="shared" si="3"/>
        <v>340</v>
      </c>
      <c r="B341" s="79" t="s">
        <v>212</v>
      </c>
      <c r="C341" s="79" t="s">
        <v>50</v>
      </c>
      <c r="D341" s="80" t="s">
        <v>82</v>
      </c>
      <c r="E341" s="79" t="str">
        <f t="shared" si="1"/>
        <v>SANTAREMFIBRA</v>
      </c>
      <c r="F341" s="81">
        <v>1.0</v>
      </c>
      <c r="G341" s="79" t="s">
        <v>297</v>
      </c>
      <c r="H341" s="81" t="str">
        <f t="array" ref="H341">XLOOKUP(B341,municipios,regiao!$D$6:$D$150,0)</f>
        <v>SIM</v>
      </c>
      <c r="I341" s="79" t="s">
        <v>297</v>
      </c>
      <c r="J341" s="82" t="s">
        <v>64</v>
      </c>
      <c r="K341" s="83">
        <v>15.65</v>
      </c>
      <c r="L341" s="85">
        <f>K341/(1-pconfig!$G$2-pconfig!$G$3-pconfig!$G$4)</f>
        <v>29.55060423</v>
      </c>
      <c r="M341" s="83">
        <v>133.3</v>
      </c>
      <c r="N341" s="83">
        <f>M341/(1-pconfig!$G$2-pconfig!$G$3-pconfig!$G$4)</f>
        <v>251.6993958</v>
      </c>
      <c r="O341" s="83">
        <f>((K341*F341)+M341)/(1-pconfig!$G$2-pconfig!$G$3-pconfig!$G$4)</f>
        <v>281.25</v>
      </c>
      <c r="P341" s="86">
        <f>K341*F341/(1-pconfig!$G$2-pconfig!$G$3-pconfig!$G$4)</f>
        <v>29.55060423</v>
      </c>
      <c r="Q341" s="86">
        <f>IFS(F341&lt;=pconfig!$B$12,P341*pconfig!$C$12,F341&lt;=pconfig!$B$13,P341*pconfig!$C$13,F341&lt;=pconfig!$B$14,P341*pconfig!$C$14,F341&lt;=pconfig!$B$15,P341*pconfig!$C$15,F341&lt;=pconfig!$B$16,P341*pconfig!$C$16,F341&lt;=pconfig!$B$17,P341*pconfig!$C$17,F341&lt;=pconfig!$B$18,P341*pconfig!$C$18,F341&lt;=pconfig!$B$19,P341*pconfig!$C$19,F341&lt;=pconfig!$B$20,P341*pconfig!$C$20,F341&lt;=pconfig!$B$21,P341*pconfig!$C$21)</f>
        <v>29.55060423</v>
      </c>
      <c r="R341" s="87">
        <f t="shared" si="2"/>
        <v>281.25</v>
      </c>
    </row>
    <row r="342" ht="22.5" hidden="1" customHeight="1">
      <c r="A342" s="52">
        <f t="shared" si="3"/>
        <v>341</v>
      </c>
      <c r="B342" s="53" t="s">
        <v>212</v>
      </c>
      <c r="C342" s="53" t="s">
        <v>101</v>
      </c>
      <c r="D342" s="56" t="s">
        <v>102</v>
      </c>
      <c r="E342" s="53" t="str">
        <f t="shared" si="1"/>
        <v>SANTAREMSATELITE</v>
      </c>
      <c r="F342" s="59">
        <v>1.0</v>
      </c>
      <c r="G342" s="53" t="s">
        <v>297</v>
      </c>
      <c r="H342" s="59" t="str">
        <f t="array" ref="H342">XLOOKUP(B342,municipios,regiao!$D$6:$D$150,0)</f>
        <v>SIM</v>
      </c>
      <c r="I342" s="53" t="s">
        <v>297</v>
      </c>
      <c r="J342" s="60" t="s">
        <v>106</v>
      </c>
      <c r="K342" s="61">
        <v>4799.0</v>
      </c>
      <c r="L342" s="70">
        <f>K342/(1-pconfig!$G$2-pconfig!$G$3-pconfig!$G$4)</f>
        <v>9061.555891</v>
      </c>
      <c r="M342" s="61">
        <v>133.3</v>
      </c>
      <c r="N342" s="61">
        <f>M342/(1-pconfig!$G$2-pconfig!$G$3-pconfig!$G$4)</f>
        <v>251.6993958</v>
      </c>
      <c r="O342" s="61">
        <f>((K342*F342)+M342)/(1-pconfig!$G$2-pconfig!$G$3-pconfig!$G$4)</f>
        <v>9313.255287</v>
      </c>
      <c r="P342" s="74">
        <f>K342*F342/(1-pconfig!$G$2-pconfig!$G$3-pconfig!$G$4)</f>
        <v>9061.555891</v>
      </c>
      <c r="Q342" s="74">
        <f>IFS(F342&lt;=pconfig!$B$12,P342*pconfig!$C$12,F342&lt;=pconfig!$B$13,P342*pconfig!$C$13,F342&lt;=pconfig!$B$14,P342*pconfig!$C$14,F342&lt;=pconfig!$B$15,P342*pconfig!$C$15,F342&lt;=pconfig!$B$16,P342*pconfig!$C$16,F342&lt;=pconfig!$B$17,P342*pconfig!$C$17,F342&lt;=pconfig!$B$18,P342*pconfig!$C$18,F342&lt;=pconfig!$B$19,P342*pconfig!$C$19,F342&lt;=pconfig!$B$20,P342*pconfig!$C$20,F342&lt;=pconfig!$B$21,P342*pconfig!$C$21)</f>
        <v>9061.555891</v>
      </c>
      <c r="R342" s="76">
        <f t="shared" si="2"/>
        <v>9313.255287</v>
      </c>
    </row>
    <row r="343" ht="22.5" hidden="1" customHeight="1">
      <c r="A343" s="78">
        <f t="shared" si="3"/>
        <v>342</v>
      </c>
      <c r="B343" s="79" t="s">
        <v>212</v>
      </c>
      <c r="C343" s="79" t="s">
        <v>59</v>
      </c>
      <c r="D343" s="80" t="s">
        <v>60</v>
      </c>
      <c r="E343" s="79" t="str">
        <f t="shared" si="1"/>
        <v>SANTAREMRADIO</v>
      </c>
      <c r="F343" s="81">
        <v>1.0</v>
      </c>
      <c r="G343" s="79" t="s">
        <v>297</v>
      </c>
      <c r="H343" s="81" t="str">
        <f t="array" ref="H343">XLOOKUP(B343,municipios,regiao!$D$6:$D$150,0)</f>
        <v>SIM</v>
      </c>
      <c r="I343" s="79" t="s">
        <v>297</v>
      </c>
      <c r="J343" s="82" t="s">
        <v>64</v>
      </c>
      <c r="K343" s="83">
        <v>15.65</v>
      </c>
      <c r="L343" s="85">
        <f>K343/(1-pconfig!$G$2-pconfig!$G$3-pconfig!$G$4)</f>
        <v>29.55060423</v>
      </c>
      <c r="M343" s="83">
        <v>166.666666666667</v>
      </c>
      <c r="N343" s="83">
        <f>M343/(1-pconfig!$G$2-pconfig!$G$3-pconfig!$G$4)</f>
        <v>314.7029204</v>
      </c>
      <c r="O343" s="83">
        <f>((K343*F343)+M343)/(1-pconfig!$G$2-pconfig!$G$3-pconfig!$G$4)</f>
        <v>344.2535247</v>
      </c>
      <c r="P343" s="86">
        <f>K343*F343/(1-pconfig!$G$2-pconfig!$G$3-pconfig!$G$4)</f>
        <v>29.55060423</v>
      </c>
      <c r="Q343" s="86">
        <f>IFS(F343&lt;=pconfig!$B$12,P343*pconfig!$C$12,F343&lt;=pconfig!$B$13,P343*pconfig!$C$13,F343&lt;=pconfig!$B$14,P343*pconfig!$C$14,F343&lt;=pconfig!$B$15,P343*pconfig!$C$15,F343&lt;=pconfig!$B$16,P343*pconfig!$C$16,F343&lt;=pconfig!$B$17,P343*pconfig!$C$17,F343&lt;=pconfig!$B$18,P343*pconfig!$C$18,F343&lt;=pconfig!$B$19,P343*pconfig!$C$19,F343&lt;=pconfig!$B$20,P343*pconfig!$C$20,F343&lt;=pconfig!$B$21,P343*pconfig!$C$21)</f>
        <v>29.55060423</v>
      </c>
      <c r="R343" s="87">
        <f t="shared" si="2"/>
        <v>344.2535247</v>
      </c>
    </row>
    <row r="344" ht="22.5" hidden="1" customHeight="1">
      <c r="A344" s="52">
        <f t="shared" si="3"/>
        <v>343</v>
      </c>
      <c r="B344" s="53" t="s">
        <v>926</v>
      </c>
      <c r="C344" s="53" t="s">
        <v>59</v>
      </c>
      <c r="D344" s="56" t="s">
        <v>60</v>
      </c>
      <c r="E344" s="53" t="str">
        <f t="shared" si="1"/>
        <v>SANTAREM NOVORADIO</v>
      </c>
      <c r="F344" s="59">
        <v>1.0</v>
      </c>
      <c r="G344" s="53" t="s">
        <v>61</v>
      </c>
      <c r="H344" s="59" t="str">
        <f t="array" ref="H344">XLOOKUP(B344,municipios,regiao!$D$6:$D$150,0)</f>
        <v>SIM</v>
      </c>
      <c r="I344" s="53" t="s">
        <v>496</v>
      </c>
      <c r="J344" s="60" t="s">
        <v>337</v>
      </c>
      <c r="K344" s="61">
        <v>17.84</v>
      </c>
      <c r="L344" s="70">
        <f>K344/(1-pconfig!$G$2-pconfig!$G$3-pconfig!$G$4)</f>
        <v>33.6858006</v>
      </c>
      <c r="M344" s="61">
        <v>137.604166666667</v>
      </c>
      <c r="N344" s="61">
        <f>M344/(1-pconfig!$G$2-pconfig!$G$3-pconfig!$G$4)</f>
        <v>259.8265987</v>
      </c>
      <c r="O344" s="61">
        <f>((K344*F344)+M344)/(1-pconfig!$G$2-pconfig!$G$3-pconfig!$G$4)</f>
        <v>293.5123993</v>
      </c>
      <c r="P344" s="74">
        <f>K344*F344/(1-pconfig!$G$2-pconfig!$G$3-pconfig!$G$4)</f>
        <v>33.6858006</v>
      </c>
      <c r="Q344" s="74">
        <f>IFS(F344&lt;=pconfig!$B$12,P344*pconfig!$C$12,F344&lt;=pconfig!$B$13,P344*pconfig!$C$13,F344&lt;=pconfig!$B$14,P344*pconfig!$C$14,F344&lt;=pconfig!$B$15,P344*pconfig!$C$15,F344&lt;=pconfig!$B$16,P344*pconfig!$C$16,F344&lt;=pconfig!$B$17,P344*pconfig!$C$17,F344&lt;=pconfig!$B$18,P344*pconfig!$C$18,F344&lt;=pconfig!$B$19,P344*pconfig!$C$19,F344&lt;=pconfig!$B$20,P344*pconfig!$C$20,F344&lt;=pconfig!$B$21,P344*pconfig!$C$21)</f>
        <v>33.6858006</v>
      </c>
      <c r="R344" s="76">
        <f t="shared" si="2"/>
        <v>293.5123993</v>
      </c>
    </row>
    <row r="345" ht="22.5" hidden="1" customHeight="1">
      <c r="A345" s="78">
        <f t="shared" si="3"/>
        <v>344</v>
      </c>
      <c r="B345" s="153" t="s">
        <v>926</v>
      </c>
      <c r="C345" s="79" t="s">
        <v>50</v>
      </c>
      <c r="D345" s="80" t="s">
        <v>82</v>
      </c>
      <c r="E345" s="79" t="str">
        <f t="shared" si="1"/>
        <v>SANTAREM NOVOFIBRA</v>
      </c>
      <c r="F345" s="81">
        <v>1.0</v>
      </c>
      <c r="G345" s="79" t="s">
        <v>61</v>
      </c>
      <c r="H345" s="81" t="str">
        <f t="array" ref="H345">XLOOKUP(B345,municipios,regiao!$D$6:$D$150,0)</f>
        <v>SIM</v>
      </c>
      <c r="I345" s="79" t="s">
        <v>496</v>
      </c>
      <c r="J345" s="82" t="s">
        <v>337</v>
      </c>
      <c r="K345" s="83">
        <v>17.84</v>
      </c>
      <c r="L345" s="85">
        <f>K345/(1-pconfig!$G$2-pconfig!$G$3-pconfig!$G$4)</f>
        <v>33.6858006</v>
      </c>
      <c r="M345" s="83">
        <v>406.12</v>
      </c>
      <c r="N345" s="83">
        <f>M345/(1-pconfig!$G$2-pconfig!$G$3-pconfig!$G$4)</f>
        <v>766.8429003</v>
      </c>
      <c r="O345" s="83">
        <f>((K345*F345)+M345)/(1-pconfig!$G$2-pconfig!$G$3-pconfig!$G$4)</f>
        <v>800.5287009</v>
      </c>
      <c r="P345" s="86">
        <f>K345*F345/(1-pconfig!$G$2-pconfig!$G$3-pconfig!$G$4)</f>
        <v>33.6858006</v>
      </c>
      <c r="Q345" s="86">
        <f>IFS(F345&lt;=pconfig!$B$12,P345*pconfig!$C$12,F345&lt;=pconfig!$B$13,P345*pconfig!$C$13,F345&lt;=pconfig!$B$14,P345*pconfig!$C$14,F345&lt;=pconfig!$B$15,P345*pconfig!$C$15,F345&lt;=pconfig!$B$16,P345*pconfig!$C$16,F345&lt;=pconfig!$B$17,P345*pconfig!$C$17,F345&lt;=pconfig!$B$18,P345*pconfig!$C$18,F345&lt;=pconfig!$B$19,P345*pconfig!$C$19,F345&lt;=pconfig!$B$20,P345*pconfig!$C$20,F345&lt;=pconfig!$B$21,P345*pconfig!$C$21)</f>
        <v>33.6858006</v>
      </c>
      <c r="R345" s="87">
        <f t="shared" si="2"/>
        <v>800.5287009</v>
      </c>
    </row>
    <row r="346" ht="22.5" hidden="1" customHeight="1">
      <c r="A346" s="52">
        <f t="shared" si="3"/>
        <v>345</v>
      </c>
      <c r="B346" s="53" t="s">
        <v>926</v>
      </c>
      <c r="C346" s="53" t="s">
        <v>101</v>
      </c>
      <c r="D346" s="56" t="s">
        <v>102</v>
      </c>
      <c r="E346" s="53" t="str">
        <f t="shared" si="1"/>
        <v>SANTAREM NOVOSATELITE</v>
      </c>
      <c r="F346" s="59">
        <v>1.0</v>
      </c>
      <c r="G346" s="53" t="s">
        <v>61</v>
      </c>
      <c r="H346" s="59" t="str">
        <f t="array" ref="H346">XLOOKUP(B346,municipios,regiao!$D$6:$D$150,0)</f>
        <v>SIM</v>
      </c>
      <c r="I346" s="53" t="s">
        <v>496</v>
      </c>
      <c r="J346" s="60" t="s">
        <v>106</v>
      </c>
      <c r="K346" s="61">
        <v>4799.0</v>
      </c>
      <c r="L346" s="70">
        <f>K346/(1-pconfig!$G$2-pconfig!$G$3-pconfig!$G$4)</f>
        <v>9061.555891</v>
      </c>
      <c r="M346" s="61">
        <v>406.12</v>
      </c>
      <c r="N346" s="61">
        <f>M346/(1-pconfig!$G$2-pconfig!$G$3-pconfig!$G$4)</f>
        <v>766.8429003</v>
      </c>
      <c r="O346" s="61">
        <f>((K346*F346)+M346)/(1-pconfig!$G$2-pconfig!$G$3-pconfig!$G$4)</f>
        <v>9828.398792</v>
      </c>
      <c r="P346" s="74">
        <f>K346*F346/(1-pconfig!$G$2-pconfig!$G$3-pconfig!$G$4)</f>
        <v>9061.555891</v>
      </c>
      <c r="Q346" s="74">
        <f>IFS(F346&lt;=pconfig!$B$12,P346*pconfig!$C$12,F346&lt;=pconfig!$B$13,P346*pconfig!$C$13,F346&lt;=pconfig!$B$14,P346*pconfig!$C$14,F346&lt;=pconfig!$B$15,P346*pconfig!$C$15,F346&lt;=pconfig!$B$16,P346*pconfig!$C$16,F346&lt;=pconfig!$B$17,P346*pconfig!$C$17,F346&lt;=pconfig!$B$18,P346*pconfig!$C$18,F346&lt;=pconfig!$B$19,P346*pconfig!$C$19,F346&lt;=pconfig!$B$20,P346*pconfig!$C$20,F346&lt;=pconfig!$B$21,P346*pconfig!$C$21)</f>
        <v>9061.555891</v>
      </c>
      <c r="R346" s="76">
        <f t="shared" si="2"/>
        <v>9828.398792</v>
      </c>
    </row>
    <row r="347" ht="22.5" hidden="1" customHeight="1">
      <c r="A347" s="78">
        <f t="shared" si="3"/>
        <v>346</v>
      </c>
      <c r="B347" s="79" t="s">
        <v>927</v>
      </c>
      <c r="C347" s="79" t="s">
        <v>50</v>
      </c>
      <c r="D347" s="80" t="s">
        <v>82</v>
      </c>
      <c r="E347" s="79" t="str">
        <f t="shared" si="1"/>
        <v>SANTO ANTONIO DO TAUAFIBRA</v>
      </c>
      <c r="F347" s="81">
        <v>1.0</v>
      </c>
      <c r="G347" s="79" t="s">
        <v>411</v>
      </c>
      <c r="H347" s="81" t="str">
        <f t="array" ref="H347">XLOOKUP(B347,municipios,regiao!$D$6:$D$150,0)</f>
        <v>SIM</v>
      </c>
      <c r="I347" s="79" t="s">
        <v>798</v>
      </c>
      <c r="J347" s="82" t="s">
        <v>337</v>
      </c>
      <c r="K347" s="83">
        <v>17.84</v>
      </c>
      <c r="L347" s="85">
        <f>K347/(1-pconfig!$G$2-pconfig!$G$3-pconfig!$G$4)</f>
        <v>33.6858006</v>
      </c>
      <c r="M347" s="83">
        <v>70.72</v>
      </c>
      <c r="N347" s="83">
        <f>M347/(1-pconfig!$G$2-pconfig!$G$3-pconfig!$G$4)</f>
        <v>133.5347432</v>
      </c>
      <c r="O347" s="83">
        <f>((K347*F347)+M347)/(1-pconfig!$G$2-pconfig!$G$3-pconfig!$G$4)</f>
        <v>167.2205438</v>
      </c>
      <c r="P347" s="86">
        <f>K347*F347/(1-pconfig!$G$2-pconfig!$G$3-pconfig!$G$4)</f>
        <v>33.6858006</v>
      </c>
      <c r="Q347" s="86">
        <f>IFS(F347&lt;=pconfig!$B$12,P347*pconfig!$C$12,F347&lt;=pconfig!$B$13,P347*pconfig!$C$13,F347&lt;=pconfig!$B$14,P347*pconfig!$C$14,F347&lt;=pconfig!$B$15,P347*pconfig!$C$15,F347&lt;=pconfig!$B$16,P347*pconfig!$C$16,F347&lt;=pconfig!$B$17,P347*pconfig!$C$17,F347&lt;=pconfig!$B$18,P347*pconfig!$C$18,F347&lt;=pconfig!$B$19,P347*pconfig!$C$19,F347&lt;=pconfig!$B$20,P347*pconfig!$C$20,F347&lt;=pconfig!$B$21,P347*pconfig!$C$21)</f>
        <v>33.6858006</v>
      </c>
      <c r="R347" s="87">
        <f t="shared" si="2"/>
        <v>167.2205438</v>
      </c>
    </row>
    <row r="348" ht="22.5" hidden="1" customHeight="1">
      <c r="A348" s="52">
        <f t="shared" si="3"/>
        <v>347</v>
      </c>
      <c r="B348" s="53" t="s">
        <v>927</v>
      </c>
      <c r="C348" s="53" t="s">
        <v>101</v>
      </c>
      <c r="D348" s="56" t="s">
        <v>102</v>
      </c>
      <c r="E348" s="53" t="str">
        <f t="shared" si="1"/>
        <v>SANTO ANTONIO DO TAUASATELITE</v>
      </c>
      <c r="F348" s="59">
        <v>1.0</v>
      </c>
      <c r="G348" s="53" t="s">
        <v>411</v>
      </c>
      <c r="H348" s="59" t="str">
        <f t="array" ref="H348">XLOOKUP(B348,municipios,regiao!$D$6:$D$150,0)</f>
        <v>SIM</v>
      </c>
      <c r="I348" s="53" t="s">
        <v>798</v>
      </c>
      <c r="J348" s="60" t="s">
        <v>106</v>
      </c>
      <c r="K348" s="61">
        <v>4799.0</v>
      </c>
      <c r="L348" s="70">
        <f>K348/(1-pconfig!$G$2-pconfig!$G$3-pconfig!$G$4)</f>
        <v>9061.555891</v>
      </c>
      <c r="M348" s="61">
        <v>70.72</v>
      </c>
      <c r="N348" s="61">
        <f>M348/(1-pconfig!$G$2-pconfig!$G$3-pconfig!$G$4)</f>
        <v>133.5347432</v>
      </c>
      <c r="O348" s="61">
        <f>((K348*F348)+M348)/(1-pconfig!$G$2-pconfig!$G$3-pconfig!$G$4)</f>
        <v>9195.090634</v>
      </c>
      <c r="P348" s="74">
        <f>K348*F348/(1-pconfig!$G$2-pconfig!$G$3-pconfig!$G$4)</f>
        <v>9061.555891</v>
      </c>
      <c r="Q348" s="74">
        <f>IFS(F348&lt;=pconfig!$B$12,P348*pconfig!$C$12,F348&lt;=pconfig!$B$13,P348*pconfig!$C$13,F348&lt;=pconfig!$B$14,P348*pconfig!$C$14,F348&lt;=pconfig!$B$15,P348*pconfig!$C$15,F348&lt;=pconfig!$B$16,P348*pconfig!$C$16,F348&lt;=pconfig!$B$17,P348*pconfig!$C$17,F348&lt;=pconfig!$B$18,P348*pconfig!$C$18,F348&lt;=pconfig!$B$19,P348*pconfig!$C$19,F348&lt;=pconfig!$B$20,P348*pconfig!$C$20,F348&lt;=pconfig!$B$21,P348*pconfig!$C$21)</f>
        <v>9061.555891</v>
      </c>
      <c r="R348" s="76">
        <f t="shared" si="2"/>
        <v>9195.090634</v>
      </c>
    </row>
    <row r="349" ht="22.5" hidden="1" customHeight="1">
      <c r="A349" s="78">
        <f t="shared" si="3"/>
        <v>348</v>
      </c>
      <c r="B349" s="79" t="s">
        <v>927</v>
      </c>
      <c r="C349" s="79" t="s">
        <v>59</v>
      </c>
      <c r="D349" s="80" t="s">
        <v>60</v>
      </c>
      <c r="E349" s="79" t="str">
        <f t="shared" si="1"/>
        <v>SANTO ANTONIO DO TAUARADIO</v>
      </c>
      <c r="F349" s="81">
        <v>1.0</v>
      </c>
      <c r="G349" s="79" t="s">
        <v>411</v>
      </c>
      <c r="H349" s="81" t="str">
        <f t="array" ref="H349">XLOOKUP(B349,municipios,regiao!$D$6:$D$150,0)</f>
        <v>SIM</v>
      </c>
      <c r="I349" s="79" t="s">
        <v>798</v>
      </c>
      <c r="J349" s="82" t="s">
        <v>337</v>
      </c>
      <c r="K349" s="83">
        <v>17.84</v>
      </c>
      <c r="L349" s="85">
        <f>K349/(1-pconfig!$G$2-pconfig!$G$3-pconfig!$G$4)</f>
        <v>33.6858006</v>
      </c>
      <c r="M349" s="83">
        <v>137.604166666667</v>
      </c>
      <c r="N349" s="83">
        <f>M349/(1-pconfig!$G$2-pconfig!$G$3-pconfig!$G$4)</f>
        <v>259.8265987</v>
      </c>
      <c r="O349" s="83">
        <f>((K349*F349)+M349)/(1-pconfig!$G$2-pconfig!$G$3-pconfig!$G$4)</f>
        <v>293.5123993</v>
      </c>
      <c r="P349" s="86">
        <f>K349*F349/(1-pconfig!$G$2-pconfig!$G$3-pconfig!$G$4)</f>
        <v>33.6858006</v>
      </c>
      <c r="Q349" s="86">
        <f>IFS(F349&lt;=pconfig!$B$12,P349*pconfig!$C$12,F349&lt;=pconfig!$B$13,P349*pconfig!$C$13,F349&lt;=pconfig!$B$14,P349*pconfig!$C$14,F349&lt;=pconfig!$B$15,P349*pconfig!$C$15,F349&lt;=pconfig!$B$16,P349*pconfig!$C$16,F349&lt;=pconfig!$B$17,P349*pconfig!$C$17,F349&lt;=pconfig!$B$18,P349*pconfig!$C$18,F349&lt;=pconfig!$B$19,P349*pconfig!$C$19,F349&lt;=pconfig!$B$20,P349*pconfig!$C$20,F349&lt;=pconfig!$B$21,P349*pconfig!$C$21)</f>
        <v>33.6858006</v>
      </c>
      <c r="R349" s="87">
        <f t="shared" si="2"/>
        <v>293.5123993</v>
      </c>
    </row>
    <row r="350" ht="22.5" hidden="1" customHeight="1">
      <c r="A350" s="52">
        <f t="shared" si="3"/>
        <v>349</v>
      </c>
      <c r="B350" s="53" t="s">
        <v>928</v>
      </c>
      <c r="C350" s="53" t="s">
        <v>50</v>
      </c>
      <c r="D350" s="56" t="s">
        <v>82</v>
      </c>
      <c r="E350" s="53" t="str">
        <f t="shared" si="1"/>
        <v>SAO CAETANO DE ODIVELASFIBRA</v>
      </c>
      <c r="F350" s="59">
        <v>1.0</v>
      </c>
      <c r="G350" s="53" t="s">
        <v>61</v>
      </c>
      <c r="H350" s="59" t="str">
        <f t="array" ref="H350">XLOOKUP(B350,municipios,regiao!$D$6:$D$150,0)</f>
        <v>SIM</v>
      </c>
      <c r="I350" s="53" t="s">
        <v>798</v>
      </c>
      <c r="J350" s="60" t="s">
        <v>337</v>
      </c>
      <c r="K350" s="61">
        <v>17.84</v>
      </c>
      <c r="L350" s="70">
        <f>K350/(1-pconfig!$G$2-pconfig!$G$3-pconfig!$G$4)</f>
        <v>33.6858006</v>
      </c>
      <c r="M350" s="61">
        <v>70.72</v>
      </c>
      <c r="N350" s="61">
        <f>M350/(1-pconfig!$G$2-pconfig!$G$3-pconfig!$G$4)</f>
        <v>133.5347432</v>
      </c>
      <c r="O350" s="61">
        <f>((K350*F350)+M350)/(1-pconfig!$G$2-pconfig!$G$3-pconfig!$G$4)</f>
        <v>167.2205438</v>
      </c>
      <c r="P350" s="74">
        <f>K350*F350/(1-pconfig!$G$2-pconfig!$G$3-pconfig!$G$4)</f>
        <v>33.6858006</v>
      </c>
      <c r="Q350" s="74">
        <f>IFS(F350&lt;=pconfig!$B$12,P350*pconfig!$C$12,F350&lt;=pconfig!$B$13,P350*pconfig!$C$13,F350&lt;=pconfig!$B$14,P350*pconfig!$C$14,F350&lt;=pconfig!$B$15,P350*pconfig!$C$15,F350&lt;=pconfig!$B$16,P350*pconfig!$C$16,F350&lt;=pconfig!$B$17,P350*pconfig!$C$17,F350&lt;=pconfig!$B$18,P350*pconfig!$C$18,F350&lt;=pconfig!$B$19,P350*pconfig!$C$19,F350&lt;=pconfig!$B$20,P350*pconfig!$C$20,F350&lt;=pconfig!$B$21,P350*pconfig!$C$21)</f>
        <v>33.6858006</v>
      </c>
      <c r="R350" s="76">
        <f t="shared" si="2"/>
        <v>167.2205438</v>
      </c>
    </row>
    <row r="351" ht="22.5" hidden="1" customHeight="1">
      <c r="A351" s="78">
        <f t="shared" si="3"/>
        <v>350</v>
      </c>
      <c r="B351" s="79" t="s">
        <v>928</v>
      </c>
      <c r="C351" s="79" t="s">
        <v>101</v>
      </c>
      <c r="D351" s="80" t="s">
        <v>102</v>
      </c>
      <c r="E351" s="79" t="str">
        <f t="shared" si="1"/>
        <v>SAO CAETANO DE ODIVELASSATELITE</v>
      </c>
      <c r="F351" s="81">
        <v>1.0</v>
      </c>
      <c r="G351" s="79" t="s">
        <v>61</v>
      </c>
      <c r="H351" s="81" t="str">
        <f t="array" ref="H351">XLOOKUP(B351,municipios,regiao!$D$6:$D$150,0)</f>
        <v>SIM</v>
      </c>
      <c r="I351" s="79" t="s">
        <v>798</v>
      </c>
      <c r="J351" s="82" t="s">
        <v>106</v>
      </c>
      <c r="K351" s="83">
        <v>4799.0</v>
      </c>
      <c r="L351" s="85">
        <f>K351/(1-pconfig!$G$2-pconfig!$G$3-pconfig!$G$4)</f>
        <v>9061.555891</v>
      </c>
      <c r="M351" s="83">
        <v>70.72</v>
      </c>
      <c r="N351" s="83">
        <f>M351/(1-pconfig!$G$2-pconfig!$G$3-pconfig!$G$4)</f>
        <v>133.5347432</v>
      </c>
      <c r="O351" s="83">
        <f>((K351*F351)+M351)/(1-pconfig!$G$2-pconfig!$G$3-pconfig!$G$4)</f>
        <v>9195.090634</v>
      </c>
      <c r="P351" s="86">
        <f>K351*F351/(1-pconfig!$G$2-pconfig!$G$3-pconfig!$G$4)</f>
        <v>9061.555891</v>
      </c>
      <c r="Q351" s="86">
        <f>IFS(F351&lt;=pconfig!$B$12,P351*pconfig!$C$12,F351&lt;=pconfig!$B$13,P351*pconfig!$C$13,F351&lt;=pconfig!$B$14,P351*pconfig!$C$14,F351&lt;=pconfig!$B$15,P351*pconfig!$C$15,F351&lt;=pconfig!$B$16,P351*pconfig!$C$16,F351&lt;=pconfig!$B$17,P351*pconfig!$C$17,F351&lt;=pconfig!$B$18,P351*pconfig!$C$18,F351&lt;=pconfig!$B$19,P351*pconfig!$C$19,F351&lt;=pconfig!$B$20,P351*pconfig!$C$20,F351&lt;=pconfig!$B$21,P351*pconfig!$C$21)</f>
        <v>9061.555891</v>
      </c>
      <c r="R351" s="87">
        <f t="shared" si="2"/>
        <v>9195.090634</v>
      </c>
    </row>
    <row r="352" ht="22.5" hidden="1" customHeight="1">
      <c r="A352" s="52">
        <f t="shared" si="3"/>
        <v>351</v>
      </c>
      <c r="B352" s="53" t="s">
        <v>928</v>
      </c>
      <c r="C352" s="53" t="s">
        <v>59</v>
      </c>
      <c r="D352" s="56" t="s">
        <v>60</v>
      </c>
      <c r="E352" s="53" t="str">
        <f t="shared" si="1"/>
        <v>SAO CAETANO DE ODIVELASRADIO</v>
      </c>
      <c r="F352" s="59">
        <v>1.0</v>
      </c>
      <c r="G352" s="53" t="s">
        <v>61</v>
      </c>
      <c r="H352" s="59" t="str">
        <f t="array" ref="H352">XLOOKUP(B352,municipios,regiao!$D$6:$D$150,0)</f>
        <v>SIM</v>
      </c>
      <c r="I352" s="53" t="s">
        <v>798</v>
      </c>
      <c r="J352" s="60" t="s">
        <v>337</v>
      </c>
      <c r="K352" s="61">
        <v>17.84</v>
      </c>
      <c r="L352" s="70">
        <f>K352/(1-pconfig!$G$2-pconfig!$G$3-pconfig!$G$4)</f>
        <v>33.6858006</v>
      </c>
      <c r="M352" s="61">
        <v>137.604166666667</v>
      </c>
      <c r="N352" s="61">
        <f>M352/(1-pconfig!$G$2-pconfig!$G$3-pconfig!$G$4)</f>
        <v>259.8265987</v>
      </c>
      <c r="O352" s="61">
        <f>((K352*F352)+M352)/(1-pconfig!$G$2-pconfig!$G$3-pconfig!$G$4)</f>
        <v>293.5123993</v>
      </c>
      <c r="P352" s="74">
        <f>K352*F352/(1-pconfig!$G$2-pconfig!$G$3-pconfig!$G$4)</f>
        <v>33.6858006</v>
      </c>
      <c r="Q352" s="74">
        <f>IFS(F352&lt;=pconfig!$B$12,P352*pconfig!$C$12,F352&lt;=pconfig!$B$13,P352*pconfig!$C$13,F352&lt;=pconfig!$B$14,P352*pconfig!$C$14,F352&lt;=pconfig!$B$15,P352*pconfig!$C$15,F352&lt;=pconfig!$B$16,P352*pconfig!$C$16,F352&lt;=pconfig!$B$17,P352*pconfig!$C$17,F352&lt;=pconfig!$B$18,P352*pconfig!$C$18,F352&lt;=pconfig!$B$19,P352*pconfig!$C$19,F352&lt;=pconfig!$B$20,P352*pconfig!$C$20,F352&lt;=pconfig!$B$21,P352*pconfig!$C$21)</f>
        <v>33.6858006</v>
      </c>
      <c r="R352" s="76">
        <f t="shared" si="2"/>
        <v>293.5123993</v>
      </c>
    </row>
    <row r="353" ht="22.5" hidden="1" customHeight="1">
      <c r="A353" s="78">
        <f t="shared" si="3"/>
        <v>352</v>
      </c>
      <c r="B353" s="79" t="s">
        <v>929</v>
      </c>
      <c r="C353" s="79" t="s">
        <v>50</v>
      </c>
      <c r="D353" s="80" t="s">
        <v>82</v>
      </c>
      <c r="E353" s="79" t="str">
        <f t="shared" si="1"/>
        <v>SAO DOMINGOS DO ARAGUAIAFIBRA</v>
      </c>
      <c r="F353" s="81">
        <v>1.0</v>
      </c>
      <c r="G353" s="79" t="s">
        <v>128</v>
      </c>
      <c r="H353" s="81" t="str">
        <f t="array" ref="H353">XLOOKUP(B353,municipios,regiao!$D$6:$D$150,0)</f>
        <v>NÃO</v>
      </c>
      <c r="I353" s="79" t="s">
        <v>695</v>
      </c>
      <c r="J353" s="82" t="s">
        <v>235</v>
      </c>
      <c r="K353" s="83">
        <v>20.69</v>
      </c>
      <c r="L353" s="85">
        <f>K353/(1-pconfig!$G$2-pconfig!$G$3-pconfig!$G$4)</f>
        <v>39.06722054</v>
      </c>
      <c r="M353" s="83">
        <v>56.88</v>
      </c>
      <c r="N353" s="83">
        <f>M353/(1-pconfig!$G$2-pconfig!$G$3-pconfig!$G$4)</f>
        <v>107.4018127</v>
      </c>
      <c r="O353" s="83">
        <f>((K353*F353)+M353)/(1-pconfig!$G$2-pconfig!$G$3-pconfig!$G$4)</f>
        <v>146.4690332</v>
      </c>
      <c r="P353" s="86">
        <f>K353*F353/(1-pconfig!$G$2-pconfig!$G$3-pconfig!$G$4)</f>
        <v>39.06722054</v>
      </c>
      <c r="Q353" s="86">
        <f>IFS(F353&lt;=pconfig!$B$12,P353*pconfig!$C$12,F353&lt;=pconfig!$B$13,P353*pconfig!$C$13,F353&lt;=pconfig!$B$14,P353*pconfig!$C$14,F353&lt;=pconfig!$B$15,P353*pconfig!$C$15,F353&lt;=pconfig!$B$16,P353*pconfig!$C$16,F353&lt;=pconfig!$B$17,P353*pconfig!$C$17,F353&lt;=pconfig!$B$18,P353*pconfig!$C$18,F353&lt;=pconfig!$B$19,P353*pconfig!$C$19,F353&lt;=pconfig!$B$20,P353*pconfig!$C$20,F353&lt;=pconfig!$B$21,P353*pconfig!$C$21)</f>
        <v>39.06722054</v>
      </c>
      <c r="R353" s="87">
        <f t="shared" si="2"/>
        <v>146.4690332</v>
      </c>
    </row>
    <row r="354" ht="22.5" hidden="1" customHeight="1">
      <c r="A354" s="52">
        <f t="shared" si="3"/>
        <v>353</v>
      </c>
      <c r="B354" s="53" t="s">
        <v>929</v>
      </c>
      <c r="C354" s="53" t="s">
        <v>101</v>
      </c>
      <c r="D354" s="56" t="s">
        <v>102</v>
      </c>
      <c r="E354" s="53" t="str">
        <f t="shared" si="1"/>
        <v>SAO DOMINGOS DO ARAGUAIASATELITE</v>
      </c>
      <c r="F354" s="59">
        <v>1.0</v>
      </c>
      <c r="G354" s="53" t="s">
        <v>128</v>
      </c>
      <c r="H354" s="59" t="str">
        <f t="array" ref="H354">XLOOKUP(B354,municipios,regiao!$D$6:$D$150,0)</f>
        <v>NÃO</v>
      </c>
      <c r="I354" s="53" t="s">
        <v>695</v>
      </c>
      <c r="J354" s="60" t="s">
        <v>106</v>
      </c>
      <c r="K354" s="61">
        <v>4799.0</v>
      </c>
      <c r="L354" s="70">
        <f>K354/(1-pconfig!$G$2-pconfig!$G$3-pconfig!$G$4)</f>
        <v>9061.555891</v>
      </c>
      <c r="M354" s="61">
        <v>56.88</v>
      </c>
      <c r="N354" s="61">
        <f>M354/(1-pconfig!$G$2-pconfig!$G$3-pconfig!$G$4)</f>
        <v>107.4018127</v>
      </c>
      <c r="O354" s="61">
        <f>((K354*F354)+M354)/(1-pconfig!$G$2-pconfig!$G$3-pconfig!$G$4)</f>
        <v>9168.957704</v>
      </c>
      <c r="P354" s="74">
        <f>K354*F354/(1-pconfig!$G$2-pconfig!$G$3-pconfig!$G$4)</f>
        <v>9061.555891</v>
      </c>
      <c r="Q354" s="74">
        <f>IFS(F354&lt;=pconfig!$B$12,P354*pconfig!$C$12,F354&lt;=pconfig!$B$13,P354*pconfig!$C$13,F354&lt;=pconfig!$B$14,P354*pconfig!$C$14,F354&lt;=pconfig!$B$15,P354*pconfig!$C$15,F354&lt;=pconfig!$B$16,P354*pconfig!$C$16,F354&lt;=pconfig!$B$17,P354*pconfig!$C$17,F354&lt;=pconfig!$B$18,P354*pconfig!$C$18,F354&lt;=pconfig!$B$19,P354*pconfig!$C$19,F354&lt;=pconfig!$B$20,P354*pconfig!$C$20,F354&lt;=pconfig!$B$21,P354*pconfig!$C$21)</f>
        <v>9061.555891</v>
      </c>
      <c r="R354" s="76">
        <f t="shared" si="2"/>
        <v>9168.957704</v>
      </c>
    </row>
    <row r="355" ht="22.5" hidden="1" customHeight="1">
      <c r="A355" s="78">
        <f t="shared" si="3"/>
        <v>354</v>
      </c>
      <c r="B355" s="79" t="s">
        <v>929</v>
      </c>
      <c r="C355" s="79" t="s">
        <v>59</v>
      </c>
      <c r="D355" s="80" t="s">
        <v>60</v>
      </c>
      <c r="E355" s="79" t="str">
        <f t="shared" si="1"/>
        <v>SAO DOMINGOS DO ARAGUAIARADIO</v>
      </c>
      <c r="F355" s="81">
        <v>1.0</v>
      </c>
      <c r="G355" s="79" t="s">
        <v>128</v>
      </c>
      <c r="H355" s="81" t="str">
        <f t="array" ref="H355">XLOOKUP(B355,municipios,regiao!$D$6:$D$150,0)</f>
        <v>NÃO</v>
      </c>
      <c r="I355" s="79" t="s">
        <v>695</v>
      </c>
      <c r="J355" s="82" t="s">
        <v>235</v>
      </c>
      <c r="K355" s="83">
        <v>20.69</v>
      </c>
      <c r="L355" s="85">
        <f>K355/(1-pconfig!$G$2-pconfig!$G$3-pconfig!$G$4)</f>
        <v>39.06722054</v>
      </c>
      <c r="M355" s="83">
        <v>333.333333333333</v>
      </c>
      <c r="N355" s="83">
        <f>M355/(1-pconfig!$G$2-pconfig!$G$3-pconfig!$G$4)</f>
        <v>629.4058409</v>
      </c>
      <c r="O355" s="83">
        <f>((K355*F355)+M355)/(1-pconfig!$G$2-pconfig!$G$3-pconfig!$G$4)</f>
        <v>668.4730614</v>
      </c>
      <c r="P355" s="86">
        <f>K355*F355/(1-pconfig!$G$2-pconfig!$G$3-pconfig!$G$4)</f>
        <v>39.06722054</v>
      </c>
      <c r="Q355" s="86">
        <f>IFS(F355&lt;=pconfig!$B$12,P355*pconfig!$C$12,F355&lt;=pconfig!$B$13,P355*pconfig!$C$13,F355&lt;=pconfig!$B$14,P355*pconfig!$C$14,F355&lt;=pconfig!$B$15,P355*pconfig!$C$15,F355&lt;=pconfig!$B$16,P355*pconfig!$C$16,F355&lt;=pconfig!$B$17,P355*pconfig!$C$17,F355&lt;=pconfig!$B$18,P355*pconfig!$C$18,F355&lt;=pconfig!$B$19,P355*pconfig!$C$19,F355&lt;=pconfig!$B$20,P355*pconfig!$C$20,F355&lt;=pconfig!$B$21,P355*pconfig!$C$21)</f>
        <v>39.06722054</v>
      </c>
      <c r="R355" s="87">
        <f t="shared" si="2"/>
        <v>668.4730614</v>
      </c>
    </row>
    <row r="356" ht="22.5" hidden="1" customHeight="1">
      <c r="A356" s="52">
        <f t="shared" si="3"/>
        <v>355</v>
      </c>
      <c r="B356" s="53" t="s">
        <v>930</v>
      </c>
      <c r="C356" s="53" t="s">
        <v>50</v>
      </c>
      <c r="D356" s="56" t="s">
        <v>82</v>
      </c>
      <c r="E356" s="53" t="str">
        <f t="shared" si="1"/>
        <v>SAO DOMINGOS DO CAPIMFIBRA</v>
      </c>
      <c r="F356" s="59">
        <v>1.0</v>
      </c>
      <c r="G356" s="53" t="s">
        <v>61</v>
      </c>
      <c r="H356" s="59" t="str">
        <f t="array" ref="H356">XLOOKUP(B356,municipios,regiao!$D$6:$D$150,0)</f>
        <v>SIM</v>
      </c>
      <c r="I356" s="53" t="s">
        <v>798</v>
      </c>
      <c r="J356" s="60" t="s">
        <v>337</v>
      </c>
      <c r="K356" s="61">
        <v>17.84</v>
      </c>
      <c r="L356" s="70">
        <f>K356/(1-pconfig!$G$2-pconfig!$G$3-pconfig!$G$4)</f>
        <v>33.6858006</v>
      </c>
      <c r="M356" s="61">
        <v>70.72</v>
      </c>
      <c r="N356" s="61">
        <f>M356/(1-pconfig!$G$2-pconfig!$G$3-pconfig!$G$4)</f>
        <v>133.5347432</v>
      </c>
      <c r="O356" s="61">
        <f>((K356*F356)+M356)/(1-pconfig!$G$2-pconfig!$G$3-pconfig!$G$4)</f>
        <v>167.2205438</v>
      </c>
      <c r="P356" s="74">
        <f>K356*F356/(1-pconfig!$G$2-pconfig!$G$3-pconfig!$G$4)</f>
        <v>33.6858006</v>
      </c>
      <c r="Q356" s="74">
        <f>IFS(F356&lt;=pconfig!$B$12,P356*pconfig!$C$12,F356&lt;=pconfig!$B$13,P356*pconfig!$C$13,F356&lt;=pconfig!$B$14,P356*pconfig!$C$14,F356&lt;=pconfig!$B$15,P356*pconfig!$C$15,F356&lt;=pconfig!$B$16,P356*pconfig!$C$16,F356&lt;=pconfig!$B$17,P356*pconfig!$C$17,F356&lt;=pconfig!$B$18,P356*pconfig!$C$18,F356&lt;=pconfig!$B$19,P356*pconfig!$C$19,F356&lt;=pconfig!$B$20,P356*pconfig!$C$20,F356&lt;=pconfig!$B$21,P356*pconfig!$C$21)</f>
        <v>33.6858006</v>
      </c>
      <c r="R356" s="76">
        <f t="shared" si="2"/>
        <v>167.2205438</v>
      </c>
    </row>
    <row r="357" ht="22.5" hidden="1" customHeight="1">
      <c r="A357" s="78">
        <f t="shared" si="3"/>
        <v>356</v>
      </c>
      <c r="B357" s="79" t="s">
        <v>930</v>
      </c>
      <c r="C357" s="79" t="s">
        <v>101</v>
      </c>
      <c r="D357" s="80" t="s">
        <v>102</v>
      </c>
      <c r="E357" s="79" t="str">
        <f t="shared" si="1"/>
        <v>SAO DOMINGOS DO CAPIMSATELITE</v>
      </c>
      <c r="F357" s="81">
        <v>1.0</v>
      </c>
      <c r="G357" s="79" t="s">
        <v>61</v>
      </c>
      <c r="H357" s="81" t="str">
        <f t="array" ref="H357">XLOOKUP(B357,municipios,regiao!$D$6:$D$150,0)</f>
        <v>SIM</v>
      </c>
      <c r="I357" s="79" t="s">
        <v>798</v>
      </c>
      <c r="J357" s="82" t="s">
        <v>106</v>
      </c>
      <c r="K357" s="83">
        <v>4799.0</v>
      </c>
      <c r="L357" s="85">
        <f>K357/(1-pconfig!$G$2-pconfig!$G$3-pconfig!$G$4)</f>
        <v>9061.555891</v>
      </c>
      <c r="M357" s="83">
        <v>70.72</v>
      </c>
      <c r="N357" s="83">
        <f>M357/(1-pconfig!$G$2-pconfig!$G$3-pconfig!$G$4)</f>
        <v>133.5347432</v>
      </c>
      <c r="O357" s="83">
        <f>((K357*F357)+M357)/(1-pconfig!$G$2-pconfig!$G$3-pconfig!$G$4)</f>
        <v>9195.090634</v>
      </c>
      <c r="P357" s="86">
        <f>K357*F357/(1-pconfig!$G$2-pconfig!$G$3-pconfig!$G$4)</f>
        <v>9061.555891</v>
      </c>
      <c r="Q357" s="86">
        <f>IFS(F357&lt;=pconfig!$B$12,P357*pconfig!$C$12,F357&lt;=pconfig!$B$13,P357*pconfig!$C$13,F357&lt;=pconfig!$B$14,P357*pconfig!$C$14,F357&lt;=pconfig!$B$15,P357*pconfig!$C$15,F357&lt;=pconfig!$B$16,P357*pconfig!$C$16,F357&lt;=pconfig!$B$17,P357*pconfig!$C$17,F357&lt;=pconfig!$B$18,P357*pconfig!$C$18,F357&lt;=pconfig!$B$19,P357*pconfig!$C$19,F357&lt;=pconfig!$B$20,P357*pconfig!$C$20,F357&lt;=pconfig!$B$21,P357*pconfig!$C$21)</f>
        <v>9061.555891</v>
      </c>
      <c r="R357" s="87">
        <f t="shared" si="2"/>
        <v>9195.090634</v>
      </c>
    </row>
    <row r="358" ht="22.5" hidden="1" customHeight="1">
      <c r="A358" s="52">
        <f t="shared" si="3"/>
        <v>357</v>
      </c>
      <c r="B358" s="53" t="s">
        <v>930</v>
      </c>
      <c r="C358" s="53" t="s">
        <v>59</v>
      </c>
      <c r="D358" s="56" t="s">
        <v>60</v>
      </c>
      <c r="E358" s="53" t="str">
        <f t="shared" si="1"/>
        <v>SAO DOMINGOS DO CAPIMRADIO</v>
      </c>
      <c r="F358" s="59">
        <v>1.0</v>
      </c>
      <c r="G358" s="53" t="s">
        <v>61</v>
      </c>
      <c r="H358" s="59" t="str">
        <f t="array" ref="H358">XLOOKUP(B358,municipios,regiao!$D$6:$D$150,0)</f>
        <v>SIM</v>
      </c>
      <c r="I358" s="53" t="s">
        <v>798</v>
      </c>
      <c r="J358" s="60" t="s">
        <v>337</v>
      </c>
      <c r="K358" s="61">
        <v>17.84</v>
      </c>
      <c r="L358" s="70">
        <f>K358/(1-pconfig!$G$2-pconfig!$G$3-pconfig!$G$4)</f>
        <v>33.6858006</v>
      </c>
      <c r="M358" s="61">
        <v>137.604166666667</v>
      </c>
      <c r="N358" s="61">
        <f>M358/(1-pconfig!$G$2-pconfig!$G$3-pconfig!$G$4)</f>
        <v>259.8265987</v>
      </c>
      <c r="O358" s="61">
        <f>((K358*F358)+M358)/(1-pconfig!$G$2-pconfig!$G$3-pconfig!$G$4)</f>
        <v>293.5123993</v>
      </c>
      <c r="P358" s="74">
        <f>K358*F358/(1-pconfig!$G$2-pconfig!$G$3-pconfig!$G$4)</f>
        <v>33.6858006</v>
      </c>
      <c r="Q358" s="74">
        <f>IFS(F358&lt;=pconfig!$B$12,P358*pconfig!$C$12,F358&lt;=pconfig!$B$13,P358*pconfig!$C$13,F358&lt;=pconfig!$B$14,P358*pconfig!$C$14,F358&lt;=pconfig!$B$15,P358*pconfig!$C$15,F358&lt;=pconfig!$B$16,P358*pconfig!$C$16,F358&lt;=pconfig!$B$17,P358*pconfig!$C$17,F358&lt;=pconfig!$B$18,P358*pconfig!$C$18,F358&lt;=pconfig!$B$19,P358*pconfig!$C$19,F358&lt;=pconfig!$B$20,P358*pconfig!$C$20,F358&lt;=pconfig!$B$21,P358*pconfig!$C$21)</f>
        <v>33.6858006</v>
      </c>
      <c r="R358" s="76">
        <f t="shared" si="2"/>
        <v>293.5123993</v>
      </c>
    </row>
    <row r="359" ht="22.5" hidden="1" customHeight="1">
      <c r="A359" s="78">
        <f t="shared" si="3"/>
        <v>358</v>
      </c>
      <c r="B359" s="79" t="s">
        <v>582</v>
      </c>
      <c r="C359" s="79" t="s">
        <v>59</v>
      </c>
      <c r="D359" s="80" t="s">
        <v>60</v>
      </c>
      <c r="E359" s="79" t="str">
        <f t="shared" si="1"/>
        <v>SAO FELIX DO XINGURADIO</v>
      </c>
      <c r="F359" s="81">
        <v>1.0</v>
      </c>
      <c r="G359" s="79" t="s">
        <v>128</v>
      </c>
      <c r="H359" s="81" t="str">
        <f t="array" ref="H359">XLOOKUP(B359,municipios,regiao!$D$6:$D$150,0)</f>
        <v>NÃO</v>
      </c>
      <c r="I359" s="79" t="s">
        <v>280</v>
      </c>
      <c r="J359" s="82" t="s">
        <v>133</v>
      </c>
      <c r="K359" s="83">
        <v>29.29</v>
      </c>
      <c r="L359" s="85">
        <f>K359/(1-pconfig!$G$2-pconfig!$G$3-pconfig!$G$4)</f>
        <v>55.30589124</v>
      </c>
      <c r="M359" s="83">
        <v>336.074166666667</v>
      </c>
      <c r="N359" s="83">
        <f>M359/(1-pconfig!$G$2-pconfig!$G$3-pconfig!$G$4)</f>
        <v>634.5811304</v>
      </c>
      <c r="O359" s="83">
        <f>((K359*F359)+M359)/(1-pconfig!$G$2-pconfig!$G$3-pconfig!$G$4)</f>
        <v>689.8870217</v>
      </c>
      <c r="P359" s="86">
        <f>K359*F359/(1-pconfig!$G$2-pconfig!$G$3-pconfig!$G$4)</f>
        <v>55.30589124</v>
      </c>
      <c r="Q359" s="86">
        <f>IFS(F359&lt;=pconfig!$B$12,P359*pconfig!$C$12,F359&lt;=pconfig!$B$13,P359*pconfig!$C$13,F359&lt;=pconfig!$B$14,P359*pconfig!$C$14,F359&lt;=pconfig!$B$15,P359*pconfig!$C$15,F359&lt;=pconfig!$B$16,P359*pconfig!$C$16,F359&lt;=pconfig!$B$17,P359*pconfig!$C$17,F359&lt;=pconfig!$B$18,P359*pconfig!$C$18,F359&lt;=pconfig!$B$19,P359*pconfig!$C$19,F359&lt;=pconfig!$B$20,P359*pconfig!$C$20,F359&lt;=pconfig!$B$21,P359*pconfig!$C$21)</f>
        <v>55.30589124</v>
      </c>
      <c r="R359" s="87">
        <f t="shared" si="2"/>
        <v>689.8870217</v>
      </c>
    </row>
    <row r="360" ht="22.5" hidden="1" customHeight="1">
      <c r="A360" s="52">
        <f t="shared" si="3"/>
        <v>359</v>
      </c>
      <c r="B360" s="53" t="s">
        <v>582</v>
      </c>
      <c r="C360" s="53" t="s">
        <v>50</v>
      </c>
      <c r="D360" s="56" t="s">
        <v>82</v>
      </c>
      <c r="E360" s="53" t="str">
        <f t="shared" si="1"/>
        <v>SAO FELIX DO XINGUFIBRA</v>
      </c>
      <c r="F360" s="59">
        <v>1.0</v>
      </c>
      <c r="G360" s="53" t="s">
        <v>128</v>
      </c>
      <c r="H360" s="59" t="str">
        <f t="array" ref="H360">XLOOKUP(B360,municipios,regiao!$D$6:$D$150,0)</f>
        <v>NÃO</v>
      </c>
      <c r="I360" s="53" t="s">
        <v>280</v>
      </c>
      <c r="J360" s="60" t="s">
        <v>133</v>
      </c>
      <c r="K360" s="61">
        <v>29.29</v>
      </c>
      <c r="L360" s="70">
        <f>K360/(1-pconfig!$G$2-pconfig!$G$3-pconfig!$G$4)</f>
        <v>55.30589124</v>
      </c>
      <c r="M360" s="61">
        <v>447.5</v>
      </c>
      <c r="N360" s="61">
        <f>M360/(1-pconfig!$G$2-pconfig!$G$3-pconfig!$G$4)</f>
        <v>844.9773414</v>
      </c>
      <c r="O360" s="61">
        <f>((K360*F360)+M360)/(1-pconfig!$G$2-pconfig!$G$3-pconfig!$G$4)</f>
        <v>900.2832326</v>
      </c>
      <c r="P360" s="74">
        <f>K360*F360/(1-pconfig!$G$2-pconfig!$G$3-pconfig!$G$4)</f>
        <v>55.30589124</v>
      </c>
      <c r="Q360" s="74">
        <f>IFS(F360&lt;=pconfig!$B$12,P360*pconfig!$C$12,F360&lt;=pconfig!$B$13,P360*pconfig!$C$13,F360&lt;=pconfig!$B$14,P360*pconfig!$C$14,F360&lt;=pconfig!$B$15,P360*pconfig!$C$15,F360&lt;=pconfig!$B$16,P360*pconfig!$C$16,F360&lt;=pconfig!$B$17,P360*pconfig!$C$17,F360&lt;=pconfig!$B$18,P360*pconfig!$C$18,F360&lt;=pconfig!$B$19,P360*pconfig!$C$19,F360&lt;=pconfig!$B$20,P360*pconfig!$C$20,F360&lt;=pconfig!$B$21,P360*pconfig!$C$21)</f>
        <v>55.30589124</v>
      </c>
      <c r="R360" s="76">
        <f t="shared" si="2"/>
        <v>900.2832326</v>
      </c>
    </row>
    <row r="361" ht="22.5" hidden="1" customHeight="1">
      <c r="A361" s="78">
        <f t="shared" si="3"/>
        <v>360</v>
      </c>
      <c r="B361" s="79" t="s">
        <v>582</v>
      </c>
      <c r="C361" s="79" t="s">
        <v>101</v>
      </c>
      <c r="D361" s="80" t="s">
        <v>102</v>
      </c>
      <c r="E361" s="79" t="str">
        <f t="shared" si="1"/>
        <v>SAO FELIX DO XINGUSATELITE</v>
      </c>
      <c r="F361" s="81">
        <v>1.0</v>
      </c>
      <c r="G361" s="79" t="s">
        <v>128</v>
      </c>
      <c r="H361" s="81" t="str">
        <f t="array" ref="H361">XLOOKUP(B361,municipios,regiao!$D$6:$D$150,0)</f>
        <v>NÃO</v>
      </c>
      <c r="I361" s="79" t="s">
        <v>280</v>
      </c>
      <c r="J361" s="82" t="s">
        <v>106</v>
      </c>
      <c r="K361" s="83">
        <v>4799.0</v>
      </c>
      <c r="L361" s="85">
        <f>K361/(1-pconfig!$G$2-pconfig!$G$3-pconfig!$G$4)</f>
        <v>9061.555891</v>
      </c>
      <c r="M361" s="83">
        <v>447.5</v>
      </c>
      <c r="N361" s="83">
        <f>M361/(1-pconfig!$G$2-pconfig!$G$3-pconfig!$G$4)</f>
        <v>844.9773414</v>
      </c>
      <c r="O361" s="83">
        <f>((K361*F361)+M361)/(1-pconfig!$G$2-pconfig!$G$3-pconfig!$G$4)</f>
        <v>9906.533233</v>
      </c>
      <c r="P361" s="86">
        <f>K361*F361/(1-pconfig!$G$2-pconfig!$G$3-pconfig!$G$4)</f>
        <v>9061.555891</v>
      </c>
      <c r="Q361" s="86">
        <f>IFS(F361&lt;=pconfig!$B$12,P361*pconfig!$C$12,F361&lt;=pconfig!$B$13,P361*pconfig!$C$13,F361&lt;=pconfig!$B$14,P361*pconfig!$C$14,F361&lt;=pconfig!$B$15,P361*pconfig!$C$15,F361&lt;=pconfig!$B$16,P361*pconfig!$C$16,F361&lt;=pconfig!$B$17,P361*pconfig!$C$17,F361&lt;=pconfig!$B$18,P361*pconfig!$C$18,F361&lt;=pconfig!$B$19,P361*pconfig!$C$19,F361&lt;=pconfig!$B$20,P361*pconfig!$C$20,F361&lt;=pconfig!$B$21,P361*pconfig!$C$21)</f>
        <v>9061.555891</v>
      </c>
      <c r="R361" s="87">
        <f t="shared" si="2"/>
        <v>9906.533233</v>
      </c>
    </row>
    <row r="362" ht="22.5" hidden="1" customHeight="1">
      <c r="A362" s="52">
        <f t="shared" si="3"/>
        <v>361</v>
      </c>
      <c r="B362" s="53" t="s">
        <v>931</v>
      </c>
      <c r="C362" s="53" t="s">
        <v>50</v>
      </c>
      <c r="D362" s="56" t="s">
        <v>82</v>
      </c>
      <c r="E362" s="53" t="str">
        <f t="shared" si="1"/>
        <v>SAO FRANCISCO DO PARAFIBRA</v>
      </c>
      <c r="F362" s="59">
        <v>1.0</v>
      </c>
      <c r="G362" s="53" t="s">
        <v>61</v>
      </c>
      <c r="H362" s="59" t="str">
        <f t="array" ref="H362">XLOOKUP(B362,municipios,regiao!$D$6:$D$150,0)</f>
        <v>SIM</v>
      </c>
      <c r="I362" s="53" t="s">
        <v>798</v>
      </c>
      <c r="J362" s="60" t="s">
        <v>337</v>
      </c>
      <c r="K362" s="61">
        <v>17.84</v>
      </c>
      <c r="L362" s="70">
        <f>K362/(1-pconfig!$G$2-pconfig!$G$3-pconfig!$G$4)</f>
        <v>33.6858006</v>
      </c>
      <c r="M362" s="61">
        <v>70.72</v>
      </c>
      <c r="N362" s="61">
        <f>M362/(1-pconfig!$G$2-pconfig!$G$3-pconfig!$G$4)</f>
        <v>133.5347432</v>
      </c>
      <c r="O362" s="61">
        <f>((K362*F362)+M362)/(1-pconfig!$G$2-pconfig!$G$3-pconfig!$G$4)</f>
        <v>167.2205438</v>
      </c>
      <c r="P362" s="74">
        <f>K362*F362/(1-pconfig!$G$2-pconfig!$G$3-pconfig!$G$4)</f>
        <v>33.6858006</v>
      </c>
      <c r="Q362" s="74">
        <f>IFS(F362&lt;=pconfig!$B$12,P362*pconfig!$C$12,F362&lt;=pconfig!$B$13,P362*pconfig!$C$13,F362&lt;=pconfig!$B$14,P362*pconfig!$C$14,F362&lt;=pconfig!$B$15,P362*pconfig!$C$15,F362&lt;=pconfig!$B$16,P362*pconfig!$C$16,F362&lt;=pconfig!$B$17,P362*pconfig!$C$17,F362&lt;=pconfig!$B$18,P362*pconfig!$C$18,F362&lt;=pconfig!$B$19,P362*pconfig!$C$19,F362&lt;=pconfig!$B$20,P362*pconfig!$C$20,F362&lt;=pconfig!$B$21,P362*pconfig!$C$21)</f>
        <v>33.6858006</v>
      </c>
      <c r="R362" s="76">
        <f t="shared" si="2"/>
        <v>167.2205438</v>
      </c>
    </row>
    <row r="363" ht="22.5" hidden="1" customHeight="1">
      <c r="A363" s="78">
        <f t="shared" si="3"/>
        <v>362</v>
      </c>
      <c r="B363" s="153" t="s">
        <v>931</v>
      </c>
      <c r="C363" s="79" t="s">
        <v>101</v>
      </c>
      <c r="D363" s="80" t="s">
        <v>102</v>
      </c>
      <c r="E363" s="79" t="str">
        <f t="shared" si="1"/>
        <v>SAO FRANCISCO DO PARASATELITE</v>
      </c>
      <c r="F363" s="81">
        <v>1.0</v>
      </c>
      <c r="G363" s="79" t="s">
        <v>61</v>
      </c>
      <c r="H363" s="81" t="str">
        <f t="array" ref="H363">XLOOKUP(B363,municipios,regiao!$D$6:$D$150,0)</f>
        <v>SIM</v>
      </c>
      <c r="I363" s="79" t="s">
        <v>798</v>
      </c>
      <c r="J363" s="82" t="s">
        <v>106</v>
      </c>
      <c r="K363" s="83">
        <v>4799.0</v>
      </c>
      <c r="L363" s="85">
        <f>K363/(1-pconfig!$G$2-pconfig!$G$3-pconfig!$G$4)</f>
        <v>9061.555891</v>
      </c>
      <c r="M363" s="83">
        <v>70.72</v>
      </c>
      <c r="N363" s="83">
        <f>M363/(1-pconfig!$G$2-pconfig!$G$3-pconfig!$G$4)</f>
        <v>133.5347432</v>
      </c>
      <c r="O363" s="83">
        <f>((K363*F363)+M363)/(1-pconfig!$G$2-pconfig!$G$3-pconfig!$G$4)</f>
        <v>9195.090634</v>
      </c>
      <c r="P363" s="86">
        <f>K363*F363/(1-pconfig!$G$2-pconfig!$G$3-pconfig!$G$4)</f>
        <v>9061.555891</v>
      </c>
      <c r="Q363" s="86">
        <f>IFS(F363&lt;=pconfig!$B$12,P363*pconfig!$C$12,F363&lt;=pconfig!$B$13,P363*pconfig!$C$13,F363&lt;=pconfig!$B$14,P363*pconfig!$C$14,F363&lt;=pconfig!$B$15,P363*pconfig!$C$15,F363&lt;=pconfig!$B$16,P363*pconfig!$C$16,F363&lt;=pconfig!$B$17,P363*pconfig!$C$17,F363&lt;=pconfig!$B$18,P363*pconfig!$C$18,F363&lt;=pconfig!$B$19,P363*pconfig!$C$19,F363&lt;=pconfig!$B$20,P363*pconfig!$C$20,F363&lt;=pconfig!$B$21,P363*pconfig!$C$21)</f>
        <v>9061.555891</v>
      </c>
      <c r="R363" s="87">
        <f t="shared" si="2"/>
        <v>9195.090634</v>
      </c>
    </row>
    <row r="364" ht="22.5" hidden="1" customHeight="1">
      <c r="A364" s="52">
        <f t="shared" si="3"/>
        <v>363</v>
      </c>
      <c r="B364" s="53" t="s">
        <v>931</v>
      </c>
      <c r="C364" s="53" t="s">
        <v>59</v>
      </c>
      <c r="D364" s="56" t="s">
        <v>60</v>
      </c>
      <c r="E364" s="53" t="str">
        <f t="shared" si="1"/>
        <v>SAO FRANCISCO DO PARARADIO</v>
      </c>
      <c r="F364" s="59">
        <v>1.0</v>
      </c>
      <c r="G364" s="53" t="s">
        <v>61</v>
      </c>
      <c r="H364" s="59" t="str">
        <f t="array" ref="H364">XLOOKUP(B364,municipios,regiao!$D$6:$D$150,0)</f>
        <v>SIM</v>
      </c>
      <c r="I364" s="53" t="s">
        <v>798</v>
      </c>
      <c r="J364" s="60" t="s">
        <v>337</v>
      </c>
      <c r="K364" s="61">
        <v>17.84</v>
      </c>
      <c r="L364" s="70">
        <f>K364/(1-pconfig!$G$2-pconfig!$G$3-pconfig!$G$4)</f>
        <v>33.6858006</v>
      </c>
      <c r="M364" s="61">
        <v>137.604166666667</v>
      </c>
      <c r="N364" s="61">
        <f>M364/(1-pconfig!$G$2-pconfig!$G$3-pconfig!$G$4)</f>
        <v>259.8265987</v>
      </c>
      <c r="O364" s="61">
        <f>((K364*F364)+M364)/(1-pconfig!$G$2-pconfig!$G$3-pconfig!$G$4)</f>
        <v>293.5123993</v>
      </c>
      <c r="P364" s="74">
        <f>K364*F364/(1-pconfig!$G$2-pconfig!$G$3-pconfig!$G$4)</f>
        <v>33.6858006</v>
      </c>
      <c r="Q364" s="74">
        <f>IFS(F364&lt;=pconfig!$B$12,P364*pconfig!$C$12,F364&lt;=pconfig!$B$13,P364*pconfig!$C$13,F364&lt;=pconfig!$B$14,P364*pconfig!$C$14,F364&lt;=pconfig!$B$15,P364*pconfig!$C$15,F364&lt;=pconfig!$B$16,P364*pconfig!$C$16,F364&lt;=pconfig!$B$17,P364*pconfig!$C$17,F364&lt;=pconfig!$B$18,P364*pconfig!$C$18,F364&lt;=pconfig!$B$19,P364*pconfig!$C$19,F364&lt;=pconfig!$B$20,P364*pconfig!$C$20,F364&lt;=pconfig!$B$21,P364*pconfig!$C$21)</f>
        <v>33.6858006</v>
      </c>
      <c r="R364" s="76">
        <f t="shared" si="2"/>
        <v>293.5123993</v>
      </c>
    </row>
    <row r="365" ht="22.5" hidden="1" customHeight="1">
      <c r="A365" s="78">
        <f t="shared" si="3"/>
        <v>364</v>
      </c>
      <c r="B365" s="79" t="s">
        <v>932</v>
      </c>
      <c r="C365" s="79" t="s">
        <v>50</v>
      </c>
      <c r="D365" s="80" t="s">
        <v>82</v>
      </c>
      <c r="E365" s="79" t="str">
        <f t="shared" si="1"/>
        <v>SAO GERALDO DO ARAGUAIAFIBRA</v>
      </c>
      <c r="F365" s="81">
        <v>1.0</v>
      </c>
      <c r="G365" s="79" t="s">
        <v>128</v>
      </c>
      <c r="H365" s="81" t="str">
        <f t="array" ref="H365">XLOOKUP(B365,municipios,regiao!$D$6:$D$150,0)</f>
        <v>NÃO</v>
      </c>
      <c r="I365" s="79" t="s">
        <v>695</v>
      </c>
      <c r="J365" s="82" t="s">
        <v>624</v>
      </c>
      <c r="K365" s="83">
        <v>24.41</v>
      </c>
      <c r="L365" s="85">
        <f>K365/(1-pconfig!$G$2-pconfig!$G$3-pconfig!$G$4)</f>
        <v>46.09138973</v>
      </c>
      <c r="M365" s="83">
        <v>56.88</v>
      </c>
      <c r="N365" s="83">
        <f>M365/(1-pconfig!$G$2-pconfig!$G$3-pconfig!$G$4)</f>
        <v>107.4018127</v>
      </c>
      <c r="O365" s="83">
        <f>((K365*F365)+M365)/(1-pconfig!$G$2-pconfig!$G$3-pconfig!$G$4)</f>
        <v>153.4932024</v>
      </c>
      <c r="P365" s="86">
        <f>K365*F365/(1-pconfig!$G$2-pconfig!$G$3-pconfig!$G$4)</f>
        <v>46.09138973</v>
      </c>
      <c r="Q365" s="86">
        <f>IFS(F365&lt;=pconfig!$B$12,P365*pconfig!$C$12,F365&lt;=pconfig!$B$13,P365*pconfig!$C$13,F365&lt;=pconfig!$B$14,P365*pconfig!$C$14,F365&lt;=pconfig!$B$15,P365*pconfig!$C$15,F365&lt;=pconfig!$B$16,P365*pconfig!$C$16,F365&lt;=pconfig!$B$17,P365*pconfig!$C$17,F365&lt;=pconfig!$B$18,P365*pconfig!$C$18,F365&lt;=pconfig!$B$19,P365*pconfig!$C$19,F365&lt;=pconfig!$B$20,P365*pconfig!$C$20,F365&lt;=pconfig!$B$21,P365*pconfig!$C$21)</f>
        <v>46.09138973</v>
      </c>
      <c r="R365" s="87">
        <f t="shared" si="2"/>
        <v>153.4932024</v>
      </c>
    </row>
    <row r="366" ht="22.5" hidden="1" customHeight="1">
      <c r="A366" s="52">
        <f t="shared" si="3"/>
        <v>365</v>
      </c>
      <c r="B366" s="53" t="s">
        <v>932</v>
      </c>
      <c r="C366" s="53" t="s">
        <v>101</v>
      </c>
      <c r="D366" s="56" t="s">
        <v>102</v>
      </c>
      <c r="E366" s="53" t="str">
        <f t="shared" si="1"/>
        <v>SAO GERALDO DO ARAGUAIASATELITE</v>
      </c>
      <c r="F366" s="59">
        <v>1.0</v>
      </c>
      <c r="G366" s="53" t="s">
        <v>128</v>
      </c>
      <c r="H366" s="59" t="str">
        <f t="array" ref="H366">XLOOKUP(B366,municipios,regiao!$D$6:$D$150,0)</f>
        <v>NÃO</v>
      </c>
      <c r="I366" s="53" t="s">
        <v>695</v>
      </c>
      <c r="J366" s="60" t="s">
        <v>106</v>
      </c>
      <c r="K366" s="61">
        <v>4799.0</v>
      </c>
      <c r="L366" s="70">
        <f>K366/(1-pconfig!$G$2-pconfig!$G$3-pconfig!$G$4)</f>
        <v>9061.555891</v>
      </c>
      <c r="M366" s="61">
        <v>56.88</v>
      </c>
      <c r="N366" s="61">
        <f>M366/(1-pconfig!$G$2-pconfig!$G$3-pconfig!$G$4)</f>
        <v>107.4018127</v>
      </c>
      <c r="O366" s="61">
        <f>((K366*F366)+M366)/(1-pconfig!$G$2-pconfig!$G$3-pconfig!$G$4)</f>
        <v>9168.957704</v>
      </c>
      <c r="P366" s="74">
        <f>K366*F366/(1-pconfig!$G$2-pconfig!$G$3-pconfig!$G$4)</f>
        <v>9061.555891</v>
      </c>
      <c r="Q366" s="74">
        <f>IFS(F366&lt;=pconfig!$B$12,P366*pconfig!$C$12,F366&lt;=pconfig!$B$13,P366*pconfig!$C$13,F366&lt;=pconfig!$B$14,P366*pconfig!$C$14,F366&lt;=pconfig!$B$15,P366*pconfig!$C$15,F366&lt;=pconfig!$B$16,P366*pconfig!$C$16,F366&lt;=pconfig!$B$17,P366*pconfig!$C$17,F366&lt;=pconfig!$B$18,P366*pconfig!$C$18,F366&lt;=pconfig!$B$19,P366*pconfig!$C$19,F366&lt;=pconfig!$B$20,P366*pconfig!$C$20,F366&lt;=pconfig!$B$21,P366*pconfig!$C$21)</f>
        <v>9061.555891</v>
      </c>
      <c r="R366" s="76">
        <f t="shared" si="2"/>
        <v>9168.957704</v>
      </c>
    </row>
    <row r="367" ht="22.5" hidden="1" customHeight="1">
      <c r="A367" s="78">
        <f t="shared" si="3"/>
        <v>366</v>
      </c>
      <c r="B367" s="79" t="s">
        <v>932</v>
      </c>
      <c r="C367" s="79" t="s">
        <v>59</v>
      </c>
      <c r="D367" s="80" t="s">
        <v>60</v>
      </c>
      <c r="E367" s="79" t="str">
        <f t="shared" si="1"/>
        <v>SAO GERALDO DO ARAGUAIARADIO</v>
      </c>
      <c r="F367" s="81">
        <v>1.0</v>
      </c>
      <c r="G367" s="79" t="s">
        <v>128</v>
      </c>
      <c r="H367" s="81" t="str">
        <f t="array" ref="H367">XLOOKUP(B367,municipios,regiao!$D$6:$D$150,0)</f>
        <v>NÃO</v>
      </c>
      <c r="I367" s="79" t="s">
        <v>695</v>
      </c>
      <c r="J367" s="82" t="s">
        <v>624</v>
      </c>
      <c r="K367" s="83">
        <v>24.41</v>
      </c>
      <c r="L367" s="85">
        <f>K367/(1-pconfig!$G$2-pconfig!$G$3-pconfig!$G$4)</f>
        <v>46.09138973</v>
      </c>
      <c r="M367" s="83">
        <v>333.333333333333</v>
      </c>
      <c r="N367" s="83">
        <f>M367/(1-pconfig!$G$2-pconfig!$G$3-pconfig!$G$4)</f>
        <v>629.4058409</v>
      </c>
      <c r="O367" s="83">
        <f>((K367*F367)+M367)/(1-pconfig!$G$2-pconfig!$G$3-pconfig!$G$4)</f>
        <v>675.4972306</v>
      </c>
      <c r="P367" s="86">
        <f>K367*F367/(1-pconfig!$G$2-pconfig!$G$3-pconfig!$G$4)</f>
        <v>46.09138973</v>
      </c>
      <c r="Q367" s="86">
        <f>IFS(F367&lt;=pconfig!$B$12,P367*pconfig!$C$12,F367&lt;=pconfig!$B$13,P367*pconfig!$C$13,F367&lt;=pconfig!$B$14,P367*pconfig!$C$14,F367&lt;=pconfig!$B$15,P367*pconfig!$C$15,F367&lt;=pconfig!$B$16,P367*pconfig!$C$16,F367&lt;=pconfig!$B$17,P367*pconfig!$C$17,F367&lt;=pconfig!$B$18,P367*pconfig!$C$18,F367&lt;=pconfig!$B$19,P367*pconfig!$C$19,F367&lt;=pconfig!$B$20,P367*pconfig!$C$20,F367&lt;=pconfig!$B$21,P367*pconfig!$C$21)</f>
        <v>46.09138973</v>
      </c>
      <c r="R367" s="87">
        <f t="shared" si="2"/>
        <v>675.4972306</v>
      </c>
    </row>
    <row r="368" ht="22.5" hidden="1" customHeight="1">
      <c r="A368" s="52">
        <f t="shared" si="3"/>
        <v>367</v>
      </c>
      <c r="B368" s="53" t="s">
        <v>933</v>
      </c>
      <c r="C368" s="53" t="s">
        <v>50</v>
      </c>
      <c r="D368" s="56" t="s">
        <v>82</v>
      </c>
      <c r="E368" s="53" t="str">
        <f t="shared" si="1"/>
        <v>SAO JOAO DA PONTAFIBRA</v>
      </c>
      <c r="F368" s="59">
        <v>1.0</v>
      </c>
      <c r="G368" s="53" t="s">
        <v>61</v>
      </c>
      <c r="H368" s="59" t="str">
        <f t="array" ref="H368">XLOOKUP(B368,municipios,regiao!$D$6:$D$150,0)</f>
        <v>SIM</v>
      </c>
      <c r="I368" s="53" t="s">
        <v>798</v>
      </c>
      <c r="J368" s="60" t="s">
        <v>337</v>
      </c>
      <c r="K368" s="61">
        <v>17.84</v>
      </c>
      <c r="L368" s="70">
        <f>K368/(1-pconfig!$G$2-pconfig!$G$3-pconfig!$G$4)</f>
        <v>33.6858006</v>
      </c>
      <c r="M368" s="61">
        <v>70.72</v>
      </c>
      <c r="N368" s="61">
        <f>M368/(1-pconfig!$G$2-pconfig!$G$3-pconfig!$G$4)</f>
        <v>133.5347432</v>
      </c>
      <c r="O368" s="61">
        <f>((K368*F368)+M368)/(1-pconfig!$G$2-pconfig!$G$3-pconfig!$G$4)</f>
        <v>167.2205438</v>
      </c>
      <c r="P368" s="74">
        <f>K368*F368/(1-pconfig!$G$2-pconfig!$G$3-pconfig!$G$4)</f>
        <v>33.6858006</v>
      </c>
      <c r="Q368" s="74">
        <f>IFS(F368&lt;=pconfig!$B$12,P368*pconfig!$C$12,F368&lt;=pconfig!$B$13,P368*pconfig!$C$13,F368&lt;=pconfig!$B$14,P368*pconfig!$C$14,F368&lt;=pconfig!$B$15,P368*pconfig!$C$15,F368&lt;=pconfig!$B$16,P368*pconfig!$C$16,F368&lt;=pconfig!$B$17,P368*pconfig!$C$17,F368&lt;=pconfig!$B$18,P368*pconfig!$C$18,F368&lt;=pconfig!$B$19,P368*pconfig!$C$19,F368&lt;=pconfig!$B$20,P368*pconfig!$C$20,F368&lt;=pconfig!$B$21,P368*pconfig!$C$21)</f>
        <v>33.6858006</v>
      </c>
      <c r="R368" s="76">
        <f t="shared" si="2"/>
        <v>167.2205438</v>
      </c>
    </row>
    <row r="369" ht="22.5" hidden="1" customHeight="1">
      <c r="A369" s="78">
        <f t="shared" si="3"/>
        <v>368</v>
      </c>
      <c r="B369" s="79" t="s">
        <v>933</v>
      </c>
      <c r="C369" s="79" t="s">
        <v>101</v>
      </c>
      <c r="D369" s="80" t="s">
        <v>102</v>
      </c>
      <c r="E369" s="79" t="str">
        <f t="shared" si="1"/>
        <v>SAO JOAO DA PONTASATELITE</v>
      </c>
      <c r="F369" s="81">
        <v>1.0</v>
      </c>
      <c r="G369" s="79" t="s">
        <v>61</v>
      </c>
      <c r="H369" s="81" t="str">
        <f t="array" ref="H369">XLOOKUP(B369,municipios,regiao!$D$6:$D$150,0)</f>
        <v>SIM</v>
      </c>
      <c r="I369" s="79" t="s">
        <v>798</v>
      </c>
      <c r="J369" s="82" t="s">
        <v>106</v>
      </c>
      <c r="K369" s="83">
        <v>4799.0</v>
      </c>
      <c r="L369" s="85">
        <f>K369/(1-pconfig!$G$2-pconfig!$G$3-pconfig!$G$4)</f>
        <v>9061.555891</v>
      </c>
      <c r="M369" s="83">
        <v>70.72</v>
      </c>
      <c r="N369" s="83">
        <f>M369/(1-pconfig!$G$2-pconfig!$G$3-pconfig!$G$4)</f>
        <v>133.5347432</v>
      </c>
      <c r="O369" s="83">
        <f>((K369*F369)+M369)/(1-pconfig!$G$2-pconfig!$G$3-pconfig!$G$4)</f>
        <v>9195.090634</v>
      </c>
      <c r="P369" s="86">
        <f>K369*F369/(1-pconfig!$G$2-pconfig!$G$3-pconfig!$G$4)</f>
        <v>9061.555891</v>
      </c>
      <c r="Q369" s="86">
        <f>IFS(F369&lt;=pconfig!$B$12,P369*pconfig!$C$12,F369&lt;=pconfig!$B$13,P369*pconfig!$C$13,F369&lt;=pconfig!$B$14,P369*pconfig!$C$14,F369&lt;=pconfig!$B$15,P369*pconfig!$C$15,F369&lt;=pconfig!$B$16,P369*pconfig!$C$16,F369&lt;=pconfig!$B$17,P369*pconfig!$C$17,F369&lt;=pconfig!$B$18,P369*pconfig!$C$18,F369&lt;=pconfig!$B$19,P369*pconfig!$C$19,F369&lt;=pconfig!$B$20,P369*pconfig!$C$20,F369&lt;=pconfig!$B$21,P369*pconfig!$C$21)</f>
        <v>9061.555891</v>
      </c>
      <c r="R369" s="87">
        <f t="shared" si="2"/>
        <v>9195.090634</v>
      </c>
    </row>
    <row r="370" ht="22.5" hidden="1" customHeight="1">
      <c r="A370" s="52">
        <f t="shared" si="3"/>
        <v>369</v>
      </c>
      <c r="B370" s="53" t="s">
        <v>933</v>
      </c>
      <c r="C370" s="53" t="s">
        <v>59</v>
      </c>
      <c r="D370" s="56" t="s">
        <v>60</v>
      </c>
      <c r="E370" s="53" t="str">
        <f t="shared" si="1"/>
        <v>SAO JOAO DA PONTARADIO</v>
      </c>
      <c r="F370" s="59">
        <v>1.0</v>
      </c>
      <c r="G370" s="53" t="s">
        <v>61</v>
      </c>
      <c r="H370" s="59" t="str">
        <f t="array" ref="H370">XLOOKUP(B370,municipios,regiao!$D$6:$D$150,0)</f>
        <v>SIM</v>
      </c>
      <c r="I370" s="53" t="s">
        <v>798</v>
      </c>
      <c r="J370" s="60" t="s">
        <v>337</v>
      </c>
      <c r="K370" s="61">
        <v>17.84</v>
      </c>
      <c r="L370" s="70">
        <f>K370/(1-pconfig!$G$2-pconfig!$G$3-pconfig!$G$4)</f>
        <v>33.6858006</v>
      </c>
      <c r="M370" s="61">
        <v>137.604166666667</v>
      </c>
      <c r="N370" s="61">
        <f>M370/(1-pconfig!$G$2-pconfig!$G$3-pconfig!$G$4)</f>
        <v>259.8265987</v>
      </c>
      <c r="O370" s="61">
        <f>((K370*F370)+M370)/(1-pconfig!$G$2-pconfig!$G$3-pconfig!$G$4)</f>
        <v>293.5123993</v>
      </c>
      <c r="P370" s="74">
        <f>K370*F370/(1-pconfig!$G$2-pconfig!$G$3-pconfig!$G$4)</f>
        <v>33.6858006</v>
      </c>
      <c r="Q370" s="74">
        <f>IFS(F370&lt;=pconfig!$B$12,P370*pconfig!$C$12,F370&lt;=pconfig!$B$13,P370*pconfig!$C$13,F370&lt;=pconfig!$B$14,P370*pconfig!$C$14,F370&lt;=pconfig!$B$15,P370*pconfig!$C$15,F370&lt;=pconfig!$B$16,P370*pconfig!$C$16,F370&lt;=pconfig!$B$17,P370*pconfig!$C$17,F370&lt;=pconfig!$B$18,P370*pconfig!$C$18,F370&lt;=pconfig!$B$19,P370*pconfig!$C$19,F370&lt;=pconfig!$B$20,P370*pconfig!$C$20,F370&lt;=pconfig!$B$21,P370*pconfig!$C$21)</f>
        <v>33.6858006</v>
      </c>
      <c r="R370" s="76">
        <f t="shared" si="2"/>
        <v>293.5123993</v>
      </c>
    </row>
    <row r="371" ht="22.5" hidden="1" customHeight="1">
      <c r="A371" s="78">
        <f t="shared" si="3"/>
        <v>370</v>
      </c>
      <c r="B371" s="79" t="s">
        <v>934</v>
      </c>
      <c r="C371" s="79" t="s">
        <v>59</v>
      </c>
      <c r="D371" s="80" t="s">
        <v>60</v>
      </c>
      <c r="E371" s="79" t="str">
        <f t="shared" si="1"/>
        <v>SAO JOAO DE PIRABASRADIO</v>
      </c>
      <c r="F371" s="81">
        <v>1.0</v>
      </c>
      <c r="G371" s="79" t="s">
        <v>61</v>
      </c>
      <c r="H371" s="81" t="str">
        <f t="array" ref="H371">XLOOKUP(B371,municipios,regiao!$D$6:$D$150,0)</f>
        <v>SIM</v>
      </c>
      <c r="I371" s="79" t="s">
        <v>496</v>
      </c>
      <c r="J371" s="82" t="s">
        <v>337</v>
      </c>
      <c r="K371" s="83">
        <v>17.84</v>
      </c>
      <c r="L371" s="85">
        <f>K371/(1-pconfig!$G$2-pconfig!$G$3-pconfig!$G$4)</f>
        <v>33.6858006</v>
      </c>
      <c r="M371" s="83">
        <v>137.604166666667</v>
      </c>
      <c r="N371" s="83">
        <f>M371/(1-pconfig!$G$2-pconfig!$G$3-pconfig!$G$4)</f>
        <v>259.8265987</v>
      </c>
      <c r="O371" s="83">
        <f>((K371*F371)+M371)/(1-pconfig!$G$2-pconfig!$G$3-pconfig!$G$4)</f>
        <v>293.5123993</v>
      </c>
      <c r="P371" s="86">
        <f>K371*F371/(1-pconfig!$G$2-pconfig!$G$3-pconfig!$G$4)</f>
        <v>33.6858006</v>
      </c>
      <c r="Q371" s="86">
        <f>IFS(F371&lt;=pconfig!$B$12,P371*pconfig!$C$12,F371&lt;=pconfig!$B$13,P371*pconfig!$C$13,F371&lt;=pconfig!$B$14,P371*pconfig!$C$14,F371&lt;=pconfig!$B$15,P371*pconfig!$C$15,F371&lt;=pconfig!$B$16,P371*pconfig!$C$16,F371&lt;=pconfig!$B$17,P371*pconfig!$C$17,F371&lt;=pconfig!$B$18,P371*pconfig!$C$18,F371&lt;=pconfig!$B$19,P371*pconfig!$C$19,F371&lt;=pconfig!$B$20,P371*pconfig!$C$20,F371&lt;=pconfig!$B$21,P371*pconfig!$C$21)</f>
        <v>33.6858006</v>
      </c>
      <c r="R371" s="87">
        <f t="shared" si="2"/>
        <v>293.5123993</v>
      </c>
    </row>
    <row r="372" ht="22.5" hidden="1" customHeight="1">
      <c r="A372" s="52">
        <f t="shared" si="3"/>
        <v>371</v>
      </c>
      <c r="B372" s="53" t="s">
        <v>934</v>
      </c>
      <c r="C372" s="53" t="s">
        <v>50</v>
      </c>
      <c r="D372" s="56" t="s">
        <v>82</v>
      </c>
      <c r="E372" s="53" t="str">
        <f t="shared" si="1"/>
        <v>SAO JOAO DE PIRABASFIBRA</v>
      </c>
      <c r="F372" s="59">
        <v>1.0</v>
      </c>
      <c r="G372" s="53" t="s">
        <v>61</v>
      </c>
      <c r="H372" s="59" t="str">
        <f t="array" ref="H372">XLOOKUP(B372,municipios,regiao!$D$6:$D$150,0)</f>
        <v>SIM</v>
      </c>
      <c r="I372" s="53" t="s">
        <v>496</v>
      </c>
      <c r="J372" s="60" t="s">
        <v>337</v>
      </c>
      <c r="K372" s="61">
        <v>17.84</v>
      </c>
      <c r="L372" s="70">
        <f>K372/(1-pconfig!$G$2-pconfig!$G$3-pconfig!$G$4)</f>
        <v>33.6858006</v>
      </c>
      <c r="M372" s="61">
        <v>406.12</v>
      </c>
      <c r="N372" s="61">
        <f>M372/(1-pconfig!$G$2-pconfig!$G$3-pconfig!$G$4)</f>
        <v>766.8429003</v>
      </c>
      <c r="O372" s="61">
        <f>((K372*F372)+M372)/(1-pconfig!$G$2-pconfig!$G$3-pconfig!$G$4)</f>
        <v>800.5287009</v>
      </c>
      <c r="P372" s="74">
        <f>K372*F372/(1-pconfig!$G$2-pconfig!$G$3-pconfig!$G$4)</f>
        <v>33.6858006</v>
      </c>
      <c r="Q372" s="74">
        <f>IFS(F372&lt;=pconfig!$B$12,P372*pconfig!$C$12,F372&lt;=pconfig!$B$13,P372*pconfig!$C$13,F372&lt;=pconfig!$B$14,P372*pconfig!$C$14,F372&lt;=pconfig!$B$15,P372*pconfig!$C$15,F372&lt;=pconfig!$B$16,P372*pconfig!$C$16,F372&lt;=pconfig!$B$17,P372*pconfig!$C$17,F372&lt;=pconfig!$B$18,P372*pconfig!$C$18,F372&lt;=pconfig!$B$19,P372*pconfig!$C$19,F372&lt;=pconfig!$B$20,P372*pconfig!$C$20,F372&lt;=pconfig!$B$21,P372*pconfig!$C$21)</f>
        <v>33.6858006</v>
      </c>
      <c r="R372" s="76">
        <f t="shared" si="2"/>
        <v>800.5287009</v>
      </c>
    </row>
    <row r="373" ht="22.5" hidden="1" customHeight="1">
      <c r="A373" s="78">
        <f t="shared" si="3"/>
        <v>372</v>
      </c>
      <c r="B373" s="79" t="s">
        <v>934</v>
      </c>
      <c r="C373" s="79" t="s">
        <v>101</v>
      </c>
      <c r="D373" s="80" t="s">
        <v>102</v>
      </c>
      <c r="E373" s="79" t="str">
        <f t="shared" si="1"/>
        <v>SAO JOAO DE PIRABASSATELITE</v>
      </c>
      <c r="F373" s="81">
        <v>1.0</v>
      </c>
      <c r="G373" s="79" t="s">
        <v>61</v>
      </c>
      <c r="H373" s="81" t="str">
        <f t="array" ref="H373">XLOOKUP(B373,municipios,regiao!$D$6:$D$150,0)</f>
        <v>SIM</v>
      </c>
      <c r="I373" s="79" t="s">
        <v>496</v>
      </c>
      <c r="J373" s="82" t="s">
        <v>106</v>
      </c>
      <c r="K373" s="83">
        <v>4799.0</v>
      </c>
      <c r="L373" s="85">
        <f>K373/(1-pconfig!$G$2-pconfig!$G$3-pconfig!$G$4)</f>
        <v>9061.555891</v>
      </c>
      <c r="M373" s="83">
        <v>406.12</v>
      </c>
      <c r="N373" s="83">
        <f>M373/(1-pconfig!$G$2-pconfig!$G$3-pconfig!$G$4)</f>
        <v>766.8429003</v>
      </c>
      <c r="O373" s="83">
        <f>((K373*F373)+M373)/(1-pconfig!$G$2-pconfig!$G$3-pconfig!$G$4)</f>
        <v>9828.398792</v>
      </c>
      <c r="P373" s="86">
        <f>K373*F373/(1-pconfig!$G$2-pconfig!$G$3-pconfig!$G$4)</f>
        <v>9061.555891</v>
      </c>
      <c r="Q373" s="86">
        <f>IFS(F373&lt;=pconfig!$B$12,P373*pconfig!$C$12,F373&lt;=pconfig!$B$13,P373*pconfig!$C$13,F373&lt;=pconfig!$B$14,P373*pconfig!$C$14,F373&lt;=pconfig!$B$15,P373*pconfig!$C$15,F373&lt;=pconfig!$B$16,P373*pconfig!$C$16,F373&lt;=pconfig!$B$17,P373*pconfig!$C$17,F373&lt;=pconfig!$B$18,P373*pconfig!$C$18,F373&lt;=pconfig!$B$19,P373*pconfig!$C$19,F373&lt;=pconfig!$B$20,P373*pconfig!$C$20,F373&lt;=pconfig!$B$21,P373*pconfig!$C$21)</f>
        <v>9061.555891</v>
      </c>
      <c r="R373" s="87">
        <f t="shared" si="2"/>
        <v>9828.398792</v>
      </c>
    </row>
    <row r="374" ht="22.5" hidden="1" customHeight="1">
      <c r="A374" s="52">
        <f t="shared" si="3"/>
        <v>373</v>
      </c>
      <c r="B374" s="53" t="s">
        <v>935</v>
      </c>
      <c r="C374" s="53" t="s">
        <v>50</v>
      </c>
      <c r="D374" s="56" t="s">
        <v>82</v>
      </c>
      <c r="E374" s="53" t="str">
        <f t="shared" si="1"/>
        <v>SAO JOAO DO ARAGUAIAFIBRA</v>
      </c>
      <c r="F374" s="59">
        <v>1.0</v>
      </c>
      <c r="G374" s="53" t="s">
        <v>128</v>
      </c>
      <c r="H374" s="59" t="str">
        <f t="array" ref="H374">XLOOKUP(B374,municipios,regiao!$D$6:$D$150,0)</f>
        <v>NÃO</v>
      </c>
      <c r="I374" s="53" t="s">
        <v>695</v>
      </c>
      <c r="J374" s="60" t="s">
        <v>235</v>
      </c>
      <c r="K374" s="61">
        <v>20.69</v>
      </c>
      <c r="L374" s="70">
        <f>K374/(1-pconfig!$G$2-pconfig!$G$3-pconfig!$G$4)</f>
        <v>39.06722054</v>
      </c>
      <c r="M374" s="61">
        <v>56.88</v>
      </c>
      <c r="N374" s="61">
        <f>M374/(1-pconfig!$G$2-pconfig!$G$3-pconfig!$G$4)</f>
        <v>107.4018127</v>
      </c>
      <c r="O374" s="61">
        <f>((K374*F374)+M374)/(1-pconfig!$G$2-pconfig!$G$3-pconfig!$G$4)</f>
        <v>146.4690332</v>
      </c>
      <c r="P374" s="74">
        <f>K374*F374/(1-pconfig!$G$2-pconfig!$G$3-pconfig!$G$4)</f>
        <v>39.06722054</v>
      </c>
      <c r="Q374" s="74">
        <f>IFS(F374&lt;=pconfig!$B$12,P374*pconfig!$C$12,F374&lt;=pconfig!$B$13,P374*pconfig!$C$13,F374&lt;=pconfig!$B$14,P374*pconfig!$C$14,F374&lt;=pconfig!$B$15,P374*pconfig!$C$15,F374&lt;=pconfig!$B$16,P374*pconfig!$C$16,F374&lt;=pconfig!$B$17,P374*pconfig!$C$17,F374&lt;=pconfig!$B$18,P374*pconfig!$C$18,F374&lt;=pconfig!$B$19,P374*pconfig!$C$19,F374&lt;=pconfig!$B$20,P374*pconfig!$C$20,F374&lt;=pconfig!$B$21,P374*pconfig!$C$21)</f>
        <v>39.06722054</v>
      </c>
      <c r="R374" s="76">
        <f t="shared" si="2"/>
        <v>146.4690332</v>
      </c>
    </row>
    <row r="375" ht="22.5" hidden="1" customHeight="1">
      <c r="A375" s="78">
        <f t="shared" si="3"/>
        <v>374</v>
      </c>
      <c r="B375" s="79" t="s">
        <v>935</v>
      </c>
      <c r="C375" s="79" t="s">
        <v>101</v>
      </c>
      <c r="D375" s="80" t="s">
        <v>102</v>
      </c>
      <c r="E375" s="79" t="str">
        <f t="shared" si="1"/>
        <v>SAO JOAO DO ARAGUAIASATELITE</v>
      </c>
      <c r="F375" s="81">
        <v>1.0</v>
      </c>
      <c r="G375" s="79" t="s">
        <v>128</v>
      </c>
      <c r="H375" s="81" t="str">
        <f t="array" ref="H375">XLOOKUP(B375,municipios,regiao!$D$6:$D$150,0)</f>
        <v>NÃO</v>
      </c>
      <c r="I375" s="79" t="s">
        <v>695</v>
      </c>
      <c r="J375" s="82" t="s">
        <v>106</v>
      </c>
      <c r="K375" s="83">
        <v>4799.0</v>
      </c>
      <c r="L375" s="85">
        <f>K375/(1-pconfig!$G$2-pconfig!$G$3-pconfig!$G$4)</f>
        <v>9061.555891</v>
      </c>
      <c r="M375" s="83">
        <v>56.88</v>
      </c>
      <c r="N375" s="83">
        <f>M375/(1-pconfig!$G$2-pconfig!$G$3-pconfig!$G$4)</f>
        <v>107.4018127</v>
      </c>
      <c r="O375" s="83">
        <f>((K375*F375)+M375)/(1-pconfig!$G$2-pconfig!$G$3-pconfig!$G$4)</f>
        <v>9168.957704</v>
      </c>
      <c r="P375" s="86">
        <f>K375*F375/(1-pconfig!$G$2-pconfig!$G$3-pconfig!$G$4)</f>
        <v>9061.555891</v>
      </c>
      <c r="Q375" s="86">
        <f>IFS(F375&lt;=pconfig!$B$12,P375*pconfig!$C$12,F375&lt;=pconfig!$B$13,P375*pconfig!$C$13,F375&lt;=pconfig!$B$14,P375*pconfig!$C$14,F375&lt;=pconfig!$B$15,P375*pconfig!$C$15,F375&lt;=pconfig!$B$16,P375*pconfig!$C$16,F375&lt;=pconfig!$B$17,P375*pconfig!$C$17,F375&lt;=pconfig!$B$18,P375*pconfig!$C$18,F375&lt;=pconfig!$B$19,P375*pconfig!$C$19,F375&lt;=pconfig!$B$20,P375*pconfig!$C$20,F375&lt;=pconfig!$B$21,P375*pconfig!$C$21)</f>
        <v>9061.555891</v>
      </c>
      <c r="R375" s="87">
        <f t="shared" si="2"/>
        <v>9168.957704</v>
      </c>
    </row>
    <row r="376" ht="22.5" hidden="1" customHeight="1">
      <c r="A376" s="52">
        <f t="shared" si="3"/>
        <v>375</v>
      </c>
      <c r="B376" s="53" t="s">
        <v>935</v>
      </c>
      <c r="C376" s="53" t="s">
        <v>59</v>
      </c>
      <c r="D376" s="56" t="s">
        <v>60</v>
      </c>
      <c r="E376" s="53" t="str">
        <f t="shared" si="1"/>
        <v>SAO JOAO DO ARAGUAIARADIO</v>
      </c>
      <c r="F376" s="59">
        <v>1.0</v>
      </c>
      <c r="G376" s="53" t="s">
        <v>128</v>
      </c>
      <c r="H376" s="59" t="str">
        <f t="array" ref="H376">XLOOKUP(B376,municipios,regiao!$D$6:$D$150,0)</f>
        <v>NÃO</v>
      </c>
      <c r="I376" s="53" t="s">
        <v>695</v>
      </c>
      <c r="J376" s="60" t="s">
        <v>235</v>
      </c>
      <c r="K376" s="61">
        <v>20.69</v>
      </c>
      <c r="L376" s="70">
        <f>K376/(1-pconfig!$G$2-pconfig!$G$3-pconfig!$G$4)</f>
        <v>39.06722054</v>
      </c>
      <c r="M376" s="61">
        <v>333.333333333333</v>
      </c>
      <c r="N376" s="61">
        <f>M376/(1-pconfig!$G$2-pconfig!$G$3-pconfig!$G$4)</f>
        <v>629.4058409</v>
      </c>
      <c r="O376" s="61">
        <f>((K376*F376)+M376)/(1-pconfig!$G$2-pconfig!$G$3-pconfig!$G$4)</f>
        <v>668.4730614</v>
      </c>
      <c r="P376" s="74">
        <f>K376*F376/(1-pconfig!$G$2-pconfig!$G$3-pconfig!$G$4)</f>
        <v>39.06722054</v>
      </c>
      <c r="Q376" s="74">
        <f>IFS(F376&lt;=pconfig!$B$12,P376*pconfig!$C$12,F376&lt;=pconfig!$B$13,P376*pconfig!$C$13,F376&lt;=pconfig!$B$14,P376*pconfig!$C$14,F376&lt;=pconfig!$B$15,P376*pconfig!$C$15,F376&lt;=pconfig!$B$16,P376*pconfig!$C$16,F376&lt;=pconfig!$B$17,P376*pconfig!$C$17,F376&lt;=pconfig!$B$18,P376*pconfig!$C$18,F376&lt;=pconfig!$B$19,P376*pconfig!$C$19,F376&lt;=pconfig!$B$20,P376*pconfig!$C$20,F376&lt;=pconfig!$B$21,P376*pconfig!$C$21)</f>
        <v>39.06722054</v>
      </c>
      <c r="R376" s="76">
        <f t="shared" si="2"/>
        <v>668.4730614</v>
      </c>
    </row>
    <row r="377" ht="22.5" hidden="1" customHeight="1">
      <c r="A377" s="78">
        <f t="shared" si="3"/>
        <v>376</v>
      </c>
      <c r="B377" s="79" t="s">
        <v>841</v>
      </c>
      <c r="C377" s="79" t="s">
        <v>50</v>
      </c>
      <c r="D377" s="80" t="s">
        <v>82</v>
      </c>
      <c r="E377" s="79" t="str">
        <f t="shared" si="1"/>
        <v>SAO MIGUEL DO GUAMAFIBRA</v>
      </c>
      <c r="F377" s="81">
        <v>1.0</v>
      </c>
      <c r="G377" s="79" t="s">
        <v>61</v>
      </c>
      <c r="H377" s="81" t="str">
        <f t="array" ref="H377">XLOOKUP(B377,municipios,regiao!$D$6:$D$150,0)</f>
        <v>SIM</v>
      </c>
      <c r="I377" s="79" t="s">
        <v>798</v>
      </c>
      <c r="J377" s="82" t="s">
        <v>416</v>
      </c>
      <c r="K377" s="83">
        <v>13.97</v>
      </c>
      <c r="L377" s="85">
        <f>K377/(1-pconfig!$G$2-pconfig!$G$3-pconfig!$G$4)</f>
        <v>26.37839879</v>
      </c>
      <c r="M377" s="83">
        <v>70.72</v>
      </c>
      <c r="N377" s="83">
        <f>M377/(1-pconfig!$G$2-pconfig!$G$3-pconfig!$G$4)</f>
        <v>133.5347432</v>
      </c>
      <c r="O377" s="83">
        <f>((K377*F377)+M377)/(1-pconfig!$G$2-pconfig!$G$3-pconfig!$G$4)</f>
        <v>159.913142</v>
      </c>
      <c r="P377" s="86">
        <f>K377*F377/(1-pconfig!$G$2-pconfig!$G$3-pconfig!$G$4)</f>
        <v>26.37839879</v>
      </c>
      <c r="Q377" s="86">
        <f>IFS(F377&lt;=pconfig!$B$12,P377*pconfig!$C$12,F377&lt;=pconfig!$B$13,P377*pconfig!$C$13,F377&lt;=pconfig!$B$14,P377*pconfig!$C$14,F377&lt;=pconfig!$B$15,P377*pconfig!$C$15,F377&lt;=pconfig!$B$16,P377*pconfig!$C$16,F377&lt;=pconfig!$B$17,P377*pconfig!$C$17,F377&lt;=pconfig!$B$18,P377*pconfig!$C$18,F377&lt;=pconfig!$B$19,P377*pconfig!$C$19,F377&lt;=pconfig!$B$20,P377*pconfig!$C$20,F377&lt;=pconfig!$B$21,P377*pconfig!$C$21)</f>
        <v>26.37839879</v>
      </c>
      <c r="R377" s="87">
        <f t="shared" si="2"/>
        <v>159.913142</v>
      </c>
    </row>
    <row r="378" ht="22.5" hidden="1" customHeight="1">
      <c r="A378" s="52">
        <f t="shared" si="3"/>
        <v>377</v>
      </c>
      <c r="B378" s="53" t="s">
        <v>841</v>
      </c>
      <c r="C378" s="53" t="s">
        <v>101</v>
      </c>
      <c r="D378" s="56" t="s">
        <v>102</v>
      </c>
      <c r="E378" s="53" t="str">
        <f t="shared" si="1"/>
        <v>SAO MIGUEL DO GUAMASATELITE</v>
      </c>
      <c r="F378" s="59">
        <v>1.0</v>
      </c>
      <c r="G378" s="53" t="s">
        <v>61</v>
      </c>
      <c r="H378" s="59" t="str">
        <f t="array" ref="H378">XLOOKUP(B378,municipios,regiao!$D$6:$D$150,0)</f>
        <v>SIM</v>
      </c>
      <c r="I378" s="53" t="s">
        <v>798</v>
      </c>
      <c r="J378" s="60" t="s">
        <v>106</v>
      </c>
      <c r="K378" s="61">
        <v>4799.0</v>
      </c>
      <c r="L378" s="70">
        <f>K378/(1-pconfig!$G$2-pconfig!$G$3-pconfig!$G$4)</f>
        <v>9061.555891</v>
      </c>
      <c r="M378" s="61">
        <v>70.72</v>
      </c>
      <c r="N378" s="61">
        <f>M378/(1-pconfig!$G$2-pconfig!$G$3-pconfig!$G$4)</f>
        <v>133.5347432</v>
      </c>
      <c r="O378" s="61">
        <f>((K378*F378)+M378)/(1-pconfig!$G$2-pconfig!$G$3-pconfig!$G$4)</f>
        <v>9195.090634</v>
      </c>
      <c r="P378" s="74">
        <f>K378*F378/(1-pconfig!$G$2-pconfig!$G$3-pconfig!$G$4)</f>
        <v>9061.555891</v>
      </c>
      <c r="Q378" s="74">
        <f>IFS(F378&lt;=pconfig!$B$12,P378*pconfig!$C$12,F378&lt;=pconfig!$B$13,P378*pconfig!$C$13,F378&lt;=pconfig!$B$14,P378*pconfig!$C$14,F378&lt;=pconfig!$B$15,P378*pconfig!$C$15,F378&lt;=pconfig!$B$16,P378*pconfig!$C$16,F378&lt;=pconfig!$B$17,P378*pconfig!$C$17,F378&lt;=pconfig!$B$18,P378*pconfig!$C$18,F378&lt;=pconfig!$B$19,P378*pconfig!$C$19,F378&lt;=pconfig!$B$20,P378*pconfig!$C$20,F378&lt;=pconfig!$B$21,P378*pconfig!$C$21)</f>
        <v>9061.555891</v>
      </c>
      <c r="R378" s="76">
        <f t="shared" si="2"/>
        <v>9195.090634</v>
      </c>
    </row>
    <row r="379" ht="22.5" hidden="1" customHeight="1">
      <c r="A379" s="78">
        <f t="shared" si="3"/>
        <v>378</v>
      </c>
      <c r="B379" s="79" t="s">
        <v>841</v>
      </c>
      <c r="C379" s="79" t="s">
        <v>59</v>
      </c>
      <c r="D379" s="80" t="s">
        <v>60</v>
      </c>
      <c r="E379" s="79" t="str">
        <f t="shared" si="1"/>
        <v>SAO MIGUEL DO GUAMARADIO</v>
      </c>
      <c r="F379" s="81">
        <v>1.0</v>
      </c>
      <c r="G379" s="79" t="s">
        <v>61</v>
      </c>
      <c r="H379" s="81" t="str">
        <f t="array" ref="H379">XLOOKUP(B379,municipios,regiao!$D$6:$D$150,0)</f>
        <v>SIM</v>
      </c>
      <c r="I379" s="79" t="s">
        <v>798</v>
      </c>
      <c r="J379" s="82" t="s">
        <v>416</v>
      </c>
      <c r="K379" s="83">
        <v>13.97</v>
      </c>
      <c r="L379" s="85">
        <f>K379/(1-pconfig!$G$2-pconfig!$G$3-pconfig!$G$4)</f>
        <v>26.37839879</v>
      </c>
      <c r="M379" s="83">
        <v>137.604166666667</v>
      </c>
      <c r="N379" s="83">
        <f>M379/(1-pconfig!$G$2-pconfig!$G$3-pconfig!$G$4)</f>
        <v>259.8265987</v>
      </c>
      <c r="O379" s="83">
        <f>((K379*F379)+M379)/(1-pconfig!$G$2-pconfig!$G$3-pconfig!$G$4)</f>
        <v>286.2049975</v>
      </c>
      <c r="P379" s="86">
        <f>K379*F379/(1-pconfig!$G$2-pconfig!$G$3-pconfig!$G$4)</f>
        <v>26.37839879</v>
      </c>
      <c r="Q379" s="86">
        <f>IFS(F379&lt;=pconfig!$B$12,P379*pconfig!$C$12,F379&lt;=pconfig!$B$13,P379*pconfig!$C$13,F379&lt;=pconfig!$B$14,P379*pconfig!$C$14,F379&lt;=pconfig!$B$15,P379*pconfig!$C$15,F379&lt;=pconfig!$B$16,P379*pconfig!$C$16,F379&lt;=pconfig!$B$17,P379*pconfig!$C$17,F379&lt;=pconfig!$B$18,P379*pconfig!$C$18,F379&lt;=pconfig!$B$19,P379*pconfig!$C$19,F379&lt;=pconfig!$B$20,P379*pconfig!$C$20,F379&lt;=pconfig!$B$21,P379*pconfig!$C$21)</f>
        <v>26.37839879</v>
      </c>
      <c r="R379" s="87">
        <f t="shared" si="2"/>
        <v>286.2049975</v>
      </c>
    </row>
    <row r="380" ht="22.5" hidden="1" customHeight="1">
      <c r="A380" s="52">
        <f t="shared" si="3"/>
        <v>379</v>
      </c>
      <c r="B380" s="53" t="s">
        <v>936</v>
      </c>
      <c r="C380" s="53" t="s">
        <v>59</v>
      </c>
      <c r="D380" s="56" t="s">
        <v>60</v>
      </c>
      <c r="E380" s="53" t="str">
        <f t="shared" si="1"/>
        <v>SAO SEBASTIAO DA BOA VISTARADIO</v>
      </c>
      <c r="F380" s="59">
        <v>1.0</v>
      </c>
      <c r="G380" s="53" t="s">
        <v>258</v>
      </c>
      <c r="H380" s="59" t="str">
        <f t="array" ref="H380">XLOOKUP(B380,municipios,regiao!$D$6:$D$150,0)</f>
        <v>SIM</v>
      </c>
      <c r="I380" s="53" t="s">
        <v>258</v>
      </c>
      <c r="J380" s="60" t="s">
        <v>259</v>
      </c>
      <c r="K380" s="61">
        <v>35.73</v>
      </c>
      <c r="L380" s="70">
        <f>K380/(1-pconfig!$G$2-pconfig!$G$3-pconfig!$G$4)</f>
        <v>67.46601208</v>
      </c>
      <c r="M380" s="61">
        <v>106.693333333333</v>
      </c>
      <c r="N380" s="61">
        <f>M380/(1-pconfig!$G$2-pconfig!$G$3-pconfig!$G$4)</f>
        <v>201.4602216</v>
      </c>
      <c r="O380" s="61">
        <f>((K380*F380)+M380)/(1-pconfig!$G$2-pconfig!$G$3-pconfig!$G$4)</f>
        <v>268.9262336</v>
      </c>
      <c r="P380" s="74">
        <f>K380*F380/(1-pconfig!$G$2-pconfig!$G$3-pconfig!$G$4)</f>
        <v>67.46601208</v>
      </c>
      <c r="Q380" s="74">
        <f>IFS(F380&lt;=pconfig!$B$12,P380*pconfig!$C$12,F380&lt;=pconfig!$B$13,P380*pconfig!$C$13,F380&lt;=pconfig!$B$14,P380*pconfig!$C$14,F380&lt;=pconfig!$B$15,P380*pconfig!$C$15,F380&lt;=pconfig!$B$16,P380*pconfig!$C$16,F380&lt;=pconfig!$B$17,P380*pconfig!$C$17,F380&lt;=pconfig!$B$18,P380*pconfig!$C$18,F380&lt;=pconfig!$B$19,P380*pconfig!$C$19,F380&lt;=pconfig!$B$20,P380*pconfig!$C$20,F380&lt;=pconfig!$B$21,P380*pconfig!$C$21)</f>
        <v>67.46601208</v>
      </c>
      <c r="R380" s="76">
        <f t="shared" si="2"/>
        <v>268.9262336</v>
      </c>
    </row>
    <row r="381" ht="22.5" hidden="1" customHeight="1">
      <c r="A381" s="78">
        <f t="shared" si="3"/>
        <v>380</v>
      </c>
      <c r="B381" s="79" t="s">
        <v>936</v>
      </c>
      <c r="C381" s="79" t="s">
        <v>50</v>
      </c>
      <c r="D381" s="80" t="s">
        <v>82</v>
      </c>
      <c r="E381" s="79" t="str">
        <f t="shared" si="1"/>
        <v>SAO SEBASTIAO DA BOA VISTAFIBRA</v>
      </c>
      <c r="F381" s="81">
        <v>1.0</v>
      </c>
      <c r="G381" s="79" t="s">
        <v>258</v>
      </c>
      <c r="H381" s="81" t="str">
        <f t="array" ref="H381">XLOOKUP(B381,municipios,regiao!$D$6:$D$150,0)</f>
        <v>SIM</v>
      </c>
      <c r="I381" s="79" t="s">
        <v>258</v>
      </c>
      <c r="J381" s="82" t="s">
        <v>259</v>
      </c>
      <c r="K381" s="83">
        <v>35.73</v>
      </c>
      <c r="L381" s="85">
        <f>K381/(1-pconfig!$G$2-pconfig!$G$3-pconfig!$G$4)</f>
        <v>67.46601208</v>
      </c>
      <c r="M381" s="83">
        <v>519.17</v>
      </c>
      <c r="N381" s="83">
        <f>M381/(1-pconfig!$G$2-pconfig!$G$3-pconfig!$G$4)</f>
        <v>980.3058912</v>
      </c>
      <c r="O381" s="83">
        <f>((K381*F381)+M381)/(1-pconfig!$G$2-pconfig!$G$3-pconfig!$G$4)</f>
        <v>1047.771903</v>
      </c>
      <c r="P381" s="86">
        <f>K381*F381/(1-pconfig!$G$2-pconfig!$G$3-pconfig!$G$4)</f>
        <v>67.46601208</v>
      </c>
      <c r="Q381" s="86">
        <f>IFS(F381&lt;=pconfig!$B$12,P381*pconfig!$C$12,F381&lt;=pconfig!$B$13,P381*pconfig!$C$13,F381&lt;=pconfig!$B$14,P381*pconfig!$C$14,F381&lt;=pconfig!$B$15,P381*pconfig!$C$15,F381&lt;=pconfig!$B$16,P381*pconfig!$C$16,F381&lt;=pconfig!$B$17,P381*pconfig!$C$17,F381&lt;=pconfig!$B$18,P381*pconfig!$C$18,F381&lt;=pconfig!$B$19,P381*pconfig!$C$19,F381&lt;=pconfig!$B$20,P381*pconfig!$C$20,F381&lt;=pconfig!$B$21,P381*pconfig!$C$21)</f>
        <v>67.46601208</v>
      </c>
      <c r="R381" s="87">
        <f t="shared" si="2"/>
        <v>1047.771903</v>
      </c>
    </row>
    <row r="382" ht="22.5" hidden="1" customHeight="1">
      <c r="A382" s="52">
        <f t="shared" si="3"/>
        <v>381</v>
      </c>
      <c r="B382" s="53" t="s">
        <v>936</v>
      </c>
      <c r="C382" s="53" t="s">
        <v>101</v>
      </c>
      <c r="D382" s="56" t="s">
        <v>102</v>
      </c>
      <c r="E382" s="53" t="str">
        <f t="shared" si="1"/>
        <v>SAO SEBASTIAO DA BOA VISTASATELITE</v>
      </c>
      <c r="F382" s="59">
        <v>1.0</v>
      </c>
      <c r="G382" s="53" t="s">
        <v>258</v>
      </c>
      <c r="H382" s="59" t="str">
        <f t="array" ref="H382">XLOOKUP(B382,municipios,regiao!$D$6:$D$150,0)</f>
        <v>SIM</v>
      </c>
      <c r="I382" s="53" t="s">
        <v>258</v>
      </c>
      <c r="J382" s="60" t="s">
        <v>106</v>
      </c>
      <c r="K382" s="61">
        <v>4799.0</v>
      </c>
      <c r="L382" s="70">
        <f>K382/(1-pconfig!$G$2-pconfig!$G$3-pconfig!$G$4)</f>
        <v>9061.555891</v>
      </c>
      <c r="M382" s="61">
        <v>519.17</v>
      </c>
      <c r="N382" s="61">
        <f>M382/(1-pconfig!$G$2-pconfig!$G$3-pconfig!$G$4)</f>
        <v>980.3058912</v>
      </c>
      <c r="O382" s="61">
        <f>((K382*F382)+M382)/(1-pconfig!$G$2-pconfig!$G$3-pconfig!$G$4)</f>
        <v>10041.86178</v>
      </c>
      <c r="P382" s="74">
        <f>K382*F382/(1-pconfig!$G$2-pconfig!$G$3-pconfig!$G$4)</f>
        <v>9061.555891</v>
      </c>
      <c r="Q382" s="74">
        <f>IFS(F382&lt;=pconfig!$B$12,P382*pconfig!$C$12,F382&lt;=pconfig!$B$13,P382*pconfig!$C$13,F382&lt;=pconfig!$B$14,P382*pconfig!$C$14,F382&lt;=pconfig!$B$15,P382*pconfig!$C$15,F382&lt;=pconfig!$B$16,P382*pconfig!$C$16,F382&lt;=pconfig!$B$17,P382*pconfig!$C$17,F382&lt;=pconfig!$B$18,P382*pconfig!$C$18,F382&lt;=pconfig!$B$19,P382*pconfig!$C$19,F382&lt;=pconfig!$B$20,P382*pconfig!$C$20,F382&lt;=pconfig!$B$21,P382*pconfig!$C$21)</f>
        <v>9061.555891</v>
      </c>
      <c r="R382" s="76">
        <f t="shared" si="2"/>
        <v>10041.86178</v>
      </c>
    </row>
    <row r="383" ht="22.5" hidden="1" customHeight="1">
      <c r="A383" s="78">
        <f t="shared" si="3"/>
        <v>382</v>
      </c>
      <c r="B383" s="79" t="s">
        <v>937</v>
      </c>
      <c r="C383" s="79" t="s">
        <v>59</v>
      </c>
      <c r="D383" s="80" t="s">
        <v>60</v>
      </c>
      <c r="E383" s="79" t="str">
        <f t="shared" si="1"/>
        <v>SAPUCAIARADIO</v>
      </c>
      <c r="F383" s="81">
        <v>1.0</v>
      </c>
      <c r="G383" s="79" t="s">
        <v>128</v>
      </c>
      <c r="H383" s="81" t="str">
        <f t="array" ref="H383">XLOOKUP(B383,municipios,regiao!$D$6:$D$150,0)</f>
        <v>SIM</v>
      </c>
      <c r="I383" s="79" t="s">
        <v>280</v>
      </c>
      <c r="J383" s="82" t="s">
        <v>133</v>
      </c>
      <c r="K383" s="83">
        <v>29.29</v>
      </c>
      <c r="L383" s="85">
        <f>K383/(1-pconfig!$G$2-pconfig!$G$3-pconfig!$G$4)</f>
        <v>55.30589124</v>
      </c>
      <c r="M383" s="83">
        <v>336.074166666667</v>
      </c>
      <c r="N383" s="83">
        <f>M383/(1-pconfig!$G$2-pconfig!$G$3-pconfig!$G$4)</f>
        <v>634.5811304</v>
      </c>
      <c r="O383" s="83">
        <f>((K383*F383)+M383)/(1-pconfig!$G$2-pconfig!$G$3-pconfig!$G$4)</f>
        <v>689.8870217</v>
      </c>
      <c r="P383" s="86">
        <f>K383*F383/(1-pconfig!$G$2-pconfig!$G$3-pconfig!$G$4)</f>
        <v>55.30589124</v>
      </c>
      <c r="Q383" s="86">
        <f>IFS(F383&lt;=pconfig!$B$12,P383*pconfig!$C$12,F383&lt;=pconfig!$B$13,P383*pconfig!$C$13,F383&lt;=pconfig!$B$14,P383*pconfig!$C$14,F383&lt;=pconfig!$B$15,P383*pconfig!$C$15,F383&lt;=pconfig!$B$16,P383*pconfig!$C$16,F383&lt;=pconfig!$B$17,P383*pconfig!$C$17,F383&lt;=pconfig!$B$18,P383*pconfig!$C$18,F383&lt;=pconfig!$B$19,P383*pconfig!$C$19,F383&lt;=pconfig!$B$20,P383*pconfig!$C$20,F383&lt;=pconfig!$B$21,P383*pconfig!$C$21)</f>
        <v>55.30589124</v>
      </c>
      <c r="R383" s="87">
        <f t="shared" si="2"/>
        <v>689.8870217</v>
      </c>
    </row>
    <row r="384" ht="22.5" hidden="1" customHeight="1">
      <c r="A384" s="52">
        <f t="shared" si="3"/>
        <v>383</v>
      </c>
      <c r="B384" s="53" t="s">
        <v>937</v>
      </c>
      <c r="C384" s="53" t="s">
        <v>50</v>
      </c>
      <c r="D384" s="56" t="s">
        <v>82</v>
      </c>
      <c r="E384" s="53" t="str">
        <f t="shared" si="1"/>
        <v>SAPUCAIAFIBRA</v>
      </c>
      <c r="F384" s="59">
        <v>1.0</v>
      </c>
      <c r="G384" s="53" t="s">
        <v>128</v>
      </c>
      <c r="H384" s="59" t="str">
        <f t="array" ref="H384">XLOOKUP(B384,municipios,regiao!$D$6:$D$150,0)</f>
        <v>SIM</v>
      </c>
      <c r="I384" s="53" t="s">
        <v>280</v>
      </c>
      <c r="J384" s="60" t="s">
        <v>133</v>
      </c>
      <c r="K384" s="61">
        <v>29.29</v>
      </c>
      <c r="L384" s="70">
        <f>K384/(1-pconfig!$G$2-pconfig!$G$3-pconfig!$G$4)</f>
        <v>55.30589124</v>
      </c>
      <c r="M384" s="61">
        <v>447.5</v>
      </c>
      <c r="N384" s="61">
        <f>M384/(1-pconfig!$G$2-pconfig!$G$3-pconfig!$G$4)</f>
        <v>844.9773414</v>
      </c>
      <c r="O384" s="61">
        <f>((K384*F384)+M384)/(1-pconfig!$G$2-pconfig!$G$3-pconfig!$G$4)</f>
        <v>900.2832326</v>
      </c>
      <c r="P384" s="74">
        <f>K384*F384/(1-pconfig!$G$2-pconfig!$G$3-pconfig!$G$4)</f>
        <v>55.30589124</v>
      </c>
      <c r="Q384" s="74">
        <f>IFS(F384&lt;=pconfig!$B$12,P384*pconfig!$C$12,F384&lt;=pconfig!$B$13,P384*pconfig!$C$13,F384&lt;=pconfig!$B$14,P384*pconfig!$C$14,F384&lt;=pconfig!$B$15,P384*pconfig!$C$15,F384&lt;=pconfig!$B$16,P384*pconfig!$C$16,F384&lt;=pconfig!$B$17,P384*pconfig!$C$17,F384&lt;=pconfig!$B$18,P384*pconfig!$C$18,F384&lt;=pconfig!$B$19,P384*pconfig!$C$19,F384&lt;=pconfig!$B$20,P384*pconfig!$C$20,F384&lt;=pconfig!$B$21,P384*pconfig!$C$21)</f>
        <v>55.30589124</v>
      </c>
      <c r="R384" s="76">
        <f t="shared" si="2"/>
        <v>900.2832326</v>
      </c>
    </row>
    <row r="385" ht="22.5" hidden="1" customHeight="1">
      <c r="A385" s="78">
        <f t="shared" si="3"/>
        <v>384</v>
      </c>
      <c r="B385" s="79" t="s">
        <v>937</v>
      </c>
      <c r="C385" s="79" t="s">
        <v>101</v>
      </c>
      <c r="D385" s="80" t="s">
        <v>102</v>
      </c>
      <c r="E385" s="79" t="str">
        <f t="shared" si="1"/>
        <v>SAPUCAIASATELITE</v>
      </c>
      <c r="F385" s="81">
        <v>1.0</v>
      </c>
      <c r="G385" s="79" t="s">
        <v>128</v>
      </c>
      <c r="H385" s="81" t="str">
        <f t="array" ref="H385">XLOOKUP(B385,municipios,regiao!$D$6:$D$150,0)</f>
        <v>SIM</v>
      </c>
      <c r="I385" s="79" t="s">
        <v>280</v>
      </c>
      <c r="J385" s="82" t="s">
        <v>106</v>
      </c>
      <c r="K385" s="83">
        <v>4799.0</v>
      </c>
      <c r="L385" s="85">
        <f>K385/(1-pconfig!$G$2-pconfig!$G$3-pconfig!$G$4)</f>
        <v>9061.555891</v>
      </c>
      <c r="M385" s="83">
        <v>447.5</v>
      </c>
      <c r="N385" s="83">
        <f>M385/(1-pconfig!$G$2-pconfig!$G$3-pconfig!$G$4)</f>
        <v>844.9773414</v>
      </c>
      <c r="O385" s="83">
        <f>((K385*F385)+M385)/(1-pconfig!$G$2-pconfig!$G$3-pconfig!$G$4)</f>
        <v>9906.533233</v>
      </c>
      <c r="P385" s="86">
        <f>K385*F385/(1-pconfig!$G$2-pconfig!$G$3-pconfig!$G$4)</f>
        <v>9061.555891</v>
      </c>
      <c r="Q385" s="86">
        <f>IFS(F385&lt;=pconfig!$B$12,P385*pconfig!$C$12,F385&lt;=pconfig!$B$13,P385*pconfig!$C$13,F385&lt;=pconfig!$B$14,P385*pconfig!$C$14,F385&lt;=pconfig!$B$15,P385*pconfig!$C$15,F385&lt;=pconfig!$B$16,P385*pconfig!$C$16,F385&lt;=pconfig!$B$17,P385*pconfig!$C$17,F385&lt;=pconfig!$B$18,P385*pconfig!$C$18,F385&lt;=pconfig!$B$19,P385*pconfig!$C$19,F385&lt;=pconfig!$B$20,P385*pconfig!$C$20,F385&lt;=pconfig!$B$21,P385*pconfig!$C$21)</f>
        <v>9061.555891</v>
      </c>
      <c r="R385" s="87">
        <f t="shared" si="2"/>
        <v>9906.533233</v>
      </c>
    </row>
    <row r="386" ht="22.5" hidden="1" customHeight="1">
      <c r="A386" s="52">
        <f t="shared" si="3"/>
        <v>385</v>
      </c>
      <c r="B386" s="53" t="s">
        <v>938</v>
      </c>
      <c r="C386" s="53" t="s">
        <v>50</v>
      </c>
      <c r="D386" s="56" t="s">
        <v>82</v>
      </c>
      <c r="E386" s="53" t="str">
        <f t="shared" si="1"/>
        <v>SENADOR JOSE PORFIRIOFIBRA</v>
      </c>
      <c r="F386" s="59">
        <v>1.0</v>
      </c>
      <c r="G386" s="53" t="s">
        <v>374</v>
      </c>
      <c r="H386" s="59" t="str">
        <f t="array" ref="H386">XLOOKUP(B386,municipios,regiao!$D$6:$D$150,0)</f>
        <v>SIM</v>
      </c>
      <c r="I386" s="53" t="s">
        <v>375</v>
      </c>
      <c r="J386" s="60" t="s">
        <v>259</v>
      </c>
      <c r="K386" s="61">
        <v>35.73</v>
      </c>
      <c r="L386" s="70">
        <f>K386/(1-pconfig!$G$2-pconfig!$G$3-pconfig!$G$4)</f>
        <v>67.46601208</v>
      </c>
      <c r="M386" s="61">
        <v>283.33</v>
      </c>
      <c r="N386" s="61">
        <f>M386/(1-pconfig!$G$2-pconfig!$G$3-pconfig!$G$4)</f>
        <v>534.9886707</v>
      </c>
      <c r="O386" s="61">
        <f>((K386*F386)+M386)/(1-pconfig!$G$2-pconfig!$G$3-pconfig!$G$4)</f>
        <v>602.4546828</v>
      </c>
      <c r="P386" s="74">
        <f>K386*F386/(1-pconfig!$G$2-pconfig!$G$3-pconfig!$G$4)</f>
        <v>67.46601208</v>
      </c>
      <c r="Q386" s="74">
        <f>IFS(F386&lt;=pconfig!$B$12,P386*pconfig!$C$12,F386&lt;=pconfig!$B$13,P386*pconfig!$C$13,F386&lt;=pconfig!$B$14,P386*pconfig!$C$14,F386&lt;=pconfig!$B$15,P386*pconfig!$C$15,F386&lt;=pconfig!$B$16,P386*pconfig!$C$16,F386&lt;=pconfig!$B$17,P386*pconfig!$C$17,F386&lt;=pconfig!$B$18,P386*pconfig!$C$18,F386&lt;=pconfig!$B$19,P386*pconfig!$C$19,F386&lt;=pconfig!$B$20,P386*pconfig!$C$20,F386&lt;=pconfig!$B$21,P386*pconfig!$C$21)</f>
        <v>67.46601208</v>
      </c>
      <c r="R386" s="76">
        <f t="shared" si="2"/>
        <v>602.4546828</v>
      </c>
    </row>
    <row r="387" ht="22.5" hidden="1" customHeight="1">
      <c r="A387" s="78">
        <f t="shared" si="3"/>
        <v>386</v>
      </c>
      <c r="B387" s="79" t="s">
        <v>938</v>
      </c>
      <c r="C387" s="79" t="s">
        <v>101</v>
      </c>
      <c r="D387" s="80" t="s">
        <v>102</v>
      </c>
      <c r="E387" s="79" t="str">
        <f t="shared" si="1"/>
        <v>SENADOR JOSE PORFIRIOSATELITE</v>
      </c>
      <c r="F387" s="81">
        <v>1.0</v>
      </c>
      <c r="G387" s="79" t="s">
        <v>374</v>
      </c>
      <c r="H387" s="81" t="str">
        <f t="array" ref="H387">XLOOKUP(B387,municipios,regiao!$D$6:$D$150,0)</f>
        <v>SIM</v>
      </c>
      <c r="I387" s="79" t="s">
        <v>375</v>
      </c>
      <c r="J387" s="82" t="s">
        <v>106</v>
      </c>
      <c r="K387" s="83">
        <v>4799.0</v>
      </c>
      <c r="L387" s="85">
        <f>K387/(1-pconfig!$G$2-pconfig!$G$3-pconfig!$G$4)</f>
        <v>9061.555891</v>
      </c>
      <c r="M387" s="83">
        <v>283.33</v>
      </c>
      <c r="N387" s="83">
        <f>M387/(1-pconfig!$G$2-pconfig!$G$3-pconfig!$G$4)</f>
        <v>534.9886707</v>
      </c>
      <c r="O387" s="83">
        <f>((K387*F387)+M387)/(1-pconfig!$G$2-pconfig!$G$3-pconfig!$G$4)</f>
        <v>9596.544562</v>
      </c>
      <c r="P387" s="86">
        <f>K387*F387/(1-pconfig!$G$2-pconfig!$G$3-pconfig!$G$4)</f>
        <v>9061.555891</v>
      </c>
      <c r="Q387" s="86">
        <f>IFS(F387&lt;=pconfig!$B$12,P387*pconfig!$C$12,F387&lt;=pconfig!$B$13,P387*pconfig!$C$13,F387&lt;=pconfig!$B$14,P387*pconfig!$C$14,F387&lt;=pconfig!$B$15,P387*pconfig!$C$15,F387&lt;=pconfig!$B$16,P387*pconfig!$C$16,F387&lt;=pconfig!$B$17,P387*pconfig!$C$17,F387&lt;=pconfig!$B$18,P387*pconfig!$C$18,F387&lt;=pconfig!$B$19,P387*pconfig!$C$19,F387&lt;=pconfig!$B$20,P387*pconfig!$C$20,F387&lt;=pconfig!$B$21,P387*pconfig!$C$21)</f>
        <v>9061.555891</v>
      </c>
      <c r="R387" s="87">
        <f t="shared" si="2"/>
        <v>9596.544562</v>
      </c>
    </row>
    <row r="388" ht="22.5" hidden="1" customHeight="1">
      <c r="A388" s="52">
        <f t="shared" si="3"/>
        <v>387</v>
      </c>
      <c r="B388" s="53" t="s">
        <v>938</v>
      </c>
      <c r="C388" s="53" t="s">
        <v>59</v>
      </c>
      <c r="D388" s="56" t="s">
        <v>60</v>
      </c>
      <c r="E388" s="53" t="str">
        <f t="shared" si="1"/>
        <v>SENADOR JOSE PORFIRIORADIO</v>
      </c>
      <c r="F388" s="59">
        <v>1.0</v>
      </c>
      <c r="G388" s="53" t="s">
        <v>374</v>
      </c>
      <c r="H388" s="59" t="str">
        <f t="array" ref="H388">XLOOKUP(B388,municipios,regiao!$D$6:$D$150,0)</f>
        <v>SIM</v>
      </c>
      <c r="I388" s="53" t="s">
        <v>375</v>
      </c>
      <c r="J388" s="60" t="s">
        <v>259</v>
      </c>
      <c r="K388" s="61">
        <v>35.73</v>
      </c>
      <c r="L388" s="70">
        <f>K388/(1-pconfig!$G$2-pconfig!$G$3-pconfig!$G$4)</f>
        <v>67.46601208</v>
      </c>
      <c r="M388" s="61">
        <v>416.666666666667</v>
      </c>
      <c r="N388" s="61">
        <f>M388/(1-pconfig!$G$2-pconfig!$G$3-pconfig!$G$4)</f>
        <v>786.7573011</v>
      </c>
      <c r="O388" s="61">
        <f>((K388*F388)+M388)/(1-pconfig!$G$2-pconfig!$G$3-pconfig!$G$4)</f>
        <v>854.2233132</v>
      </c>
      <c r="P388" s="74">
        <f>K388*F388/(1-pconfig!$G$2-pconfig!$G$3-pconfig!$G$4)</f>
        <v>67.46601208</v>
      </c>
      <c r="Q388" s="74">
        <f>IFS(F388&lt;=pconfig!$B$12,P388*pconfig!$C$12,F388&lt;=pconfig!$B$13,P388*pconfig!$C$13,F388&lt;=pconfig!$B$14,P388*pconfig!$C$14,F388&lt;=pconfig!$B$15,P388*pconfig!$C$15,F388&lt;=pconfig!$B$16,P388*pconfig!$C$16,F388&lt;=pconfig!$B$17,P388*pconfig!$C$17,F388&lt;=pconfig!$B$18,P388*pconfig!$C$18,F388&lt;=pconfig!$B$19,P388*pconfig!$C$19,F388&lt;=pconfig!$B$20,P388*pconfig!$C$20,F388&lt;=pconfig!$B$21,P388*pconfig!$C$21)</f>
        <v>67.46601208</v>
      </c>
      <c r="R388" s="76">
        <f t="shared" si="2"/>
        <v>854.2233132</v>
      </c>
    </row>
    <row r="389" ht="22.5" hidden="1" customHeight="1">
      <c r="A389" s="78">
        <f t="shared" si="3"/>
        <v>388</v>
      </c>
      <c r="B389" s="79" t="s">
        <v>939</v>
      </c>
      <c r="C389" s="79" t="s">
        <v>59</v>
      </c>
      <c r="D389" s="80" t="s">
        <v>60</v>
      </c>
      <c r="E389" s="79" t="str">
        <f t="shared" si="1"/>
        <v>SOURERADIO</v>
      </c>
      <c r="F389" s="81">
        <v>1.0</v>
      </c>
      <c r="G389" s="79" t="s">
        <v>258</v>
      </c>
      <c r="H389" s="81" t="str">
        <f t="array" ref="H389">XLOOKUP(B389,municipios,regiao!$D$6:$D$150,0)</f>
        <v>SIM</v>
      </c>
      <c r="I389" s="79" t="s">
        <v>258</v>
      </c>
      <c r="J389" s="82" t="s">
        <v>133</v>
      </c>
      <c r="K389" s="83">
        <v>29.29</v>
      </c>
      <c r="L389" s="85">
        <f>K389/(1-pconfig!$G$2-pconfig!$G$3-pconfig!$G$4)</f>
        <v>55.30589124</v>
      </c>
      <c r="M389" s="83">
        <v>138.285</v>
      </c>
      <c r="N389" s="83">
        <f>M389/(1-pconfig!$G$2-pconfig!$G$3-pconfig!$G$4)</f>
        <v>261.1121601</v>
      </c>
      <c r="O389" s="83">
        <f>((K389*F389)+M389)/(1-pconfig!$G$2-pconfig!$G$3-pconfig!$G$4)</f>
        <v>316.4180514</v>
      </c>
      <c r="P389" s="86">
        <f>K389*F389/(1-pconfig!$G$2-pconfig!$G$3-pconfig!$G$4)</f>
        <v>55.30589124</v>
      </c>
      <c r="Q389" s="86">
        <f>IFS(F389&lt;=pconfig!$B$12,P389*pconfig!$C$12,F389&lt;=pconfig!$B$13,P389*pconfig!$C$13,F389&lt;=pconfig!$B$14,P389*pconfig!$C$14,F389&lt;=pconfig!$B$15,P389*pconfig!$C$15,F389&lt;=pconfig!$B$16,P389*pconfig!$C$16,F389&lt;=pconfig!$B$17,P389*pconfig!$C$17,F389&lt;=pconfig!$B$18,P389*pconfig!$C$18,F389&lt;=pconfig!$B$19,P389*pconfig!$C$19,F389&lt;=pconfig!$B$20,P389*pconfig!$C$20,F389&lt;=pconfig!$B$21,P389*pconfig!$C$21)</f>
        <v>55.30589124</v>
      </c>
      <c r="R389" s="87">
        <f t="shared" si="2"/>
        <v>316.4180514</v>
      </c>
    </row>
    <row r="390" ht="22.5" hidden="1" customHeight="1">
      <c r="A390" s="52">
        <f t="shared" si="3"/>
        <v>389</v>
      </c>
      <c r="B390" s="53" t="s">
        <v>939</v>
      </c>
      <c r="C390" s="53" t="s">
        <v>50</v>
      </c>
      <c r="D390" s="56" t="s">
        <v>82</v>
      </c>
      <c r="E390" s="53" t="str">
        <f t="shared" si="1"/>
        <v>SOUREFIBRA</v>
      </c>
      <c r="F390" s="59">
        <v>1.0</v>
      </c>
      <c r="G390" s="53" t="s">
        <v>258</v>
      </c>
      <c r="H390" s="59" t="str">
        <f t="array" ref="H390">XLOOKUP(B390,municipios,regiao!$D$6:$D$150,0)</f>
        <v>SIM</v>
      </c>
      <c r="I390" s="53" t="s">
        <v>258</v>
      </c>
      <c r="J390" s="60" t="s">
        <v>133</v>
      </c>
      <c r="K390" s="61">
        <v>29.29</v>
      </c>
      <c r="L390" s="70">
        <f>K390/(1-pconfig!$G$2-pconfig!$G$3-pconfig!$G$4)</f>
        <v>55.30589124</v>
      </c>
      <c r="M390" s="61">
        <v>519.17</v>
      </c>
      <c r="N390" s="61">
        <f>M390/(1-pconfig!$G$2-pconfig!$G$3-pconfig!$G$4)</f>
        <v>980.3058912</v>
      </c>
      <c r="O390" s="61">
        <f>((K390*F390)+M390)/(1-pconfig!$G$2-pconfig!$G$3-pconfig!$G$4)</f>
        <v>1035.611782</v>
      </c>
      <c r="P390" s="74">
        <f>K390*F390/(1-pconfig!$G$2-pconfig!$G$3-pconfig!$G$4)</f>
        <v>55.30589124</v>
      </c>
      <c r="Q390" s="74">
        <f>IFS(F390&lt;=pconfig!$B$12,P390*pconfig!$C$12,F390&lt;=pconfig!$B$13,P390*pconfig!$C$13,F390&lt;=pconfig!$B$14,P390*pconfig!$C$14,F390&lt;=pconfig!$B$15,P390*pconfig!$C$15,F390&lt;=pconfig!$B$16,P390*pconfig!$C$16,F390&lt;=pconfig!$B$17,P390*pconfig!$C$17,F390&lt;=pconfig!$B$18,P390*pconfig!$C$18,F390&lt;=pconfig!$B$19,P390*pconfig!$C$19,F390&lt;=pconfig!$B$20,P390*pconfig!$C$20,F390&lt;=pconfig!$B$21,P390*pconfig!$C$21)</f>
        <v>55.30589124</v>
      </c>
      <c r="R390" s="76">
        <f t="shared" si="2"/>
        <v>1035.611782</v>
      </c>
    </row>
    <row r="391" ht="22.5" hidden="1" customHeight="1">
      <c r="A391" s="78">
        <f t="shared" si="3"/>
        <v>390</v>
      </c>
      <c r="B391" s="79" t="s">
        <v>939</v>
      </c>
      <c r="C391" s="79" t="s">
        <v>101</v>
      </c>
      <c r="D391" s="80" t="s">
        <v>102</v>
      </c>
      <c r="E391" s="79" t="str">
        <f t="shared" si="1"/>
        <v>SOURESATELITE</v>
      </c>
      <c r="F391" s="81">
        <v>1.0</v>
      </c>
      <c r="G391" s="79" t="s">
        <v>258</v>
      </c>
      <c r="H391" s="81" t="str">
        <f t="array" ref="H391">XLOOKUP(B391,municipios,regiao!$D$6:$D$150,0)</f>
        <v>SIM</v>
      </c>
      <c r="I391" s="79" t="s">
        <v>258</v>
      </c>
      <c r="J391" s="82" t="s">
        <v>106</v>
      </c>
      <c r="K391" s="83">
        <v>4799.0</v>
      </c>
      <c r="L391" s="85">
        <f>K391/(1-pconfig!$G$2-pconfig!$G$3-pconfig!$G$4)</f>
        <v>9061.555891</v>
      </c>
      <c r="M391" s="83">
        <v>519.17</v>
      </c>
      <c r="N391" s="83">
        <f>M391/(1-pconfig!$G$2-pconfig!$G$3-pconfig!$G$4)</f>
        <v>980.3058912</v>
      </c>
      <c r="O391" s="83">
        <f>((K391*F391)+M391)/(1-pconfig!$G$2-pconfig!$G$3-pconfig!$G$4)</f>
        <v>10041.86178</v>
      </c>
      <c r="P391" s="86">
        <f>K391*F391/(1-pconfig!$G$2-pconfig!$G$3-pconfig!$G$4)</f>
        <v>9061.555891</v>
      </c>
      <c r="Q391" s="86">
        <f>IFS(F391&lt;=pconfig!$B$12,P391*pconfig!$C$12,F391&lt;=pconfig!$B$13,P391*pconfig!$C$13,F391&lt;=pconfig!$B$14,P391*pconfig!$C$14,F391&lt;=pconfig!$B$15,P391*pconfig!$C$15,F391&lt;=pconfig!$B$16,P391*pconfig!$C$16,F391&lt;=pconfig!$B$17,P391*pconfig!$C$17,F391&lt;=pconfig!$B$18,P391*pconfig!$C$18,F391&lt;=pconfig!$B$19,P391*pconfig!$C$19,F391&lt;=pconfig!$B$20,P391*pconfig!$C$20,F391&lt;=pconfig!$B$21,P391*pconfig!$C$21)</f>
        <v>9061.555891</v>
      </c>
      <c r="R391" s="87">
        <f t="shared" si="2"/>
        <v>10041.86178</v>
      </c>
    </row>
    <row r="392" ht="22.5" hidden="1" customHeight="1">
      <c r="A392" s="52">
        <f t="shared" si="3"/>
        <v>391</v>
      </c>
      <c r="B392" s="53" t="s">
        <v>395</v>
      </c>
      <c r="C392" s="53" t="s">
        <v>50</v>
      </c>
      <c r="D392" s="56" t="s">
        <v>82</v>
      </c>
      <c r="E392" s="53" t="str">
        <f t="shared" si="1"/>
        <v>TAILANDIAFIBRA</v>
      </c>
      <c r="F392" s="59">
        <v>1.0</v>
      </c>
      <c r="G392" s="53" t="s">
        <v>61</v>
      </c>
      <c r="H392" s="59" t="str">
        <f t="array" ref="H392">XLOOKUP(B392,municipios,regiao!$D$6:$D$150,0)</f>
        <v>SIM</v>
      </c>
      <c r="I392" s="53" t="s">
        <v>63</v>
      </c>
      <c r="J392" s="60" t="s">
        <v>64</v>
      </c>
      <c r="K392" s="61">
        <v>15.65</v>
      </c>
      <c r="L392" s="70">
        <f>K392/(1-pconfig!$G$2-pconfig!$G$3-pconfig!$G$4)</f>
        <v>29.55060423</v>
      </c>
      <c r="M392" s="61">
        <v>314.77</v>
      </c>
      <c r="N392" s="61">
        <f>M392/(1-pconfig!$G$2-pconfig!$G$3-pconfig!$G$4)</f>
        <v>594.3542296</v>
      </c>
      <c r="O392" s="61">
        <f>((K392*F392)+M392)/(1-pconfig!$G$2-pconfig!$G$3-pconfig!$G$4)</f>
        <v>623.9048338</v>
      </c>
      <c r="P392" s="74">
        <f>K392*F392/(1-pconfig!$G$2-pconfig!$G$3-pconfig!$G$4)</f>
        <v>29.55060423</v>
      </c>
      <c r="Q392" s="74">
        <f>IFS(F392&lt;=pconfig!$B$12,P392*pconfig!$C$12,F392&lt;=pconfig!$B$13,P392*pconfig!$C$13,F392&lt;=pconfig!$B$14,P392*pconfig!$C$14,F392&lt;=pconfig!$B$15,P392*pconfig!$C$15,F392&lt;=pconfig!$B$16,P392*pconfig!$C$16,F392&lt;=pconfig!$B$17,P392*pconfig!$C$17,F392&lt;=pconfig!$B$18,P392*pconfig!$C$18,F392&lt;=pconfig!$B$19,P392*pconfig!$C$19,F392&lt;=pconfig!$B$20,P392*pconfig!$C$20,F392&lt;=pconfig!$B$21,P392*pconfig!$C$21)</f>
        <v>29.55060423</v>
      </c>
      <c r="R392" s="76">
        <f t="shared" si="2"/>
        <v>623.9048338</v>
      </c>
    </row>
    <row r="393" ht="22.5" hidden="1" customHeight="1">
      <c r="A393" s="78">
        <f t="shared" si="3"/>
        <v>392</v>
      </c>
      <c r="B393" s="79" t="s">
        <v>395</v>
      </c>
      <c r="C393" s="79" t="s">
        <v>101</v>
      </c>
      <c r="D393" s="80" t="s">
        <v>102</v>
      </c>
      <c r="E393" s="79" t="str">
        <f t="shared" si="1"/>
        <v>TAILANDIASATELITE</v>
      </c>
      <c r="F393" s="81">
        <v>1.0</v>
      </c>
      <c r="G393" s="79" t="s">
        <v>61</v>
      </c>
      <c r="H393" s="81" t="str">
        <f t="array" ref="H393">XLOOKUP(B393,municipios,regiao!$D$6:$D$150,0)</f>
        <v>SIM</v>
      </c>
      <c r="I393" s="79" t="s">
        <v>63</v>
      </c>
      <c r="J393" s="82" t="s">
        <v>106</v>
      </c>
      <c r="K393" s="83">
        <v>4799.0</v>
      </c>
      <c r="L393" s="85">
        <f>K393/(1-pconfig!$G$2-pconfig!$G$3-pconfig!$G$4)</f>
        <v>9061.555891</v>
      </c>
      <c r="M393" s="83">
        <v>314.77</v>
      </c>
      <c r="N393" s="83">
        <f>M393/(1-pconfig!$G$2-pconfig!$G$3-pconfig!$G$4)</f>
        <v>594.3542296</v>
      </c>
      <c r="O393" s="83">
        <f>((K393*F393)+M393)/(1-pconfig!$G$2-pconfig!$G$3-pconfig!$G$4)</f>
        <v>9655.910121</v>
      </c>
      <c r="P393" s="86">
        <f>K393*F393/(1-pconfig!$G$2-pconfig!$G$3-pconfig!$G$4)</f>
        <v>9061.555891</v>
      </c>
      <c r="Q393" s="86">
        <f>IFS(F393&lt;=pconfig!$B$12,P393*pconfig!$C$12,F393&lt;=pconfig!$B$13,P393*pconfig!$C$13,F393&lt;=pconfig!$B$14,P393*pconfig!$C$14,F393&lt;=pconfig!$B$15,P393*pconfig!$C$15,F393&lt;=pconfig!$B$16,P393*pconfig!$C$16,F393&lt;=pconfig!$B$17,P393*pconfig!$C$17,F393&lt;=pconfig!$B$18,P393*pconfig!$C$18,F393&lt;=pconfig!$B$19,P393*pconfig!$C$19,F393&lt;=pconfig!$B$20,P393*pconfig!$C$20,F393&lt;=pconfig!$B$21,P393*pconfig!$C$21)</f>
        <v>9061.555891</v>
      </c>
      <c r="R393" s="87">
        <f t="shared" si="2"/>
        <v>9655.910121</v>
      </c>
    </row>
    <row r="394" ht="22.5" hidden="1" customHeight="1">
      <c r="A394" s="52">
        <f t="shared" si="3"/>
        <v>393</v>
      </c>
      <c r="B394" s="53" t="s">
        <v>395</v>
      </c>
      <c r="C394" s="53" t="s">
        <v>59</v>
      </c>
      <c r="D394" s="56" t="s">
        <v>60</v>
      </c>
      <c r="E394" s="53" t="str">
        <f t="shared" si="1"/>
        <v>TAILANDIARADIO</v>
      </c>
      <c r="F394" s="59">
        <v>1.0</v>
      </c>
      <c r="G394" s="53" t="s">
        <v>61</v>
      </c>
      <c r="H394" s="59" t="str">
        <f t="array" ref="H394">XLOOKUP(B394,municipios,regiao!$D$6:$D$150,0)</f>
        <v>SIM</v>
      </c>
      <c r="I394" s="53" t="s">
        <v>63</v>
      </c>
      <c r="J394" s="60" t="s">
        <v>64</v>
      </c>
      <c r="K394" s="61">
        <v>15.65</v>
      </c>
      <c r="L394" s="70">
        <f>K394/(1-pconfig!$G$2-pconfig!$G$3-pconfig!$G$4)</f>
        <v>29.55060423</v>
      </c>
      <c r="M394" s="61">
        <v>333.333333333333</v>
      </c>
      <c r="N394" s="61">
        <f>M394/(1-pconfig!$G$2-pconfig!$G$3-pconfig!$G$4)</f>
        <v>629.4058409</v>
      </c>
      <c r="O394" s="61">
        <f>((K394*F394)+M394)/(1-pconfig!$G$2-pconfig!$G$3-pconfig!$G$4)</f>
        <v>658.9564451</v>
      </c>
      <c r="P394" s="74">
        <f>K394*F394/(1-pconfig!$G$2-pconfig!$G$3-pconfig!$G$4)</f>
        <v>29.55060423</v>
      </c>
      <c r="Q394" s="74">
        <f>IFS(F394&lt;=pconfig!$B$12,P394*pconfig!$C$12,F394&lt;=pconfig!$B$13,P394*pconfig!$C$13,F394&lt;=pconfig!$B$14,P394*pconfig!$C$14,F394&lt;=pconfig!$B$15,P394*pconfig!$C$15,F394&lt;=pconfig!$B$16,P394*pconfig!$C$16,F394&lt;=pconfig!$B$17,P394*pconfig!$C$17,F394&lt;=pconfig!$B$18,P394*pconfig!$C$18,F394&lt;=pconfig!$B$19,P394*pconfig!$C$19,F394&lt;=pconfig!$B$20,P394*pconfig!$C$20,F394&lt;=pconfig!$B$21,P394*pconfig!$C$21)</f>
        <v>29.55060423</v>
      </c>
      <c r="R394" s="76">
        <f t="shared" si="2"/>
        <v>658.9564451</v>
      </c>
    </row>
    <row r="395" ht="22.5" hidden="1" customHeight="1">
      <c r="A395" s="78">
        <f t="shared" si="3"/>
        <v>394</v>
      </c>
      <c r="B395" s="79" t="s">
        <v>940</v>
      </c>
      <c r="C395" s="79" t="s">
        <v>50</v>
      </c>
      <c r="D395" s="80" t="s">
        <v>82</v>
      </c>
      <c r="E395" s="79" t="str">
        <f t="shared" si="1"/>
        <v>TERRA ALTAFIBRA</v>
      </c>
      <c r="F395" s="81">
        <v>1.0</v>
      </c>
      <c r="G395" s="79" t="s">
        <v>61</v>
      </c>
      <c r="H395" s="81" t="str">
        <f t="array" ref="H395">XLOOKUP(B395,municipios,regiao!$D$6:$D$150,0)</f>
        <v>SIM</v>
      </c>
      <c r="I395" s="79" t="s">
        <v>798</v>
      </c>
      <c r="J395" s="82" t="s">
        <v>337</v>
      </c>
      <c r="K395" s="83">
        <v>17.84</v>
      </c>
      <c r="L395" s="85">
        <f>K395/(1-pconfig!$G$2-pconfig!$G$3-pconfig!$G$4)</f>
        <v>33.6858006</v>
      </c>
      <c r="M395" s="83">
        <v>70.72</v>
      </c>
      <c r="N395" s="83">
        <f>M395/(1-pconfig!$G$2-pconfig!$G$3-pconfig!$G$4)</f>
        <v>133.5347432</v>
      </c>
      <c r="O395" s="83">
        <f>((K395*F395)+M395)/(1-pconfig!$G$2-pconfig!$G$3-pconfig!$G$4)</f>
        <v>167.2205438</v>
      </c>
      <c r="P395" s="86">
        <f>K395*F395/(1-pconfig!$G$2-pconfig!$G$3-pconfig!$G$4)</f>
        <v>33.6858006</v>
      </c>
      <c r="Q395" s="86">
        <f>IFS(F395&lt;=pconfig!$B$12,P395*pconfig!$C$12,F395&lt;=pconfig!$B$13,P395*pconfig!$C$13,F395&lt;=pconfig!$B$14,P395*pconfig!$C$14,F395&lt;=pconfig!$B$15,P395*pconfig!$C$15,F395&lt;=pconfig!$B$16,P395*pconfig!$C$16,F395&lt;=pconfig!$B$17,P395*pconfig!$C$17,F395&lt;=pconfig!$B$18,P395*pconfig!$C$18,F395&lt;=pconfig!$B$19,P395*pconfig!$C$19,F395&lt;=pconfig!$B$20,P395*pconfig!$C$20,F395&lt;=pconfig!$B$21,P395*pconfig!$C$21)</f>
        <v>33.6858006</v>
      </c>
      <c r="R395" s="87">
        <f t="shared" si="2"/>
        <v>167.2205438</v>
      </c>
    </row>
    <row r="396" ht="22.5" hidden="1" customHeight="1">
      <c r="A396" s="52">
        <f t="shared" si="3"/>
        <v>395</v>
      </c>
      <c r="B396" s="53" t="s">
        <v>940</v>
      </c>
      <c r="C396" s="53" t="s">
        <v>101</v>
      </c>
      <c r="D396" s="56" t="s">
        <v>102</v>
      </c>
      <c r="E396" s="53" t="str">
        <f t="shared" si="1"/>
        <v>TERRA ALTASATELITE</v>
      </c>
      <c r="F396" s="59">
        <v>1.0</v>
      </c>
      <c r="G396" s="53" t="s">
        <v>61</v>
      </c>
      <c r="H396" s="59" t="str">
        <f t="array" ref="H396">XLOOKUP(B396,municipios,regiao!$D$6:$D$150,0)</f>
        <v>SIM</v>
      </c>
      <c r="I396" s="53" t="s">
        <v>798</v>
      </c>
      <c r="J396" s="60" t="s">
        <v>106</v>
      </c>
      <c r="K396" s="61">
        <v>4799.0</v>
      </c>
      <c r="L396" s="70">
        <f>K396/(1-pconfig!$G$2-pconfig!$G$3-pconfig!$G$4)</f>
        <v>9061.555891</v>
      </c>
      <c r="M396" s="61">
        <v>70.72</v>
      </c>
      <c r="N396" s="61">
        <f>M396/(1-pconfig!$G$2-pconfig!$G$3-pconfig!$G$4)</f>
        <v>133.5347432</v>
      </c>
      <c r="O396" s="61">
        <f>((K396*F396)+M396)/(1-pconfig!$G$2-pconfig!$G$3-pconfig!$G$4)</f>
        <v>9195.090634</v>
      </c>
      <c r="P396" s="74">
        <f>K396*F396/(1-pconfig!$G$2-pconfig!$G$3-pconfig!$G$4)</f>
        <v>9061.555891</v>
      </c>
      <c r="Q396" s="74">
        <f>IFS(F396&lt;=pconfig!$B$12,P396*pconfig!$C$12,F396&lt;=pconfig!$B$13,P396*pconfig!$C$13,F396&lt;=pconfig!$B$14,P396*pconfig!$C$14,F396&lt;=pconfig!$B$15,P396*pconfig!$C$15,F396&lt;=pconfig!$B$16,P396*pconfig!$C$16,F396&lt;=pconfig!$B$17,P396*pconfig!$C$17,F396&lt;=pconfig!$B$18,P396*pconfig!$C$18,F396&lt;=pconfig!$B$19,P396*pconfig!$C$19,F396&lt;=pconfig!$B$20,P396*pconfig!$C$20,F396&lt;=pconfig!$B$21,P396*pconfig!$C$21)</f>
        <v>9061.555891</v>
      </c>
      <c r="R396" s="76">
        <f t="shared" si="2"/>
        <v>9195.090634</v>
      </c>
    </row>
    <row r="397" ht="22.5" hidden="1" customHeight="1">
      <c r="A397" s="78">
        <f t="shared" si="3"/>
        <v>396</v>
      </c>
      <c r="B397" s="79" t="s">
        <v>940</v>
      </c>
      <c r="C397" s="79" t="s">
        <v>59</v>
      </c>
      <c r="D397" s="80" t="s">
        <v>60</v>
      </c>
      <c r="E397" s="79" t="str">
        <f t="shared" si="1"/>
        <v>TERRA ALTARADIO</v>
      </c>
      <c r="F397" s="81">
        <v>1.0</v>
      </c>
      <c r="G397" s="79" t="s">
        <v>61</v>
      </c>
      <c r="H397" s="81" t="str">
        <f t="array" ref="H397">XLOOKUP(B397,municipios,regiao!$D$6:$D$150,0)</f>
        <v>SIM</v>
      </c>
      <c r="I397" s="79" t="s">
        <v>798</v>
      </c>
      <c r="J397" s="82" t="s">
        <v>337</v>
      </c>
      <c r="K397" s="83">
        <v>17.84</v>
      </c>
      <c r="L397" s="85">
        <f>K397/(1-pconfig!$G$2-pconfig!$G$3-pconfig!$G$4)</f>
        <v>33.6858006</v>
      </c>
      <c r="M397" s="83">
        <v>137.604166666667</v>
      </c>
      <c r="N397" s="83">
        <f>M397/(1-pconfig!$G$2-pconfig!$G$3-pconfig!$G$4)</f>
        <v>259.8265987</v>
      </c>
      <c r="O397" s="83">
        <f>((K397*F397)+M397)/(1-pconfig!$G$2-pconfig!$G$3-pconfig!$G$4)</f>
        <v>293.5123993</v>
      </c>
      <c r="P397" s="86">
        <f>K397*F397/(1-pconfig!$G$2-pconfig!$G$3-pconfig!$G$4)</f>
        <v>33.6858006</v>
      </c>
      <c r="Q397" s="86">
        <f>IFS(F397&lt;=pconfig!$B$12,P397*pconfig!$C$12,F397&lt;=pconfig!$B$13,P397*pconfig!$C$13,F397&lt;=pconfig!$B$14,P397*pconfig!$C$14,F397&lt;=pconfig!$B$15,P397*pconfig!$C$15,F397&lt;=pconfig!$B$16,P397*pconfig!$C$16,F397&lt;=pconfig!$B$17,P397*pconfig!$C$17,F397&lt;=pconfig!$B$18,P397*pconfig!$C$18,F397&lt;=pconfig!$B$19,P397*pconfig!$C$19,F397&lt;=pconfig!$B$20,P397*pconfig!$C$20,F397&lt;=pconfig!$B$21,P397*pconfig!$C$21)</f>
        <v>33.6858006</v>
      </c>
      <c r="R397" s="87">
        <f t="shared" si="2"/>
        <v>293.5123993</v>
      </c>
    </row>
    <row r="398" ht="22.5" hidden="1" customHeight="1">
      <c r="A398" s="52">
        <f t="shared" si="3"/>
        <v>397</v>
      </c>
      <c r="B398" s="53" t="s">
        <v>941</v>
      </c>
      <c r="C398" s="53" t="s">
        <v>50</v>
      </c>
      <c r="D398" s="56" t="s">
        <v>82</v>
      </c>
      <c r="E398" s="53" t="str">
        <f t="shared" si="1"/>
        <v>TERRA SANTAFIBRA</v>
      </c>
      <c r="F398" s="59">
        <v>1.0</v>
      </c>
      <c r="G398" s="53" t="s">
        <v>297</v>
      </c>
      <c r="H398" s="59" t="str">
        <f t="array" ref="H398">XLOOKUP(B398,municipios,regiao!$D$6:$D$150,0)</f>
        <v>SIM</v>
      </c>
      <c r="I398" s="53" t="s">
        <v>297</v>
      </c>
      <c r="J398" s="60" t="s">
        <v>133</v>
      </c>
      <c r="K398" s="61">
        <v>29.29</v>
      </c>
      <c r="L398" s="70">
        <f>K398/(1-pconfig!$G$2-pconfig!$G$3-pconfig!$G$4)</f>
        <v>55.30589124</v>
      </c>
      <c r="M398" s="61">
        <v>133.3</v>
      </c>
      <c r="N398" s="61">
        <f>M398/(1-pconfig!$G$2-pconfig!$G$3-pconfig!$G$4)</f>
        <v>251.6993958</v>
      </c>
      <c r="O398" s="61">
        <f>((K398*F398)+M398)/(1-pconfig!$G$2-pconfig!$G$3-pconfig!$G$4)</f>
        <v>307.005287</v>
      </c>
      <c r="P398" s="74">
        <f>K398*F398/(1-pconfig!$G$2-pconfig!$G$3-pconfig!$G$4)</f>
        <v>55.30589124</v>
      </c>
      <c r="Q398" s="74">
        <f>IFS(F398&lt;=pconfig!$B$12,P398*pconfig!$C$12,F398&lt;=pconfig!$B$13,P398*pconfig!$C$13,F398&lt;=pconfig!$B$14,P398*pconfig!$C$14,F398&lt;=pconfig!$B$15,P398*pconfig!$C$15,F398&lt;=pconfig!$B$16,P398*pconfig!$C$16,F398&lt;=pconfig!$B$17,P398*pconfig!$C$17,F398&lt;=pconfig!$B$18,P398*pconfig!$C$18,F398&lt;=pconfig!$B$19,P398*pconfig!$C$19,F398&lt;=pconfig!$B$20,P398*pconfig!$C$20,F398&lt;=pconfig!$B$21,P398*pconfig!$C$21)</f>
        <v>55.30589124</v>
      </c>
      <c r="R398" s="76">
        <f t="shared" si="2"/>
        <v>307.005287</v>
      </c>
    </row>
    <row r="399" ht="22.5" hidden="1" customHeight="1">
      <c r="A399" s="78">
        <f t="shared" si="3"/>
        <v>398</v>
      </c>
      <c r="B399" s="79" t="s">
        <v>941</v>
      </c>
      <c r="C399" s="79" t="s">
        <v>101</v>
      </c>
      <c r="D399" s="80" t="s">
        <v>102</v>
      </c>
      <c r="E399" s="79" t="str">
        <f t="shared" si="1"/>
        <v>TERRA SANTASATELITE</v>
      </c>
      <c r="F399" s="81">
        <v>1.0</v>
      </c>
      <c r="G399" s="79" t="s">
        <v>297</v>
      </c>
      <c r="H399" s="81" t="str">
        <f t="array" ref="H399">XLOOKUP(B399,municipios,regiao!$D$6:$D$150,0)</f>
        <v>SIM</v>
      </c>
      <c r="I399" s="79" t="s">
        <v>297</v>
      </c>
      <c r="J399" s="82" t="s">
        <v>106</v>
      </c>
      <c r="K399" s="83">
        <v>4799.0</v>
      </c>
      <c r="L399" s="85">
        <f>K399/(1-pconfig!$G$2-pconfig!$G$3-pconfig!$G$4)</f>
        <v>9061.555891</v>
      </c>
      <c r="M399" s="83">
        <v>133.3</v>
      </c>
      <c r="N399" s="83">
        <f>M399/(1-pconfig!$G$2-pconfig!$G$3-pconfig!$G$4)</f>
        <v>251.6993958</v>
      </c>
      <c r="O399" s="83">
        <f>((K399*F399)+M399)/(1-pconfig!$G$2-pconfig!$G$3-pconfig!$G$4)</f>
        <v>9313.255287</v>
      </c>
      <c r="P399" s="86">
        <f>K399*F399/(1-pconfig!$G$2-pconfig!$G$3-pconfig!$G$4)</f>
        <v>9061.555891</v>
      </c>
      <c r="Q399" s="86">
        <f>IFS(F399&lt;=pconfig!$B$12,P399*pconfig!$C$12,F399&lt;=pconfig!$B$13,P399*pconfig!$C$13,F399&lt;=pconfig!$B$14,P399*pconfig!$C$14,F399&lt;=pconfig!$B$15,P399*pconfig!$C$15,F399&lt;=pconfig!$B$16,P399*pconfig!$C$16,F399&lt;=pconfig!$B$17,P399*pconfig!$C$17,F399&lt;=pconfig!$B$18,P399*pconfig!$C$18,F399&lt;=pconfig!$B$19,P399*pconfig!$C$19,F399&lt;=pconfig!$B$20,P399*pconfig!$C$20,F399&lt;=pconfig!$B$21,P399*pconfig!$C$21)</f>
        <v>9061.555891</v>
      </c>
      <c r="R399" s="87">
        <f t="shared" si="2"/>
        <v>9313.255287</v>
      </c>
    </row>
    <row r="400" ht="22.5" hidden="1" customHeight="1">
      <c r="A400" s="52">
        <f t="shared" si="3"/>
        <v>399</v>
      </c>
      <c r="B400" s="53" t="s">
        <v>941</v>
      </c>
      <c r="C400" s="53" t="s">
        <v>59</v>
      </c>
      <c r="D400" s="56" t="s">
        <v>60</v>
      </c>
      <c r="E400" s="53" t="str">
        <f t="shared" si="1"/>
        <v>TERRA SANTARADIO</v>
      </c>
      <c r="F400" s="59">
        <v>1.0</v>
      </c>
      <c r="G400" s="53" t="s">
        <v>297</v>
      </c>
      <c r="H400" s="59" t="str">
        <f t="array" ref="H400">XLOOKUP(B400,municipios,regiao!$D$6:$D$150,0)</f>
        <v>SIM</v>
      </c>
      <c r="I400" s="53" t="s">
        <v>297</v>
      </c>
      <c r="J400" s="60" t="s">
        <v>133</v>
      </c>
      <c r="K400" s="61">
        <v>29.29</v>
      </c>
      <c r="L400" s="70">
        <f>K400/(1-pconfig!$G$2-pconfig!$G$3-pconfig!$G$4)</f>
        <v>55.30589124</v>
      </c>
      <c r="M400" s="61">
        <v>166.666666666667</v>
      </c>
      <c r="N400" s="61">
        <f>M400/(1-pconfig!$G$2-pconfig!$G$3-pconfig!$G$4)</f>
        <v>314.7029204</v>
      </c>
      <c r="O400" s="61">
        <f>((K400*F400)+M400)/(1-pconfig!$G$2-pconfig!$G$3-pconfig!$G$4)</f>
        <v>370.0088117</v>
      </c>
      <c r="P400" s="74">
        <f>K400*F400/(1-pconfig!$G$2-pconfig!$G$3-pconfig!$G$4)</f>
        <v>55.30589124</v>
      </c>
      <c r="Q400" s="74">
        <f>IFS(F400&lt;=pconfig!$B$12,P400*pconfig!$C$12,F400&lt;=pconfig!$B$13,P400*pconfig!$C$13,F400&lt;=pconfig!$B$14,P400*pconfig!$C$14,F400&lt;=pconfig!$B$15,P400*pconfig!$C$15,F400&lt;=pconfig!$B$16,P400*pconfig!$C$16,F400&lt;=pconfig!$B$17,P400*pconfig!$C$17,F400&lt;=pconfig!$B$18,P400*pconfig!$C$18,F400&lt;=pconfig!$B$19,P400*pconfig!$C$19,F400&lt;=pconfig!$B$20,P400*pconfig!$C$20,F400&lt;=pconfig!$B$21,P400*pconfig!$C$21)</f>
        <v>55.30589124</v>
      </c>
      <c r="R400" s="76">
        <f t="shared" si="2"/>
        <v>370.0088117</v>
      </c>
    </row>
    <row r="401" ht="22.5" hidden="1" customHeight="1">
      <c r="A401" s="78">
        <f t="shared" si="3"/>
        <v>400</v>
      </c>
      <c r="B401" s="79" t="s">
        <v>962</v>
      </c>
      <c r="C401" s="79" t="s">
        <v>50</v>
      </c>
      <c r="D401" s="80" t="s">
        <v>82</v>
      </c>
      <c r="E401" s="79" t="str">
        <f t="shared" si="1"/>
        <v>TOME-AÇUFIBRA</v>
      </c>
      <c r="F401" s="81">
        <v>1.0</v>
      </c>
      <c r="G401" s="79" t="s">
        <v>61</v>
      </c>
      <c r="H401" s="81">
        <f t="array" ref="H401">XLOOKUP(B401,municipios,regiao!$D$6:$D$150,0)</f>
        <v>0</v>
      </c>
      <c r="I401" s="79" t="s">
        <v>132</v>
      </c>
      <c r="J401" s="82" t="s">
        <v>235</v>
      </c>
      <c r="K401" s="83">
        <v>20.69</v>
      </c>
      <c r="L401" s="85">
        <f>K401/(1-pconfig!$G$2-pconfig!$G$3-pconfig!$G$4)</f>
        <v>39.06722054</v>
      </c>
      <c r="M401" s="83">
        <v>63.39</v>
      </c>
      <c r="N401" s="83">
        <f>M401/(1-pconfig!$G$2-pconfig!$G$3-pconfig!$G$4)</f>
        <v>119.6941088</v>
      </c>
      <c r="O401" s="83">
        <f>((K401*F401)+M401)/(1-pconfig!$G$2-pconfig!$G$3-pconfig!$G$4)</f>
        <v>158.7613293</v>
      </c>
      <c r="P401" s="86">
        <f>K401*F401/(1-pconfig!$G$2-pconfig!$G$3-pconfig!$G$4)</f>
        <v>39.06722054</v>
      </c>
      <c r="Q401" s="86">
        <f>IFS(F401&lt;=pconfig!$B$12,P401*pconfig!$C$12,F401&lt;=pconfig!$B$13,P401*pconfig!$C$13,F401&lt;=pconfig!$B$14,P401*pconfig!$C$14,F401&lt;=pconfig!$B$15,P401*pconfig!$C$15,F401&lt;=pconfig!$B$16,P401*pconfig!$C$16,F401&lt;=pconfig!$B$17,P401*pconfig!$C$17,F401&lt;=pconfig!$B$18,P401*pconfig!$C$18,F401&lt;=pconfig!$B$19,P401*pconfig!$C$19,F401&lt;=pconfig!$B$20,P401*pconfig!$C$20,F401&lt;=pconfig!$B$21,P401*pconfig!$C$21)</f>
        <v>39.06722054</v>
      </c>
      <c r="R401" s="87">
        <f t="shared" si="2"/>
        <v>158.7613293</v>
      </c>
    </row>
    <row r="402" ht="22.5" hidden="1" customHeight="1">
      <c r="A402" s="52">
        <f t="shared" si="3"/>
        <v>401</v>
      </c>
      <c r="B402" s="53" t="s">
        <v>962</v>
      </c>
      <c r="C402" s="53" t="s">
        <v>101</v>
      </c>
      <c r="D402" s="56" t="s">
        <v>102</v>
      </c>
      <c r="E402" s="53" t="str">
        <f t="shared" si="1"/>
        <v>TOME-AÇUSATELITE</v>
      </c>
      <c r="F402" s="59">
        <v>1.0</v>
      </c>
      <c r="G402" s="53" t="s">
        <v>61</v>
      </c>
      <c r="H402" s="59">
        <f t="array" ref="H402">XLOOKUP(B402,municipios,regiao!$D$6:$D$150,0)</f>
        <v>0</v>
      </c>
      <c r="I402" s="53" t="s">
        <v>132</v>
      </c>
      <c r="J402" s="60" t="s">
        <v>106</v>
      </c>
      <c r="K402" s="61">
        <v>4799.0</v>
      </c>
      <c r="L402" s="70">
        <f>K402/(1-pconfig!$G$2-pconfig!$G$3-pconfig!$G$4)</f>
        <v>9061.555891</v>
      </c>
      <c r="M402" s="61">
        <v>63.39</v>
      </c>
      <c r="N402" s="61">
        <f>M402/(1-pconfig!$G$2-pconfig!$G$3-pconfig!$G$4)</f>
        <v>119.6941088</v>
      </c>
      <c r="O402" s="61">
        <f>((K402*F402)+M402)/(1-pconfig!$G$2-pconfig!$G$3-pconfig!$G$4)</f>
        <v>9181.25</v>
      </c>
      <c r="P402" s="74">
        <f>K402*F402/(1-pconfig!$G$2-pconfig!$G$3-pconfig!$G$4)</f>
        <v>9061.555891</v>
      </c>
      <c r="Q402" s="74">
        <f>IFS(F402&lt;=pconfig!$B$12,P402*pconfig!$C$12,F402&lt;=pconfig!$B$13,P402*pconfig!$C$13,F402&lt;=pconfig!$B$14,P402*pconfig!$C$14,F402&lt;=pconfig!$B$15,P402*pconfig!$C$15,F402&lt;=pconfig!$B$16,P402*pconfig!$C$16,F402&lt;=pconfig!$B$17,P402*pconfig!$C$17,F402&lt;=pconfig!$B$18,P402*pconfig!$C$18,F402&lt;=pconfig!$B$19,P402*pconfig!$C$19,F402&lt;=pconfig!$B$20,P402*pconfig!$C$20,F402&lt;=pconfig!$B$21,P402*pconfig!$C$21)</f>
        <v>9061.555891</v>
      </c>
      <c r="R402" s="76">
        <f t="shared" si="2"/>
        <v>9181.25</v>
      </c>
    </row>
    <row r="403" ht="22.5" hidden="1" customHeight="1">
      <c r="A403" s="78">
        <f t="shared" si="3"/>
        <v>402</v>
      </c>
      <c r="B403" s="79" t="s">
        <v>962</v>
      </c>
      <c r="C403" s="79" t="s">
        <v>59</v>
      </c>
      <c r="D403" s="80" t="s">
        <v>60</v>
      </c>
      <c r="E403" s="79" t="str">
        <f t="shared" si="1"/>
        <v>TOME-AÇURADIO</v>
      </c>
      <c r="F403" s="81">
        <v>1.0</v>
      </c>
      <c r="G403" s="79" t="s">
        <v>61</v>
      </c>
      <c r="H403" s="81">
        <f t="array" ref="H403">XLOOKUP(B403,municipios,regiao!$D$6:$D$150,0)</f>
        <v>0</v>
      </c>
      <c r="I403" s="79" t="s">
        <v>132</v>
      </c>
      <c r="J403" s="82" t="s">
        <v>235</v>
      </c>
      <c r="K403" s="83">
        <v>20.69</v>
      </c>
      <c r="L403" s="85">
        <f>K403/(1-pconfig!$G$2-pconfig!$G$3-pconfig!$G$4)</f>
        <v>39.06722054</v>
      </c>
      <c r="M403" s="83">
        <v>333.333333333333</v>
      </c>
      <c r="N403" s="83">
        <f>M403/(1-pconfig!$G$2-pconfig!$G$3-pconfig!$G$4)</f>
        <v>629.4058409</v>
      </c>
      <c r="O403" s="83">
        <f>((K403*F403)+M403)/(1-pconfig!$G$2-pconfig!$G$3-pconfig!$G$4)</f>
        <v>668.4730614</v>
      </c>
      <c r="P403" s="86">
        <f>K403*F403/(1-pconfig!$G$2-pconfig!$G$3-pconfig!$G$4)</f>
        <v>39.06722054</v>
      </c>
      <c r="Q403" s="86">
        <f>IFS(F403&lt;=pconfig!$B$12,P403*pconfig!$C$12,F403&lt;=pconfig!$B$13,P403*pconfig!$C$13,F403&lt;=pconfig!$B$14,P403*pconfig!$C$14,F403&lt;=pconfig!$B$15,P403*pconfig!$C$15,F403&lt;=pconfig!$B$16,P403*pconfig!$C$16,F403&lt;=pconfig!$B$17,P403*pconfig!$C$17,F403&lt;=pconfig!$B$18,P403*pconfig!$C$18,F403&lt;=pconfig!$B$19,P403*pconfig!$C$19,F403&lt;=pconfig!$B$20,P403*pconfig!$C$20,F403&lt;=pconfig!$B$21,P403*pconfig!$C$21)</f>
        <v>39.06722054</v>
      </c>
      <c r="R403" s="87">
        <f t="shared" si="2"/>
        <v>668.4730614</v>
      </c>
    </row>
    <row r="404" ht="22.5" hidden="1" customHeight="1">
      <c r="A404" s="52">
        <f t="shared" si="3"/>
        <v>403</v>
      </c>
      <c r="B404" s="53" t="s">
        <v>943</v>
      </c>
      <c r="C404" s="53" t="s">
        <v>59</v>
      </c>
      <c r="D404" s="56" t="s">
        <v>60</v>
      </c>
      <c r="E404" s="53" t="str">
        <f t="shared" si="1"/>
        <v>TRACUATEUARADIO</v>
      </c>
      <c r="F404" s="59">
        <v>1.0</v>
      </c>
      <c r="G404" s="53" t="s">
        <v>61</v>
      </c>
      <c r="H404" s="59" t="str">
        <f t="array" ref="H404">XLOOKUP(B404,municipios,regiao!$D$6:$D$150,0)</f>
        <v>SIM</v>
      </c>
      <c r="I404" s="53" t="s">
        <v>496</v>
      </c>
      <c r="J404" s="60" t="s">
        <v>337</v>
      </c>
      <c r="K404" s="61">
        <v>17.84</v>
      </c>
      <c r="L404" s="70">
        <f>K404/(1-pconfig!$G$2-pconfig!$G$3-pconfig!$G$4)</f>
        <v>33.6858006</v>
      </c>
      <c r="M404" s="61">
        <v>137.604166666667</v>
      </c>
      <c r="N404" s="61">
        <f>M404/(1-pconfig!$G$2-pconfig!$G$3-pconfig!$G$4)</f>
        <v>259.8265987</v>
      </c>
      <c r="O404" s="61">
        <f>((K404*F404)+M404)/(1-pconfig!$G$2-pconfig!$G$3-pconfig!$G$4)</f>
        <v>293.5123993</v>
      </c>
      <c r="P404" s="74">
        <f>K404*F404/(1-pconfig!$G$2-pconfig!$G$3-pconfig!$G$4)</f>
        <v>33.6858006</v>
      </c>
      <c r="Q404" s="74">
        <f>IFS(F404&lt;=pconfig!$B$12,P404*pconfig!$C$12,F404&lt;=pconfig!$B$13,P404*pconfig!$C$13,F404&lt;=pconfig!$B$14,P404*pconfig!$C$14,F404&lt;=pconfig!$B$15,P404*pconfig!$C$15,F404&lt;=pconfig!$B$16,P404*pconfig!$C$16,F404&lt;=pconfig!$B$17,P404*pconfig!$C$17,F404&lt;=pconfig!$B$18,P404*pconfig!$C$18,F404&lt;=pconfig!$B$19,P404*pconfig!$C$19,F404&lt;=pconfig!$B$20,P404*pconfig!$C$20,F404&lt;=pconfig!$B$21,P404*pconfig!$C$21)</f>
        <v>33.6858006</v>
      </c>
      <c r="R404" s="76">
        <f t="shared" si="2"/>
        <v>293.5123993</v>
      </c>
    </row>
    <row r="405" ht="22.5" hidden="1" customHeight="1">
      <c r="A405" s="78">
        <f t="shared" si="3"/>
        <v>404</v>
      </c>
      <c r="B405" s="79" t="s">
        <v>943</v>
      </c>
      <c r="C405" s="79" t="s">
        <v>50</v>
      </c>
      <c r="D405" s="80" t="s">
        <v>82</v>
      </c>
      <c r="E405" s="79" t="str">
        <f t="shared" si="1"/>
        <v>TRACUATEUAFIBRA</v>
      </c>
      <c r="F405" s="81">
        <v>1.0</v>
      </c>
      <c r="G405" s="79" t="s">
        <v>61</v>
      </c>
      <c r="H405" s="81" t="str">
        <f t="array" ref="H405">XLOOKUP(B405,municipios,regiao!$D$6:$D$150,0)</f>
        <v>SIM</v>
      </c>
      <c r="I405" s="79" t="s">
        <v>496</v>
      </c>
      <c r="J405" s="82" t="s">
        <v>337</v>
      </c>
      <c r="K405" s="83">
        <v>17.84</v>
      </c>
      <c r="L405" s="85">
        <f>K405/(1-pconfig!$G$2-pconfig!$G$3-pconfig!$G$4)</f>
        <v>33.6858006</v>
      </c>
      <c r="M405" s="83">
        <v>406.12</v>
      </c>
      <c r="N405" s="83">
        <f>M405/(1-pconfig!$G$2-pconfig!$G$3-pconfig!$G$4)</f>
        <v>766.8429003</v>
      </c>
      <c r="O405" s="83">
        <f>((K405*F405)+M405)/(1-pconfig!$G$2-pconfig!$G$3-pconfig!$G$4)</f>
        <v>800.5287009</v>
      </c>
      <c r="P405" s="86">
        <f>K405*F405/(1-pconfig!$G$2-pconfig!$G$3-pconfig!$G$4)</f>
        <v>33.6858006</v>
      </c>
      <c r="Q405" s="86">
        <f>IFS(F405&lt;=pconfig!$B$12,P405*pconfig!$C$12,F405&lt;=pconfig!$B$13,P405*pconfig!$C$13,F405&lt;=pconfig!$B$14,P405*pconfig!$C$14,F405&lt;=pconfig!$B$15,P405*pconfig!$C$15,F405&lt;=pconfig!$B$16,P405*pconfig!$C$16,F405&lt;=pconfig!$B$17,P405*pconfig!$C$17,F405&lt;=pconfig!$B$18,P405*pconfig!$C$18,F405&lt;=pconfig!$B$19,P405*pconfig!$C$19,F405&lt;=pconfig!$B$20,P405*pconfig!$C$20,F405&lt;=pconfig!$B$21,P405*pconfig!$C$21)</f>
        <v>33.6858006</v>
      </c>
      <c r="R405" s="87">
        <f t="shared" si="2"/>
        <v>800.5287009</v>
      </c>
    </row>
    <row r="406" ht="22.5" hidden="1" customHeight="1">
      <c r="A406" s="52">
        <f t="shared" si="3"/>
        <v>405</v>
      </c>
      <c r="B406" s="53" t="s">
        <v>943</v>
      </c>
      <c r="C406" s="53" t="s">
        <v>101</v>
      </c>
      <c r="D406" s="56" t="s">
        <v>102</v>
      </c>
      <c r="E406" s="53" t="str">
        <f t="shared" si="1"/>
        <v>TRACUATEUASATELITE</v>
      </c>
      <c r="F406" s="59">
        <v>1.0</v>
      </c>
      <c r="G406" s="53" t="s">
        <v>61</v>
      </c>
      <c r="H406" s="59" t="str">
        <f t="array" ref="H406">XLOOKUP(B406,municipios,regiao!$D$6:$D$150,0)</f>
        <v>SIM</v>
      </c>
      <c r="I406" s="53" t="s">
        <v>496</v>
      </c>
      <c r="J406" s="60" t="s">
        <v>106</v>
      </c>
      <c r="K406" s="61">
        <v>4799.0</v>
      </c>
      <c r="L406" s="70">
        <f>K406/(1-pconfig!$G$2-pconfig!$G$3-pconfig!$G$4)</f>
        <v>9061.555891</v>
      </c>
      <c r="M406" s="61">
        <v>406.12</v>
      </c>
      <c r="N406" s="61">
        <f>M406/(1-pconfig!$G$2-pconfig!$G$3-pconfig!$G$4)</f>
        <v>766.8429003</v>
      </c>
      <c r="O406" s="61">
        <f>((K406*F406)+M406)/(1-pconfig!$G$2-pconfig!$G$3-pconfig!$G$4)</f>
        <v>9828.398792</v>
      </c>
      <c r="P406" s="74">
        <f>K406*F406/(1-pconfig!$G$2-pconfig!$G$3-pconfig!$G$4)</f>
        <v>9061.555891</v>
      </c>
      <c r="Q406" s="74">
        <f>IFS(F406&lt;=pconfig!$B$12,P406*pconfig!$C$12,F406&lt;=pconfig!$B$13,P406*pconfig!$C$13,F406&lt;=pconfig!$B$14,P406*pconfig!$C$14,F406&lt;=pconfig!$B$15,P406*pconfig!$C$15,F406&lt;=pconfig!$B$16,P406*pconfig!$C$16,F406&lt;=pconfig!$B$17,P406*pconfig!$C$17,F406&lt;=pconfig!$B$18,P406*pconfig!$C$18,F406&lt;=pconfig!$B$19,P406*pconfig!$C$19,F406&lt;=pconfig!$B$20,P406*pconfig!$C$20,F406&lt;=pconfig!$B$21,P406*pconfig!$C$21)</f>
        <v>9061.555891</v>
      </c>
      <c r="R406" s="76">
        <f t="shared" si="2"/>
        <v>9828.398792</v>
      </c>
    </row>
    <row r="407" ht="22.5" hidden="1" customHeight="1">
      <c r="A407" s="78">
        <f t="shared" si="3"/>
        <v>406</v>
      </c>
      <c r="B407" s="79" t="s">
        <v>944</v>
      </c>
      <c r="C407" s="79" t="s">
        <v>59</v>
      </c>
      <c r="D407" s="80" t="s">
        <v>60</v>
      </c>
      <c r="E407" s="79" t="str">
        <f t="shared" si="1"/>
        <v>TRAIRAORADIO</v>
      </c>
      <c r="F407" s="81">
        <v>1.0</v>
      </c>
      <c r="G407" s="79" t="s">
        <v>374</v>
      </c>
      <c r="H407" s="81" t="str">
        <f t="array" ref="H407">XLOOKUP(B407,municipios,regiao!$D$6:$D$150,0)</f>
        <v>NÃO</v>
      </c>
      <c r="I407" s="79" t="s">
        <v>555</v>
      </c>
      <c r="J407" s="82" t="s">
        <v>259</v>
      </c>
      <c r="K407" s="83">
        <v>35.73</v>
      </c>
      <c r="L407" s="85">
        <f>K407/(1-pconfig!$G$2-pconfig!$G$3-pconfig!$G$4)</f>
        <v>67.46601208</v>
      </c>
      <c r="M407" s="83">
        <v>166.666666666667</v>
      </c>
      <c r="N407" s="83">
        <f>M407/(1-pconfig!$G$2-pconfig!$G$3-pconfig!$G$4)</f>
        <v>314.7029204</v>
      </c>
      <c r="O407" s="83">
        <f>((K407*F407)+M407)/(1-pconfig!$G$2-pconfig!$G$3-pconfig!$G$4)</f>
        <v>382.1689325</v>
      </c>
      <c r="P407" s="86">
        <f>K407*F407/(1-pconfig!$G$2-pconfig!$G$3-pconfig!$G$4)</f>
        <v>67.46601208</v>
      </c>
      <c r="Q407" s="86">
        <f>IFS(F407&lt;=pconfig!$B$12,P407*pconfig!$C$12,F407&lt;=pconfig!$B$13,P407*pconfig!$C$13,F407&lt;=pconfig!$B$14,P407*pconfig!$C$14,F407&lt;=pconfig!$B$15,P407*pconfig!$C$15,F407&lt;=pconfig!$B$16,P407*pconfig!$C$16,F407&lt;=pconfig!$B$17,P407*pconfig!$C$17,F407&lt;=pconfig!$B$18,P407*pconfig!$C$18,F407&lt;=pconfig!$B$19,P407*pconfig!$C$19,F407&lt;=pconfig!$B$20,P407*pconfig!$C$20,F407&lt;=pconfig!$B$21,P407*pconfig!$C$21)</f>
        <v>67.46601208</v>
      </c>
      <c r="R407" s="87">
        <f t="shared" si="2"/>
        <v>382.1689325</v>
      </c>
    </row>
    <row r="408" ht="22.5" hidden="1" customHeight="1">
      <c r="A408" s="52">
        <f t="shared" si="3"/>
        <v>407</v>
      </c>
      <c r="B408" s="53" t="s">
        <v>944</v>
      </c>
      <c r="C408" s="53" t="s">
        <v>50</v>
      </c>
      <c r="D408" s="56" t="s">
        <v>82</v>
      </c>
      <c r="E408" s="53" t="str">
        <f t="shared" si="1"/>
        <v>TRAIRAOFIBRA</v>
      </c>
      <c r="F408" s="59">
        <v>1.0</v>
      </c>
      <c r="G408" s="53" t="s">
        <v>374</v>
      </c>
      <c r="H408" s="59" t="str">
        <f t="array" ref="H408">XLOOKUP(B408,municipios,regiao!$D$6:$D$150,0)</f>
        <v>NÃO</v>
      </c>
      <c r="I408" s="53" t="s">
        <v>555</v>
      </c>
      <c r="J408" s="60" t="s">
        <v>259</v>
      </c>
      <c r="K408" s="61">
        <v>35.73</v>
      </c>
      <c r="L408" s="70">
        <f>K408/(1-pconfig!$G$2-pconfig!$G$3-pconfig!$G$4)</f>
        <v>67.46601208</v>
      </c>
      <c r="M408" s="61">
        <v>407.5</v>
      </c>
      <c r="N408" s="61">
        <f>M408/(1-pconfig!$G$2-pconfig!$G$3-pconfig!$G$4)</f>
        <v>769.4486405</v>
      </c>
      <c r="O408" s="61">
        <f>((K408*F408)+M408)/(1-pconfig!$G$2-pconfig!$G$3-pconfig!$G$4)</f>
        <v>836.9146526</v>
      </c>
      <c r="P408" s="74">
        <f>K408*F408/(1-pconfig!$G$2-pconfig!$G$3-pconfig!$G$4)</f>
        <v>67.46601208</v>
      </c>
      <c r="Q408" s="74">
        <f>IFS(F408&lt;=pconfig!$B$12,P408*pconfig!$C$12,F408&lt;=pconfig!$B$13,P408*pconfig!$C$13,F408&lt;=pconfig!$B$14,P408*pconfig!$C$14,F408&lt;=pconfig!$B$15,P408*pconfig!$C$15,F408&lt;=pconfig!$B$16,P408*pconfig!$C$16,F408&lt;=pconfig!$B$17,P408*pconfig!$C$17,F408&lt;=pconfig!$B$18,P408*pconfig!$C$18,F408&lt;=pconfig!$B$19,P408*pconfig!$C$19,F408&lt;=pconfig!$B$20,P408*pconfig!$C$20,F408&lt;=pconfig!$B$21,P408*pconfig!$C$21)</f>
        <v>67.46601208</v>
      </c>
      <c r="R408" s="76">
        <f t="shared" si="2"/>
        <v>836.9146526</v>
      </c>
    </row>
    <row r="409" ht="22.5" hidden="1" customHeight="1">
      <c r="A409" s="78">
        <f t="shared" si="3"/>
        <v>408</v>
      </c>
      <c r="B409" s="79" t="s">
        <v>944</v>
      </c>
      <c r="C409" s="79" t="s">
        <v>101</v>
      </c>
      <c r="D409" s="80" t="s">
        <v>102</v>
      </c>
      <c r="E409" s="79" t="str">
        <f t="shared" si="1"/>
        <v>TRAIRAOSATELITE</v>
      </c>
      <c r="F409" s="81">
        <v>1.0</v>
      </c>
      <c r="G409" s="79" t="s">
        <v>374</v>
      </c>
      <c r="H409" s="81" t="str">
        <f t="array" ref="H409">XLOOKUP(B409,municipios,regiao!$D$6:$D$150,0)</f>
        <v>NÃO</v>
      </c>
      <c r="I409" s="79" t="s">
        <v>555</v>
      </c>
      <c r="J409" s="82" t="s">
        <v>106</v>
      </c>
      <c r="K409" s="83">
        <v>4799.0</v>
      </c>
      <c r="L409" s="85">
        <f>K409/(1-pconfig!$G$2-pconfig!$G$3-pconfig!$G$4)</f>
        <v>9061.555891</v>
      </c>
      <c r="M409" s="83">
        <v>407.5</v>
      </c>
      <c r="N409" s="83">
        <f>M409/(1-pconfig!$G$2-pconfig!$G$3-pconfig!$G$4)</f>
        <v>769.4486405</v>
      </c>
      <c r="O409" s="83">
        <f>((K409*F409)+M409)/(1-pconfig!$G$2-pconfig!$G$3-pconfig!$G$4)</f>
        <v>9831.004532</v>
      </c>
      <c r="P409" s="86">
        <f>K409*F409/(1-pconfig!$G$2-pconfig!$G$3-pconfig!$G$4)</f>
        <v>9061.555891</v>
      </c>
      <c r="Q409" s="86">
        <f>IFS(F409&lt;=pconfig!$B$12,P409*pconfig!$C$12,F409&lt;=pconfig!$B$13,P409*pconfig!$C$13,F409&lt;=pconfig!$B$14,P409*pconfig!$C$14,F409&lt;=pconfig!$B$15,P409*pconfig!$C$15,F409&lt;=pconfig!$B$16,P409*pconfig!$C$16,F409&lt;=pconfig!$B$17,P409*pconfig!$C$17,F409&lt;=pconfig!$B$18,P409*pconfig!$C$18,F409&lt;=pconfig!$B$19,P409*pconfig!$C$19,F409&lt;=pconfig!$B$20,P409*pconfig!$C$20,F409&lt;=pconfig!$B$21,P409*pconfig!$C$21)</f>
        <v>9061.555891</v>
      </c>
      <c r="R409" s="87">
        <f t="shared" si="2"/>
        <v>9831.004532</v>
      </c>
    </row>
    <row r="410" ht="22.5" hidden="1" customHeight="1">
      <c r="A410" s="52">
        <f t="shared" si="3"/>
        <v>409</v>
      </c>
      <c r="B410" s="53" t="s">
        <v>945</v>
      </c>
      <c r="C410" s="53" t="s">
        <v>59</v>
      </c>
      <c r="D410" s="56" t="s">
        <v>60</v>
      </c>
      <c r="E410" s="53" t="str">
        <f t="shared" si="1"/>
        <v>TUCUMARADIO</v>
      </c>
      <c r="F410" s="59">
        <v>1.0</v>
      </c>
      <c r="G410" s="53" t="s">
        <v>128</v>
      </c>
      <c r="H410" s="59" t="str">
        <f t="array" ref="H410">XLOOKUP(B410,municipios,regiao!$D$6:$D$150,0)</f>
        <v>NÃO</v>
      </c>
      <c r="I410" s="53" t="s">
        <v>280</v>
      </c>
      <c r="J410" s="60" t="s">
        <v>133</v>
      </c>
      <c r="K410" s="61">
        <v>29.29</v>
      </c>
      <c r="L410" s="70">
        <f>K410/(1-pconfig!$G$2-pconfig!$G$3-pconfig!$G$4)</f>
        <v>55.30589124</v>
      </c>
      <c r="M410" s="61">
        <v>336.074166666667</v>
      </c>
      <c r="N410" s="61">
        <f>M410/(1-pconfig!$G$2-pconfig!$G$3-pconfig!$G$4)</f>
        <v>634.5811304</v>
      </c>
      <c r="O410" s="61">
        <f>((K410*F410)+M410)/(1-pconfig!$G$2-pconfig!$G$3-pconfig!$G$4)</f>
        <v>689.8870217</v>
      </c>
      <c r="P410" s="74">
        <f>K410*F410/(1-pconfig!$G$2-pconfig!$G$3-pconfig!$G$4)</f>
        <v>55.30589124</v>
      </c>
      <c r="Q410" s="74">
        <f>IFS(F410&lt;=pconfig!$B$12,P410*pconfig!$C$12,F410&lt;=pconfig!$B$13,P410*pconfig!$C$13,F410&lt;=pconfig!$B$14,P410*pconfig!$C$14,F410&lt;=pconfig!$B$15,P410*pconfig!$C$15,F410&lt;=pconfig!$B$16,P410*pconfig!$C$16,F410&lt;=pconfig!$B$17,P410*pconfig!$C$17,F410&lt;=pconfig!$B$18,P410*pconfig!$C$18,F410&lt;=pconfig!$B$19,P410*pconfig!$C$19,F410&lt;=pconfig!$B$20,P410*pconfig!$C$20,F410&lt;=pconfig!$B$21,P410*pconfig!$C$21)</f>
        <v>55.30589124</v>
      </c>
      <c r="R410" s="76">
        <f t="shared" si="2"/>
        <v>689.8870217</v>
      </c>
    </row>
    <row r="411" ht="22.5" hidden="1" customHeight="1">
      <c r="A411" s="78">
        <f t="shared" si="3"/>
        <v>410</v>
      </c>
      <c r="B411" s="79" t="s">
        <v>945</v>
      </c>
      <c r="C411" s="79" t="s">
        <v>50</v>
      </c>
      <c r="D411" s="80" t="s">
        <v>82</v>
      </c>
      <c r="E411" s="79" t="str">
        <f t="shared" si="1"/>
        <v>TUCUMAFIBRA</v>
      </c>
      <c r="F411" s="81">
        <v>1.0</v>
      </c>
      <c r="G411" s="79" t="s">
        <v>128</v>
      </c>
      <c r="H411" s="81" t="str">
        <f t="array" ref="H411">XLOOKUP(B411,municipios,regiao!$D$6:$D$150,0)</f>
        <v>NÃO</v>
      </c>
      <c r="I411" s="79" t="s">
        <v>280</v>
      </c>
      <c r="J411" s="82" t="s">
        <v>133</v>
      </c>
      <c r="K411" s="83">
        <v>29.29</v>
      </c>
      <c r="L411" s="85">
        <f>K411/(1-pconfig!$G$2-pconfig!$G$3-pconfig!$G$4)</f>
        <v>55.30589124</v>
      </c>
      <c r="M411" s="83">
        <v>447.5</v>
      </c>
      <c r="N411" s="83">
        <f>M411/(1-pconfig!$G$2-pconfig!$G$3-pconfig!$G$4)</f>
        <v>844.9773414</v>
      </c>
      <c r="O411" s="83">
        <f>((K411*F411)+M411)/(1-pconfig!$G$2-pconfig!$G$3-pconfig!$G$4)</f>
        <v>900.2832326</v>
      </c>
      <c r="P411" s="86">
        <f>K411*F411/(1-pconfig!$G$2-pconfig!$G$3-pconfig!$G$4)</f>
        <v>55.30589124</v>
      </c>
      <c r="Q411" s="86">
        <f>IFS(F411&lt;=pconfig!$B$12,P411*pconfig!$C$12,F411&lt;=pconfig!$B$13,P411*pconfig!$C$13,F411&lt;=pconfig!$B$14,P411*pconfig!$C$14,F411&lt;=pconfig!$B$15,P411*pconfig!$C$15,F411&lt;=pconfig!$B$16,P411*pconfig!$C$16,F411&lt;=pconfig!$B$17,P411*pconfig!$C$17,F411&lt;=pconfig!$B$18,P411*pconfig!$C$18,F411&lt;=pconfig!$B$19,P411*pconfig!$C$19,F411&lt;=pconfig!$B$20,P411*pconfig!$C$20,F411&lt;=pconfig!$B$21,P411*pconfig!$C$21)</f>
        <v>55.30589124</v>
      </c>
      <c r="R411" s="87">
        <f t="shared" si="2"/>
        <v>900.2832326</v>
      </c>
    </row>
    <row r="412" ht="22.5" hidden="1" customHeight="1">
      <c r="A412" s="52">
        <f t="shared" si="3"/>
        <v>411</v>
      </c>
      <c r="B412" s="53" t="s">
        <v>945</v>
      </c>
      <c r="C412" s="53" t="s">
        <v>101</v>
      </c>
      <c r="D412" s="56" t="s">
        <v>102</v>
      </c>
      <c r="E412" s="53" t="str">
        <f t="shared" si="1"/>
        <v>TUCUMASATELITE</v>
      </c>
      <c r="F412" s="59">
        <v>1.0</v>
      </c>
      <c r="G412" s="53" t="s">
        <v>128</v>
      </c>
      <c r="H412" s="59" t="str">
        <f t="array" ref="H412">XLOOKUP(B412,municipios,regiao!$D$6:$D$150,0)</f>
        <v>NÃO</v>
      </c>
      <c r="I412" s="53" t="s">
        <v>280</v>
      </c>
      <c r="J412" s="60" t="s">
        <v>106</v>
      </c>
      <c r="K412" s="61">
        <v>4799.0</v>
      </c>
      <c r="L412" s="70">
        <f>K412/(1-pconfig!$G$2-pconfig!$G$3-pconfig!$G$4)</f>
        <v>9061.555891</v>
      </c>
      <c r="M412" s="61">
        <v>447.5</v>
      </c>
      <c r="N412" s="61">
        <f>M412/(1-pconfig!$G$2-pconfig!$G$3-pconfig!$G$4)</f>
        <v>844.9773414</v>
      </c>
      <c r="O412" s="61">
        <f>((K412*F412)+M412)/(1-pconfig!$G$2-pconfig!$G$3-pconfig!$G$4)</f>
        <v>9906.533233</v>
      </c>
      <c r="P412" s="74">
        <f>K412*F412/(1-pconfig!$G$2-pconfig!$G$3-pconfig!$G$4)</f>
        <v>9061.555891</v>
      </c>
      <c r="Q412" s="74">
        <f>IFS(F412&lt;=pconfig!$B$12,P412*pconfig!$C$12,F412&lt;=pconfig!$B$13,P412*pconfig!$C$13,F412&lt;=pconfig!$B$14,P412*pconfig!$C$14,F412&lt;=pconfig!$B$15,P412*pconfig!$C$15,F412&lt;=pconfig!$B$16,P412*pconfig!$C$16,F412&lt;=pconfig!$B$17,P412*pconfig!$C$17,F412&lt;=pconfig!$B$18,P412*pconfig!$C$18,F412&lt;=pconfig!$B$19,P412*pconfig!$C$19,F412&lt;=pconfig!$B$20,P412*pconfig!$C$20,F412&lt;=pconfig!$B$21,P412*pconfig!$C$21)</f>
        <v>9061.555891</v>
      </c>
      <c r="R412" s="76">
        <f t="shared" si="2"/>
        <v>9906.533233</v>
      </c>
    </row>
    <row r="413" ht="22.5" hidden="1" customHeight="1">
      <c r="A413" s="78">
        <f t="shared" si="3"/>
        <v>412</v>
      </c>
      <c r="B413" s="79" t="s">
        <v>946</v>
      </c>
      <c r="C413" s="79" t="s">
        <v>50</v>
      </c>
      <c r="D413" s="80" t="s">
        <v>82</v>
      </c>
      <c r="E413" s="79" t="str">
        <f t="shared" si="1"/>
        <v>TUCURUIFIBRA</v>
      </c>
      <c r="F413" s="81">
        <v>1.0</v>
      </c>
      <c r="G413" s="79" t="s">
        <v>128</v>
      </c>
      <c r="H413" s="81" t="str">
        <f t="array" ref="H413">XLOOKUP(B413,municipios,regiao!$D$6:$D$150,0)</f>
        <v>SIM</v>
      </c>
      <c r="I413" s="79" t="s">
        <v>717</v>
      </c>
      <c r="J413" s="82" t="s">
        <v>337</v>
      </c>
      <c r="K413" s="83">
        <v>17.84</v>
      </c>
      <c r="L413" s="85">
        <f>K413/(1-pconfig!$G$2-pconfig!$G$3-pconfig!$G$4)</f>
        <v>33.6858006</v>
      </c>
      <c r="M413" s="83">
        <v>204.76</v>
      </c>
      <c r="N413" s="83">
        <f>M413/(1-pconfig!$G$2-pconfig!$G$3-pconfig!$G$4)</f>
        <v>386.6314199</v>
      </c>
      <c r="O413" s="83">
        <f>((K413*F413)+M413)/(1-pconfig!$G$2-pconfig!$G$3-pconfig!$G$4)</f>
        <v>420.3172205</v>
      </c>
      <c r="P413" s="86">
        <f>K413*F413/(1-pconfig!$G$2-pconfig!$G$3-pconfig!$G$4)</f>
        <v>33.6858006</v>
      </c>
      <c r="Q413" s="86">
        <f>IFS(F413&lt;=pconfig!$B$12,P413*pconfig!$C$12,F413&lt;=pconfig!$B$13,P413*pconfig!$C$13,F413&lt;=pconfig!$B$14,P413*pconfig!$C$14,F413&lt;=pconfig!$B$15,P413*pconfig!$C$15,F413&lt;=pconfig!$B$16,P413*pconfig!$C$16,F413&lt;=pconfig!$B$17,P413*pconfig!$C$17,F413&lt;=pconfig!$B$18,P413*pconfig!$C$18,F413&lt;=pconfig!$B$19,P413*pconfig!$C$19,F413&lt;=pconfig!$B$20,P413*pconfig!$C$20,F413&lt;=pconfig!$B$21,P413*pconfig!$C$21)</f>
        <v>33.6858006</v>
      </c>
      <c r="R413" s="87">
        <f t="shared" si="2"/>
        <v>420.3172205</v>
      </c>
    </row>
    <row r="414" ht="22.5" hidden="1" customHeight="1">
      <c r="A414" s="52">
        <f t="shared" si="3"/>
        <v>413</v>
      </c>
      <c r="B414" s="53" t="s">
        <v>946</v>
      </c>
      <c r="C414" s="53" t="s">
        <v>101</v>
      </c>
      <c r="D414" s="56" t="s">
        <v>102</v>
      </c>
      <c r="E414" s="53" t="str">
        <f t="shared" si="1"/>
        <v>TUCURUISATELITE</v>
      </c>
      <c r="F414" s="59">
        <v>1.0</v>
      </c>
      <c r="G414" s="53" t="s">
        <v>128</v>
      </c>
      <c r="H414" s="59" t="str">
        <f t="array" ref="H414">XLOOKUP(B414,municipios,regiao!$D$6:$D$150,0)</f>
        <v>SIM</v>
      </c>
      <c r="I414" s="53" t="s">
        <v>717</v>
      </c>
      <c r="J414" s="60" t="s">
        <v>106</v>
      </c>
      <c r="K414" s="61">
        <v>4799.0</v>
      </c>
      <c r="L414" s="70">
        <f>K414/(1-pconfig!$G$2-pconfig!$G$3-pconfig!$G$4)</f>
        <v>9061.555891</v>
      </c>
      <c r="M414" s="61">
        <v>204.76</v>
      </c>
      <c r="N414" s="61">
        <f>M414/(1-pconfig!$G$2-pconfig!$G$3-pconfig!$G$4)</f>
        <v>386.6314199</v>
      </c>
      <c r="O414" s="61">
        <f>((K414*F414)+M414)/(1-pconfig!$G$2-pconfig!$G$3-pconfig!$G$4)</f>
        <v>9448.187311</v>
      </c>
      <c r="P414" s="74">
        <f>K414*F414/(1-pconfig!$G$2-pconfig!$G$3-pconfig!$G$4)</f>
        <v>9061.555891</v>
      </c>
      <c r="Q414" s="74">
        <f>IFS(F414&lt;=pconfig!$B$12,P414*pconfig!$C$12,F414&lt;=pconfig!$B$13,P414*pconfig!$C$13,F414&lt;=pconfig!$B$14,P414*pconfig!$C$14,F414&lt;=pconfig!$B$15,P414*pconfig!$C$15,F414&lt;=pconfig!$B$16,P414*pconfig!$C$16,F414&lt;=pconfig!$B$17,P414*pconfig!$C$17,F414&lt;=pconfig!$B$18,P414*pconfig!$C$18,F414&lt;=pconfig!$B$19,P414*pconfig!$C$19,F414&lt;=pconfig!$B$20,P414*pconfig!$C$20,F414&lt;=pconfig!$B$21,P414*pconfig!$C$21)</f>
        <v>9061.555891</v>
      </c>
      <c r="R414" s="76">
        <f t="shared" si="2"/>
        <v>9448.187311</v>
      </c>
    </row>
    <row r="415" ht="22.5" hidden="1" customHeight="1">
      <c r="A415" s="78">
        <f t="shared" si="3"/>
        <v>414</v>
      </c>
      <c r="B415" s="79" t="s">
        <v>946</v>
      </c>
      <c r="C415" s="79" t="s">
        <v>59</v>
      </c>
      <c r="D415" s="80" t="s">
        <v>60</v>
      </c>
      <c r="E415" s="79" t="str">
        <f t="shared" si="1"/>
        <v>TUCURUIRADIO</v>
      </c>
      <c r="F415" s="81">
        <v>1.0</v>
      </c>
      <c r="G415" s="79" t="s">
        <v>128</v>
      </c>
      <c r="H415" s="81" t="str">
        <f t="array" ref="H415">XLOOKUP(B415,municipios,regiao!$D$6:$D$150,0)</f>
        <v>SIM</v>
      </c>
      <c r="I415" s="79" t="s">
        <v>717</v>
      </c>
      <c r="J415" s="82" t="s">
        <v>337</v>
      </c>
      <c r="K415" s="83">
        <v>17.84</v>
      </c>
      <c r="L415" s="85">
        <f>K415/(1-pconfig!$G$2-pconfig!$G$3-pconfig!$G$4)</f>
        <v>33.6858006</v>
      </c>
      <c r="M415" s="83">
        <v>333.333333333333</v>
      </c>
      <c r="N415" s="83">
        <f>M415/(1-pconfig!$G$2-pconfig!$G$3-pconfig!$G$4)</f>
        <v>629.4058409</v>
      </c>
      <c r="O415" s="83">
        <f>((K415*F415)+M415)/(1-pconfig!$G$2-pconfig!$G$3-pconfig!$G$4)</f>
        <v>663.0916415</v>
      </c>
      <c r="P415" s="86">
        <f>K415*F415/(1-pconfig!$G$2-pconfig!$G$3-pconfig!$G$4)</f>
        <v>33.6858006</v>
      </c>
      <c r="Q415" s="86">
        <f>IFS(F415&lt;=pconfig!$B$12,P415*pconfig!$C$12,F415&lt;=pconfig!$B$13,P415*pconfig!$C$13,F415&lt;=pconfig!$B$14,P415*pconfig!$C$14,F415&lt;=pconfig!$B$15,P415*pconfig!$C$15,F415&lt;=pconfig!$B$16,P415*pconfig!$C$16,F415&lt;=pconfig!$B$17,P415*pconfig!$C$17,F415&lt;=pconfig!$B$18,P415*pconfig!$C$18,F415&lt;=pconfig!$B$19,P415*pconfig!$C$19,F415&lt;=pconfig!$B$20,P415*pconfig!$C$20,F415&lt;=pconfig!$B$21,P415*pconfig!$C$21)</f>
        <v>33.6858006</v>
      </c>
      <c r="R415" s="87">
        <f t="shared" si="2"/>
        <v>663.0916415</v>
      </c>
    </row>
    <row r="416" ht="22.5" hidden="1" customHeight="1">
      <c r="A416" s="52">
        <f t="shared" si="3"/>
        <v>415</v>
      </c>
      <c r="B416" s="53" t="s">
        <v>947</v>
      </c>
      <c r="C416" s="53" t="s">
        <v>50</v>
      </c>
      <c r="D416" s="56" t="s">
        <v>82</v>
      </c>
      <c r="E416" s="53" t="str">
        <f t="shared" si="1"/>
        <v>ULIANOPOLISFIBRA</v>
      </c>
      <c r="F416" s="59">
        <v>1.0</v>
      </c>
      <c r="G416" s="53" t="s">
        <v>128</v>
      </c>
      <c r="H416" s="59" t="str">
        <f t="array" ref="H416">XLOOKUP(B416,municipios,regiao!$D$6:$D$150,0)</f>
        <v>NÃO</v>
      </c>
      <c r="I416" s="53" t="s">
        <v>132</v>
      </c>
      <c r="J416" s="60" t="s">
        <v>133</v>
      </c>
      <c r="K416" s="61">
        <v>29.29</v>
      </c>
      <c r="L416" s="70">
        <f>K416/(1-pconfig!$G$2-pconfig!$G$3-pconfig!$G$4)</f>
        <v>55.30589124</v>
      </c>
      <c r="M416" s="61">
        <v>63.39</v>
      </c>
      <c r="N416" s="61">
        <f>M416/(1-pconfig!$G$2-pconfig!$G$3-pconfig!$G$4)</f>
        <v>119.6941088</v>
      </c>
      <c r="O416" s="61">
        <f>((K416*F416)+M416)/(1-pconfig!$G$2-pconfig!$G$3-pconfig!$G$4)</f>
        <v>175</v>
      </c>
      <c r="P416" s="74">
        <f>K416*F416/(1-pconfig!$G$2-pconfig!$G$3-pconfig!$G$4)</f>
        <v>55.30589124</v>
      </c>
      <c r="Q416" s="74">
        <f>IFS(F416&lt;=pconfig!$B$12,P416*pconfig!$C$12,F416&lt;=pconfig!$B$13,P416*pconfig!$C$13,F416&lt;=pconfig!$B$14,P416*pconfig!$C$14,F416&lt;=pconfig!$B$15,P416*pconfig!$C$15,F416&lt;=pconfig!$B$16,P416*pconfig!$C$16,F416&lt;=pconfig!$B$17,P416*pconfig!$C$17,F416&lt;=pconfig!$B$18,P416*pconfig!$C$18,F416&lt;=pconfig!$B$19,P416*pconfig!$C$19,F416&lt;=pconfig!$B$20,P416*pconfig!$C$20,F416&lt;=pconfig!$B$21,P416*pconfig!$C$21)</f>
        <v>55.30589124</v>
      </c>
      <c r="R416" s="76">
        <f t="shared" si="2"/>
        <v>175</v>
      </c>
    </row>
    <row r="417" ht="22.5" hidden="1" customHeight="1">
      <c r="A417" s="78">
        <f t="shared" si="3"/>
        <v>416</v>
      </c>
      <c r="B417" s="79" t="s">
        <v>947</v>
      </c>
      <c r="C417" s="79" t="s">
        <v>101</v>
      </c>
      <c r="D417" s="80" t="s">
        <v>102</v>
      </c>
      <c r="E417" s="79" t="str">
        <f t="shared" si="1"/>
        <v>ULIANOPOLISSATELITE</v>
      </c>
      <c r="F417" s="81">
        <v>1.0</v>
      </c>
      <c r="G417" s="79" t="s">
        <v>128</v>
      </c>
      <c r="H417" s="81" t="str">
        <f t="array" ref="H417">XLOOKUP(B417,municipios,regiao!$D$6:$D$150,0)</f>
        <v>NÃO</v>
      </c>
      <c r="I417" s="79" t="s">
        <v>132</v>
      </c>
      <c r="J417" s="82" t="s">
        <v>106</v>
      </c>
      <c r="K417" s="83">
        <v>4799.0</v>
      </c>
      <c r="L417" s="85">
        <f>K417/(1-pconfig!$G$2-pconfig!$G$3-pconfig!$G$4)</f>
        <v>9061.555891</v>
      </c>
      <c r="M417" s="83">
        <v>63.39</v>
      </c>
      <c r="N417" s="83">
        <f>M417/(1-pconfig!$G$2-pconfig!$G$3-pconfig!$G$4)</f>
        <v>119.6941088</v>
      </c>
      <c r="O417" s="83">
        <f>((K417*F417)+M417)/(1-pconfig!$G$2-pconfig!$G$3-pconfig!$G$4)</f>
        <v>9181.25</v>
      </c>
      <c r="P417" s="86">
        <f>K417*F417/(1-pconfig!$G$2-pconfig!$G$3-pconfig!$G$4)</f>
        <v>9061.555891</v>
      </c>
      <c r="Q417" s="86">
        <f>IFS(F417&lt;=pconfig!$B$12,P417*pconfig!$C$12,F417&lt;=pconfig!$B$13,P417*pconfig!$C$13,F417&lt;=pconfig!$B$14,P417*pconfig!$C$14,F417&lt;=pconfig!$B$15,P417*pconfig!$C$15,F417&lt;=pconfig!$B$16,P417*pconfig!$C$16,F417&lt;=pconfig!$B$17,P417*pconfig!$C$17,F417&lt;=pconfig!$B$18,P417*pconfig!$C$18,F417&lt;=pconfig!$B$19,P417*pconfig!$C$19,F417&lt;=pconfig!$B$20,P417*pconfig!$C$20,F417&lt;=pconfig!$B$21,P417*pconfig!$C$21)</f>
        <v>9061.555891</v>
      </c>
      <c r="R417" s="87">
        <f t="shared" si="2"/>
        <v>9181.25</v>
      </c>
    </row>
    <row r="418" ht="22.5" hidden="1" customHeight="1">
      <c r="A418" s="52">
        <f t="shared" si="3"/>
        <v>417</v>
      </c>
      <c r="B418" s="53" t="s">
        <v>947</v>
      </c>
      <c r="C418" s="53" t="s">
        <v>59</v>
      </c>
      <c r="D418" s="56" t="s">
        <v>60</v>
      </c>
      <c r="E418" s="53" t="str">
        <f t="shared" si="1"/>
        <v>ULIANOPOLISRADIO</v>
      </c>
      <c r="F418" s="59">
        <v>1.0</v>
      </c>
      <c r="G418" s="53" t="s">
        <v>128</v>
      </c>
      <c r="H418" s="59" t="str">
        <f t="array" ref="H418">XLOOKUP(B418,municipios,regiao!$D$6:$D$150,0)</f>
        <v>NÃO</v>
      </c>
      <c r="I418" s="53" t="s">
        <v>132</v>
      </c>
      <c r="J418" s="60" t="s">
        <v>133</v>
      </c>
      <c r="K418" s="61">
        <v>29.29</v>
      </c>
      <c r="L418" s="70">
        <f>K418/(1-pconfig!$G$2-pconfig!$G$3-pconfig!$G$4)</f>
        <v>55.30589124</v>
      </c>
      <c r="M418" s="61">
        <v>130.6225</v>
      </c>
      <c r="N418" s="61">
        <f>M418/(1-pconfig!$G$2-pconfig!$G$3-pconfig!$G$4)</f>
        <v>246.6436934</v>
      </c>
      <c r="O418" s="61">
        <f>((K418*F418)+M418)/(1-pconfig!$G$2-pconfig!$G$3-pconfig!$G$4)</f>
        <v>301.9495846</v>
      </c>
      <c r="P418" s="74">
        <f>K418*F418/(1-pconfig!$G$2-pconfig!$G$3-pconfig!$G$4)</f>
        <v>55.30589124</v>
      </c>
      <c r="Q418" s="74">
        <f>IFS(F418&lt;=pconfig!$B$12,P418*pconfig!$C$12,F418&lt;=pconfig!$B$13,P418*pconfig!$C$13,F418&lt;=pconfig!$B$14,P418*pconfig!$C$14,F418&lt;=pconfig!$B$15,P418*pconfig!$C$15,F418&lt;=pconfig!$B$16,P418*pconfig!$C$16,F418&lt;=pconfig!$B$17,P418*pconfig!$C$17,F418&lt;=pconfig!$B$18,P418*pconfig!$C$18,F418&lt;=pconfig!$B$19,P418*pconfig!$C$19,F418&lt;=pconfig!$B$20,P418*pconfig!$C$20,F418&lt;=pconfig!$B$21,P418*pconfig!$C$21)</f>
        <v>55.30589124</v>
      </c>
      <c r="R418" s="76">
        <f t="shared" si="2"/>
        <v>301.9495846</v>
      </c>
    </row>
    <row r="419" ht="22.5" hidden="1" customHeight="1">
      <c r="A419" s="78">
        <f t="shared" si="3"/>
        <v>418</v>
      </c>
      <c r="B419" s="79" t="s">
        <v>948</v>
      </c>
      <c r="C419" s="79" t="s">
        <v>50</v>
      </c>
      <c r="D419" s="80" t="s">
        <v>82</v>
      </c>
      <c r="E419" s="79" t="str">
        <f t="shared" si="1"/>
        <v>URUARAFIBRA</v>
      </c>
      <c r="F419" s="81">
        <v>1.0</v>
      </c>
      <c r="G419" s="79" t="s">
        <v>374</v>
      </c>
      <c r="H419" s="81" t="str">
        <f t="array" ref="H419">XLOOKUP(B419,municipios,regiao!$D$6:$D$150,0)</f>
        <v>SIM</v>
      </c>
      <c r="I419" s="79" t="s">
        <v>375</v>
      </c>
      <c r="J419" s="82" t="s">
        <v>337</v>
      </c>
      <c r="K419" s="83">
        <v>17.84</v>
      </c>
      <c r="L419" s="85">
        <f>K419/(1-pconfig!$G$2-pconfig!$G$3-pconfig!$G$4)</f>
        <v>33.6858006</v>
      </c>
      <c r="M419" s="83">
        <v>283.33</v>
      </c>
      <c r="N419" s="83">
        <f>M419/(1-pconfig!$G$2-pconfig!$G$3-pconfig!$G$4)</f>
        <v>534.9886707</v>
      </c>
      <c r="O419" s="83">
        <f>((K419*F419)+M419)/(1-pconfig!$G$2-pconfig!$G$3-pconfig!$G$4)</f>
        <v>568.6744713</v>
      </c>
      <c r="P419" s="86">
        <f>K419*F419/(1-pconfig!$G$2-pconfig!$G$3-pconfig!$G$4)</f>
        <v>33.6858006</v>
      </c>
      <c r="Q419" s="86">
        <f>IFS(F419&lt;=pconfig!$B$12,P419*pconfig!$C$12,F419&lt;=pconfig!$B$13,P419*pconfig!$C$13,F419&lt;=pconfig!$B$14,P419*pconfig!$C$14,F419&lt;=pconfig!$B$15,P419*pconfig!$C$15,F419&lt;=pconfig!$B$16,P419*pconfig!$C$16,F419&lt;=pconfig!$B$17,P419*pconfig!$C$17,F419&lt;=pconfig!$B$18,P419*pconfig!$C$18,F419&lt;=pconfig!$B$19,P419*pconfig!$C$19,F419&lt;=pconfig!$B$20,P419*pconfig!$C$20,F419&lt;=pconfig!$B$21,P419*pconfig!$C$21)</f>
        <v>33.6858006</v>
      </c>
      <c r="R419" s="87">
        <f t="shared" si="2"/>
        <v>568.6744713</v>
      </c>
    </row>
    <row r="420" ht="22.5" hidden="1" customHeight="1">
      <c r="A420" s="52">
        <f t="shared" si="3"/>
        <v>419</v>
      </c>
      <c r="B420" s="53" t="s">
        <v>948</v>
      </c>
      <c r="C420" s="53" t="s">
        <v>101</v>
      </c>
      <c r="D420" s="56" t="s">
        <v>102</v>
      </c>
      <c r="E420" s="53" t="str">
        <f t="shared" si="1"/>
        <v>URUARASATELITE</v>
      </c>
      <c r="F420" s="59">
        <v>1.0</v>
      </c>
      <c r="G420" s="53" t="s">
        <v>374</v>
      </c>
      <c r="H420" s="59" t="str">
        <f t="array" ref="H420">XLOOKUP(B420,municipios,regiao!$D$6:$D$150,0)</f>
        <v>SIM</v>
      </c>
      <c r="I420" s="53" t="s">
        <v>375</v>
      </c>
      <c r="J420" s="60" t="s">
        <v>106</v>
      </c>
      <c r="K420" s="61">
        <v>4799.0</v>
      </c>
      <c r="L420" s="70">
        <f>K420/(1-pconfig!$G$2-pconfig!$G$3-pconfig!$G$4)</f>
        <v>9061.555891</v>
      </c>
      <c r="M420" s="61">
        <v>283.33</v>
      </c>
      <c r="N420" s="61">
        <f>M420/(1-pconfig!$G$2-pconfig!$G$3-pconfig!$G$4)</f>
        <v>534.9886707</v>
      </c>
      <c r="O420" s="61">
        <f>((K420*F420)+M420)/(1-pconfig!$G$2-pconfig!$G$3-pconfig!$G$4)</f>
        <v>9596.544562</v>
      </c>
      <c r="P420" s="74">
        <f>K420*F420/(1-pconfig!$G$2-pconfig!$G$3-pconfig!$G$4)</f>
        <v>9061.555891</v>
      </c>
      <c r="Q420" s="74">
        <f>IFS(F420&lt;=pconfig!$B$12,P420*pconfig!$C$12,F420&lt;=pconfig!$B$13,P420*pconfig!$C$13,F420&lt;=pconfig!$B$14,P420*pconfig!$C$14,F420&lt;=pconfig!$B$15,P420*pconfig!$C$15,F420&lt;=pconfig!$B$16,P420*pconfig!$C$16,F420&lt;=pconfig!$B$17,P420*pconfig!$C$17,F420&lt;=pconfig!$B$18,P420*pconfig!$C$18,F420&lt;=pconfig!$B$19,P420*pconfig!$C$19,F420&lt;=pconfig!$B$20,P420*pconfig!$C$20,F420&lt;=pconfig!$B$21,P420*pconfig!$C$21)</f>
        <v>9061.555891</v>
      </c>
      <c r="R420" s="76">
        <f t="shared" si="2"/>
        <v>9596.544562</v>
      </c>
    </row>
    <row r="421" ht="22.5" hidden="1" customHeight="1">
      <c r="A421" s="78">
        <f t="shared" si="3"/>
        <v>420</v>
      </c>
      <c r="B421" s="79" t="s">
        <v>948</v>
      </c>
      <c r="C421" s="79" t="s">
        <v>59</v>
      </c>
      <c r="D421" s="80" t="s">
        <v>60</v>
      </c>
      <c r="E421" s="79" t="str">
        <f t="shared" si="1"/>
        <v>URUARARADIO</v>
      </c>
      <c r="F421" s="81">
        <v>1.0</v>
      </c>
      <c r="G421" s="79" t="s">
        <v>374</v>
      </c>
      <c r="H421" s="81" t="str">
        <f t="array" ref="H421">XLOOKUP(B421,municipios,regiao!$D$6:$D$150,0)</f>
        <v>SIM</v>
      </c>
      <c r="I421" s="79" t="s">
        <v>375</v>
      </c>
      <c r="J421" s="82" t="s">
        <v>337</v>
      </c>
      <c r="K421" s="83">
        <v>17.84</v>
      </c>
      <c r="L421" s="85">
        <f>K421/(1-pconfig!$G$2-pconfig!$G$3-pconfig!$G$4)</f>
        <v>33.6858006</v>
      </c>
      <c r="M421" s="83">
        <v>416.666666666667</v>
      </c>
      <c r="N421" s="83">
        <f>M421/(1-pconfig!$G$2-pconfig!$G$3-pconfig!$G$4)</f>
        <v>786.7573011</v>
      </c>
      <c r="O421" s="83">
        <f>((K421*F421)+M421)/(1-pconfig!$G$2-pconfig!$G$3-pconfig!$G$4)</f>
        <v>820.4431017</v>
      </c>
      <c r="P421" s="86">
        <f>K421*F421/(1-pconfig!$G$2-pconfig!$G$3-pconfig!$G$4)</f>
        <v>33.6858006</v>
      </c>
      <c r="Q421" s="86">
        <f>IFS(F421&lt;=pconfig!$B$12,P421*pconfig!$C$12,F421&lt;=pconfig!$B$13,P421*pconfig!$C$13,F421&lt;=pconfig!$B$14,P421*pconfig!$C$14,F421&lt;=pconfig!$B$15,P421*pconfig!$C$15,F421&lt;=pconfig!$B$16,P421*pconfig!$C$16,F421&lt;=pconfig!$B$17,P421*pconfig!$C$17,F421&lt;=pconfig!$B$18,P421*pconfig!$C$18,F421&lt;=pconfig!$B$19,P421*pconfig!$C$19,F421&lt;=pconfig!$B$20,P421*pconfig!$C$20,F421&lt;=pconfig!$B$21,P421*pconfig!$C$21)</f>
        <v>33.6858006</v>
      </c>
      <c r="R421" s="87">
        <f t="shared" si="2"/>
        <v>820.4431017</v>
      </c>
    </row>
    <row r="422" ht="22.5" hidden="1" customHeight="1">
      <c r="A422" s="52">
        <f t="shared" si="3"/>
        <v>421</v>
      </c>
      <c r="B422" s="53" t="s">
        <v>949</v>
      </c>
      <c r="C422" s="53" t="s">
        <v>50</v>
      </c>
      <c r="D422" s="56" t="s">
        <v>82</v>
      </c>
      <c r="E422" s="53" t="str">
        <f t="shared" si="1"/>
        <v>VIGIAFIBRA</v>
      </c>
      <c r="F422" s="59">
        <v>1.0</v>
      </c>
      <c r="G422" s="53" t="s">
        <v>61</v>
      </c>
      <c r="H422" s="59" t="str">
        <f t="array" ref="H422">XLOOKUP(B422,municipios,regiao!$D$6:$D$150,0)</f>
        <v>SIM</v>
      </c>
      <c r="I422" s="53" t="s">
        <v>798</v>
      </c>
      <c r="J422" s="60" t="s">
        <v>337</v>
      </c>
      <c r="K422" s="61">
        <v>17.84</v>
      </c>
      <c r="L422" s="70">
        <f>K422/(1-pconfig!$G$2-pconfig!$G$3-pconfig!$G$4)</f>
        <v>33.6858006</v>
      </c>
      <c r="M422" s="61">
        <v>70.72</v>
      </c>
      <c r="N422" s="61">
        <f>M422/(1-pconfig!$G$2-pconfig!$G$3-pconfig!$G$4)</f>
        <v>133.5347432</v>
      </c>
      <c r="O422" s="61">
        <f>((K422*F422)+M422)/(1-pconfig!$G$2-pconfig!$G$3-pconfig!$G$4)</f>
        <v>167.2205438</v>
      </c>
      <c r="P422" s="74">
        <f>K422*F422/(1-pconfig!$G$2-pconfig!$G$3-pconfig!$G$4)</f>
        <v>33.6858006</v>
      </c>
      <c r="Q422" s="74">
        <f>IFS(F422&lt;=pconfig!$B$12,P422*pconfig!$C$12,F422&lt;=pconfig!$B$13,P422*pconfig!$C$13,F422&lt;=pconfig!$B$14,P422*pconfig!$C$14,F422&lt;=pconfig!$B$15,P422*pconfig!$C$15,F422&lt;=pconfig!$B$16,P422*pconfig!$C$16,F422&lt;=pconfig!$B$17,P422*pconfig!$C$17,F422&lt;=pconfig!$B$18,P422*pconfig!$C$18,F422&lt;=pconfig!$B$19,P422*pconfig!$C$19,F422&lt;=pconfig!$B$20,P422*pconfig!$C$20,F422&lt;=pconfig!$B$21,P422*pconfig!$C$21)</f>
        <v>33.6858006</v>
      </c>
      <c r="R422" s="76">
        <f t="shared" si="2"/>
        <v>167.2205438</v>
      </c>
    </row>
    <row r="423" ht="22.5" hidden="1" customHeight="1">
      <c r="A423" s="78">
        <f t="shared" si="3"/>
        <v>422</v>
      </c>
      <c r="B423" s="79" t="s">
        <v>949</v>
      </c>
      <c r="C423" s="79" t="s">
        <v>101</v>
      </c>
      <c r="D423" s="80" t="s">
        <v>102</v>
      </c>
      <c r="E423" s="79" t="str">
        <f t="shared" si="1"/>
        <v>VIGIASATELITE</v>
      </c>
      <c r="F423" s="81">
        <v>1.0</v>
      </c>
      <c r="G423" s="79" t="s">
        <v>61</v>
      </c>
      <c r="H423" s="81" t="str">
        <f t="array" ref="H423">XLOOKUP(B423,municipios,regiao!$D$6:$D$150,0)</f>
        <v>SIM</v>
      </c>
      <c r="I423" s="79" t="s">
        <v>798</v>
      </c>
      <c r="J423" s="82" t="s">
        <v>106</v>
      </c>
      <c r="K423" s="83">
        <v>4799.0</v>
      </c>
      <c r="L423" s="85">
        <f>K423/(1-pconfig!$G$2-pconfig!$G$3-pconfig!$G$4)</f>
        <v>9061.555891</v>
      </c>
      <c r="M423" s="83">
        <v>70.72</v>
      </c>
      <c r="N423" s="83">
        <f>M423/(1-pconfig!$G$2-pconfig!$G$3-pconfig!$G$4)</f>
        <v>133.5347432</v>
      </c>
      <c r="O423" s="83">
        <f>((K423*F423)+M423)/(1-pconfig!$G$2-pconfig!$G$3-pconfig!$G$4)</f>
        <v>9195.090634</v>
      </c>
      <c r="P423" s="86">
        <f>K423*F423/(1-pconfig!$G$2-pconfig!$G$3-pconfig!$G$4)</f>
        <v>9061.555891</v>
      </c>
      <c r="Q423" s="86">
        <f>IFS(F423&lt;=pconfig!$B$12,P423*pconfig!$C$12,F423&lt;=pconfig!$B$13,P423*pconfig!$C$13,F423&lt;=pconfig!$B$14,P423*pconfig!$C$14,F423&lt;=pconfig!$B$15,P423*pconfig!$C$15,F423&lt;=pconfig!$B$16,P423*pconfig!$C$16,F423&lt;=pconfig!$B$17,P423*pconfig!$C$17,F423&lt;=pconfig!$B$18,P423*pconfig!$C$18,F423&lt;=pconfig!$B$19,P423*pconfig!$C$19,F423&lt;=pconfig!$B$20,P423*pconfig!$C$20,F423&lt;=pconfig!$B$21,P423*pconfig!$C$21)</f>
        <v>9061.555891</v>
      </c>
      <c r="R423" s="87">
        <f t="shared" si="2"/>
        <v>9195.090634</v>
      </c>
    </row>
    <row r="424" ht="22.5" hidden="1" customHeight="1">
      <c r="A424" s="52">
        <f t="shared" si="3"/>
        <v>423</v>
      </c>
      <c r="B424" s="53" t="s">
        <v>949</v>
      </c>
      <c r="C424" s="53" t="s">
        <v>59</v>
      </c>
      <c r="D424" s="56" t="s">
        <v>60</v>
      </c>
      <c r="E424" s="53" t="str">
        <f t="shared" si="1"/>
        <v>VIGIARADIO</v>
      </c>
      <c r="F424" s="59">
        <v>1.0</v>
      </c>
      <c r="G424" s="53" t="s">
        <v>61</v>
      </c>
      <c r="H424" s="59" t="str">
        <f t="array" ref="H424">XLOOKUP(B424,municipios,regiao!$D$6:$D$150,0)</f>
        <v>SIM</v>
      </c>
      <c r="I424" s="53" t="s">
        <v>798</v>
      </c>
      <c r="J424" s="60" t="s">
        <v>337</v>
      </c>
      <c r="K424" s="61">
        <v>17.84</v>
      </c>
      <c r="L424" s="70">
        <f>K424/(1-pconfig!$G$2-pconfig!$G$3-pconfig!$G$4)</f>
        <v>33.6858006</v>
      </c>
      <c r="M424" s="61">
        <v>137.604166666667</v>
      </c>
      <c r="N424" s="61">
        <f>M424/(1-pconfig!$G$2-pconfig!$G$3-pconfig!$G$4)</f>
        <v>259.8265987</v>
      </c>
      <c r="O424" s="61">
        <f>((K424*F424)+M424)/(1-pconfig!$G$2-pconfig!$G$3-pconfig!$G$4)</f>
        <v>293.5123993</v>
      </c>
      <c r="P424" s="74">
        <f>K424*F424/(1-pconfig!$G$2-pconfig!$G$3-pconfig!$G$4)</f>
        <v>33.6858006</v>
      </c>
      <c r="Q424" s="74">
        <f>IFS(F424&lt;=pconfig!$B$12,P424*pconfig!$C$12,F424&lt;=pconfig!$B$13,P424*pconfig!$C$13,F424&lt;=pconfig!$B$14,P424*pconfig!$C$14,F424&lt;=pconfig!$B$15,P424*pconfig!$C$15,F424&lt;=pconfig!$B$16,P424*pconfig!$C$16,F424&lt;=pconfig!$B$17,P424*pconfig!$C$17,F424&lt;=pconfig!$B$18,P424*pconfig!$C$18,F424&lt;=pconfig!$B$19,P424*pconfig!$C$19,F424&lt;=pconfig!$B$20,P424*pconfig!$C$20,F424&lt;=pconfig!$B$21,P424*pconfig!$C$21)</f>
        <v>33.6858006</v>
      </c>
      <c r="R424" s="76">
        <f t="shared" si="2"/>
        <v>293.5123993</v>
      </c>
    </row>
    <row r="425" ht="22.5" hidden="1" customHeight="1">
      <c r="A425" s="78">
        <f t="shared" si="3"/>
        <v>424</v>
      </c>
      <c r="B425" s="79" t="s">
        <v>950</v>
      </c>
      <c r="C425" s="79" t="s">
        <v>59</v>
      </c>
      <c r="D425" s="80" t="s">
        <v>60</v>
      </c>
      <c r="E425" s="79" t="str">
        <f t="shared" si="1"/>
        <v>VISEURADIO</v>
      </c>
      <c r="F425" s="81">
        <v>1.0</v>
      </c>
      <c r="G425" s="79" t="s">
        <v>61</v>
      </c>
      <c r="H425" s="81" t="str">
        <f t="array" ref="H425">XLOOKUP(B425,municipios,regiao!$D$6:$D$150,0)</f>
        <v>NÃO</v>
      </c>
      <c r="I425" s="79" t="s">
        <v>496</v>
      </c>
      <c r="J425" s="82" t="s">
        <v>235</v>
      </c>
      <c r="K425" s="83">
        <v>20.69</v>
      </c>
      <c r="L425" s="85">
        <f>K425/(1-pconfig!$G$2-pconfig!$G$3-pconfig!$G$4)</f>
        <v>39.06722054</v>
      </c>
      <c r="M425" s="83">
        <v>137.604166666667</v>
      </c>
      <c r="N425" s="83">
        <f>M425/(1-pconfig!$G$2-pconfig!$G$3-pconfig!$G$4)</f>
        <v>259.8265987</v>
      </c>
      <c r="O425" s="83">
        <f>((K425*F425)+M425)/(1-pconfig!$G$2-pconfig!$G$3-pconfig!$G$4)</f>
        <v>298.8938192</v>
      </c>
      <c r="P425" s="86">
        <f>K425*F425/(1-pconfig!$G$2-pconfig!$G$3-pconfig!$G$4)</f>
        <v>39.06722054</v>
      </c>
      <c r="Q425" s="86">
        <f>IFS(F425&lt;=pconfig!$B$12,P425*pconfig!$C$12,F425&lt;=pconfig!$B$13,P425*pconfig!$C$13,F425&lt;=pconfig!$B$14,P425*pconfig!$C$14,F425&lt;=pconfig!$B$15,P425*pconfig!$C$15,F425&lt;=pconfig!$B$16,P425*pconfig!$C$16,F425&lt;=pconfig!$B$17,P425*pconfig!$C$17,F425&lt;=pconfig!$B$18,P425*pconfig!$C$18,F425&lt;=pconfig!$B$19,P425*pconfig!$C$19,F425&lt;=pconfig!$B$20,P425*pconfig!$C$20,F425&lt;=pconfig!$B$21,P425*pconfig!$C$21)</f>
        <v>39.06722054</v>
      </c>
      <c r="R425" s="87">
        <f t="shared" si="2"/>
        <v>298.8938192</v>
      </c>
    </row>
    <row r="426" ht="22.5" hidden="1" customHeight="1">
      <c r="A426" s="52">
        <f t="shared" si="3"/>
        <v>425</v>
      </c>
      <c r="B426" s="53" t="s">
        <v>950</v>
      </c>
      <c r="C426" s="53" t="s">
        <v>50</v>
      </c>
      <c r="D426" s="56" t="s">
        <v>82</v>
      </c>
      <c r="E426" s="53" t="str">
        <f t="shared" si="1"/>
        <v>VISEUFIBRA</v>
      </c>
      <c r="F426" s="59">
        <v>1.0</v>
      </c>
      <c r="G426" s="53" t="s">
        <v>61</v>
      </c>
      <c r="H426" s="59" t="str">
        <f t="array" ref="H426">XLOOKUP(B426,municipios,regiao!$D$6:$D$150,0)</f>
        <v>NÃO</v>
      </c>
      <c r="I426" s="53" t="s">
        <v>496</v>
      </c>
      <c r="J426" s="60" t="s">
        <v>235</v>
      </c>
      <c r="K426" s="61">
        <v>20.69</v>
      </c>
      <c r="L426" s="70">
        <f>K426/(1-pconfig!$G$2-pconfig!$G$3-pconfig!$G$4)</f>
        <v>39.06722054</v>
      </c>
      <c r="M426" s="61">
        <v>406.12</v>
      </c>
      <c r="N426" s="61">
        <f>M426/(1-pconfig!$G$2-pconfig!$G$3-pconfig!$G$4)</f>
        <v>766.8429003</v>
      </c>
      <c r="O426" s="61">
        <f>((K426*F426)+M426)/(1-pconfig!$G$2-pconfig!$G$3-pconfig!$G$4)</f>
        <v>805.9101208</v>
      </c>
      <c r="P426" s="74">
        <f>K426*F426/(1-pconfig!$G$2-pconfig!$G$3-pconfig!$G$4)</f>
        <v>39.06722054</v>
      </c>
      <c r="Q426" s="74">
        <f>IFS(F426&lt;=pconfig!$B$12,P426*pconfig!$C$12,F426&lt;=pconfig!$B$13,P426*pconfig!$C$13,F426&lt;=pconfig!$B$14,P426*pconfig!$C$14,F426&lt;=pconfig!$B$15,P426*pconfig!$C$15,F426&lt;=pconfig!$B$16,P426*pconfig!$C$16,F426&lt;=pconfig!$B$17,P426*pconfig!$C$17,F426&lt;=pconfig!$B$18,P426*pconfig!$C$18,F426&lt;=pconfig!$B$19,P426*pconfig!$C$19,F426&lt;=pconfig!$B$20,P426*pconfig!$C$20,F426&lt;=pconfig!$B$21,P426*pconfig!$C$21)</f>
        <v>39.06722054</v>
      </c>
      <c r="R426" s="76">
        <f t="shared" si="2"/>
        <v>805.9101208</v>
      </c>
    </row>
    <row r="427" ht="22.5" hidden="1" customHeight="1">
      <c r="A427" s="78">
        <f t="shared" si="3"/>
        <v>426</v>
      </c>
      <c r="B427" s="79" t="s">
        <v>950</v>
      </c>
      <c r="C427" s="79" t="s">
        <v>101</v>
      </c>
      <c r="D427" s="80" t="s">
        <v>102</v>
      </c>
      <c r="E427" s="79" t="str">
        <f t="shared" si="1"/>
        <v>VISEUSATELITE</v>
      </c>
      <c r="F427" s="81">
        <v>1.0</v>
      </c>
      <c r="G427" s="79" t="s">
        <v>61</v>
      </c>
      <c r="H427" s="81" t="str">
        <f t="array" ref="H427">XLOOKUP(B427,municipios,regiao!$D$6:$D$150,0)</f>
        <v>NÃO</v>
      </c>
      <c r="I427" s="79" t="s">
        <v>496</v>
      </c>
      <c r="J427" s="82" t="s">
        <v>106</v>
      </c>
      <c r="K427" s="83">
        <v>4799.0</v>
      </c>
      <c r="L427" s="85">
        <f>K427/(1-pconfig!$G$2-pconfig!$G$3-pconfig!$G$4)</f>
        <v>9061.555891</v>
      </c>
      <c r="M427" s="83">
        <v>406.12</v>
      </c>
      <c r="N427" s="83">
        <f>M427/(1-pconfig!$G$2-pconfig!$G$3-pconfig!$G$4)</f>
        <v>766.8429003</v>
      </c>
      <c r="O427" s="83">
        <f>((K427*F427)+M427)/(1-pconfig!$G$2-pconfig!$G$3-pconfig!$G$4)</f>
        <v>9828.398792</v>
      </c>
      <c r="P427" s="86">
        <f>K427*F427/(1-pconfig!$G$2-pconfig!$G$3-pconfig!$G$4)</f>
        <v>9061.555891</v>
      </c>
      <c r="Q427" s="86">
        <f>IFS(F427&lt;=pconfig!$B$12,P427*pconfig!$C$12,F427&lt;=pconfig!$B$13,P427*pconfig!$C$13,F427&lt;=pconfig!$B$14,P427*pconfig!$C$14,F427&lt;=pconfig!$B$15,P427*pconfig!$C$15,F427&lt;=pconfig!$B$16,P427*pconfig!$C$16,F427&lt;=pconfig!$B$17,P427*pconfig!$C$17,F427&lt;=pconfig!$B$18,P427*pconfig!$C$18,F427&lt;=pconfig!$B$19,P427*pconfig!$C$19,F427&lt;=pconfig!$B$20,P427*pconfig!$C$20,F427&lt;=pconfig!$B$21,P427*pconfig!$C$21)</f>
        <v>9061.555891</v>
      </c>
      <c r="R427" s="87">
        <f t="shared" si="2"/>
        <v>9828.398792</v>
      </c>
    </row>
    <row r="428" ht="22.5" hidden="1" customHeight="1">
      <c r="A428" s="52">
        <f t="shared" si="3"/>
        <v>427</v>
      </c>
      <c r="B428" s="53" t="s">
        <v>951</v>
      </c>
      <c r="C428" s="53" t="s">
        <v>50</v>
      </c>
      <c r="D428" s="56" t="s">
        <v>82</v>
      </c>
      <c r="E428" s="53" t="str">
        <f t="shared" si="1"/>
        <v>VITORIA DO XINGUFIBRA</v>
      </c>
      <c r="F428" s="59">
        <v>1.0</v>
      </c>
      <c r="G428" s="53" t="s">
        <v>374</v>
      </c>
      <c r="H428" s="59" t="str">
        <f t="array" ref="H428">XLOOKUP(B428,municipios,regiao!$D$6:$D$150,0)</f>
        <v>SIM</v>
      </c>
      <c r="I428" s="53" t="s">
        <v>375</v>
      </c>
      <c r="J428" s="60" t="s">
        <v>337</v>
      </c>
      <c r="K428" s="61">
        <v>17.84</v>
      </c>
      <c r="L428" s="70">
        <f>K428/(1-pconfig!$G$2-pconfig!$G$3-pconfig!$G$4)</f>
        <v>33.6858006</v>
      </c>
      <c r="M428" s="61">
        <v>283.33</v>
      </c>
      <c r="N428" s="61">
        <f>M428/(1-pconfig!$G$2-pconfig!$G$3-pconfig!$G$4)</f>
        <v>534.9886707</v>
      </c>
      <c r="O428" s="61">
        <f>((K428*F428)+M428)/(1-pconfig!$G$2-pconfig!$G$3-pconfig!$G$4)</f>
        <v>568.6744713</v>
      </c>
      <c r="P428" s="74">
        <f>K428*F428/(1-pconfig!$G$2-pconfig!$G$3-pconfig!$G$4)</f>
        <v>33.6858006</v>
      </c>
      <c r="Q428" s="74">
        <f>IFS(F428&lt;=pconfig!$B$12,P428*pconfig!$C$12,F428&lt;=pconfig!$B$13,P428*pconfig!$C$13,F428&lt;=pconfig!$B$14,P428*pconfig!$C$14,F428&lt;=pconfig!$B$15,P428*pconfig!$C$15,F428&lt;=pconfig!$B$16,P428*pconfig!$C$16,F428&lt;=pconfig!$B$17,P428*pconfig!$C$17,F428&lt;=pconfig!$B$18,P428*pconfig!$C$18,F428&lt;=pconfig!$B$19,P428*pconfig!$C$19,F428&lt;=pconfig!$B$20,P428*pconfig!$C$20,F428&lt;=pconfig!$B$21,P428*pconfig!$C$21)</f>
        <v>33.6858006</v>
      </c>
      <c r="R428" s="76">
        <f t="shared" si="2"/>
        <v>568.6744713</v>
      </c>
    </row>
    <row r="429" ht="22.5" hidden="1" customHeight="1">
      <c r="A429" s="78">
        <f t="shared" si="3"/>
        <v>428</v>
      </c>
      <c r="B429" s="79" t="s">
        <v>951</v>
      </c>
      <c r="C429" s="79" t="s">
        <v>101</v>
      </c>
      <c r="D429" s="80" t="s">
        <v>102</v>
      </c>
      <c r="E429" s="79" t="str">
        <f t="shared" si="1"/>
        <v>VITORIA DO XINGUSATELITE</v>
      </c>
      <c r="F429" s="81">
        <v>1.0</v>
      </c>
      <c r="G429" s="79" t="s">
        <v>374</v>
      </c>
      <c r="H429" s="81" t="str">
        <f t="array" ref="H429">XLOOKUP(B429,municipios,regiao!$D$6:$D$150,0)</f>
        <v>SIM</v>
      </c>
      <c r="I429" s="79" t="s">
        <v>375</v>
      </c>
      <c r="J429" s="82" t="s">
        <v>106</v>
      </c>
      <c r="K429" s="83">
        <v>4799.0</v>
      </c>
      <c r="L429" s="85">
        <f>K429/(1-pconfig!$G$2-pconfig!$G$3-pconfig!$G$4)</f>
        <v>9061.555891</v>
      </c>
      <c r="M429" s="83">
        <v>283.33</v>
      </c>
      <c r="N429" s="83">
        <f>M429/(1-pconfig!$G$2-pconfig!$G$3-pconfig!$G$4)</f>
        <v>534.9886707</v>
      </c>
      <c r="O429" s="83">
        <f>((K429*F429)+M429)/(1-pconfig!$G$2-pconfig!$G$3-pconfig!$G$4)</f>
        <v>9596.544562</v>
      </c>
      <c r="P429" s="86">
        <f>K429*F429/(1-pconfig!$G$2-pconfig!$G$3-pconfig!$G$4)</f>
        <v>9061.555891</v>
      </c>
      <c r="Q429" s="86">
        <f>IFS(F429&lt;=pconfig!$B$12,P429*pconfig!$C$12,F429&lt;=pconfig!$B$13,P429*pconfig!$C$13,F429&lt;=pconfig!$B$14,P429*pconfig!$C$14,F429&lt;=pconfig!$B$15,P429*pconfig!$C$15,F429&lt;=pconfig!$B$16,P429*pconfig!$C$16,F429&lt;=pconfig!$B$17,P429*pconfig!$C$17,F429&lt;=pconfig!$B$18,P429*pconfig!$C$18,F429&lt;=pconfig!$B$19,P429*pconfig!$C$19,F429&lt;=pconfig!$B$20,P429*pconfig!$C$20,F429&lt;=pconfig!$B$21,P429*pconfig!$C$21)</f>
        <v>9061.555891</v>
      </c>
      <c r="R429" s="87">
        <f t="shared" si="2"/>
        <v>9596.544562</v>
      </c>
    </row>
    <row r="430" ht="22.5" hidden="1" customHeight="1">
      <c r="A430" s="52">
        <f t="shared" si="3"/>
        <v>429</v>
      </c>
      <c r="B430" s="53" t="s">
        <v>951</v>
      </c>
      <c r="C430" s="53" t="s">
        <v>59</v>
      </c>
      <c r="D430" s="56" t="s">
        <v>60</v>
      </c>
      <c r="E430" s="53" t="str">
        <f t="shared" si="1"/>
        <v>VITORIA DO XINGURADIO</v>
      </c>
      <c r="F430" s="59">
        <v>1.0</v>
      </c>
      <c r="G430" s="53" t="s">
        <v>374</v>
      </c>
      <c r="H430" s="59" t="str">
        <f t="array" ref="H430">XLOOKUP(B430,municipios,regiao!$D$6:$D$150,0)</f>
        <v>SIM</v>
      </c>
      <c r="I430" s="53" t="s">
        <v>375</v>
      </c>
      <c r="J430" s="60" t="s">
        <v>337</v>
      </c>
      <c r="K430" s="61">
        <v>17.84</v>
      </c>
      <c r="L430" s="70">
        <f>K430/(1-pconfig!$G$2-pconfig!$G$3-pconfig!$G$4)</f>
        <v>33.6858006</v>
      </c>
      <c r="M430" s="61">
        <v>416.666666666667</v>
      </c>
      <c r="N430" s="61">
        <f>M430/(1-pconfig!$G$2-pconfig!$G$3-pconfig!$G$4)</f>
        <v>786.7573011</v>
      </c>
      <c r="O430" s="61">
        <f>((K430*F430)+M430)/(1-pconfig!$G$2-pconfig!$G$3-pconfig!$G$4)</f>
        <v>820.4431017</v>
      </c>
      <c r="P430" s="74">
        <f>K430*F430/(1-pconfig!$G$2-pconfig!$G$3-pconfig!$G$4)</f>
        <v>33.6858006</v>
      </c>
      <c r="Q430" s="74">
        <f>IFS(F430&lt;=pconfig!$B$12,P430*pconfig!$C$12,F430&lt;=pconfig!$B$13,P430*pconfig!$C$13,F430&lt;=pconfig!$B$14,P430*pconfig!$C$14,F430&lt;=pconfig!$B$15,P430*pconfig!$C$15,F430&lt;=pconfig!$B$16,P430*pconfig!$C$16,F430&lt;=pconfig!$B$17,P430*pconfig!$C$17,F430&lt;=pconfig!$B$18,P430*pconfig!$C$18,F430&lt;=pconfig!$B$19,P430*pconfig!$C$19,F430&lt;=pconfig!$B$20,P430*pconfig!$C$20,F430&lt;=pconfig!$B$21,P430*pconfig!$C$21)</f>
        <v>33.6858006</v>
      </c>
      <c r="R430" s="76">
        <f t="shared" si="2"/>
        <v>820.4431017</v>
      </c>
    </row>
    <row r="431" ht="22.5" hidden="1" customHeight="1">
      <c r="A431" s="78">
        <f t="shared" si="3"/>
        <v>430</v>
      </c>
      <c r="B431" s="79" t="s">
        <v>952</v>
      </c>
      <c r="C431" s="79" t="s">
        <v>59</v>
      </c>
      <c r="D431" s="80" t="s">
        <v>60</v>
      </c>
      <c r="E431" s="79" t="str">
        <f t="shared" si="1"/>
        <v>XINGUARARADIO</v>
      </c>
      <c r="F431" s="81">
        <v>1.0</v>
      </c>
      <c r="G431" s="79" t="s">
        <v>128</v>
      </c>
      <c r="H431" s="81" t="str">
        <f t="array" ref="H431">XLOOKUP(B431,municipios,regiao!$D$6:$D$150,0)</f>
        <v>SIM</v>
      </c>
      <c r="I431" s="79" t="s">
        <v>280</v>
      </c>
      <c r="J431" s="82" t="s">
        <v>64</v>
      </c>
      <c r="K431" s="83">
        <v>15.65</v>
      </c>
      <c r="L431" s="85">
        <f>K431/(1-pconfig!$G$2-pconfig!$G$3-pconfig!$G$4)</f>
        <v>29.55060423</v>
      </c>
      <c r="M431" s="83">
        <v>336.074166666667</v>
      </c>
      <c r="N431" s="83">
        <f>M431/(1-pconfig!$G$2-pconfig!$G$3-pconfig!$G$4)</f>
        <v>634.5811304</v>
      </c>
      <c r="O431" s="83">
        <f>((K431*F431)+M431)/(1-pconfig!$G$2-pconfig!$G$3-pconfig!$G$4)</f>
        <v>664.1317346</v>
      </c>
      <c r="P431" s="86">
        <f>K431*F431/(1-pconfig!$G$2-pconfig!$G$3-pconfig!$G$4)</f>
        <v>29.55060423</v>
      </c>
      <c r="Q431" s="86">
        <f>IFS(F431&lt;=pconfig!$B$12,P431*pconfig!$C$12,F431&lt;=pconfig!$B$13,P431*pconfig!$C$13,F431&lt;=pconfig!$B$14,P431*pconfig!$C$14,F431&lt;=pconfig!$B$15,P431*pconfig!$C$15,F431&lt;=pconfig!$B$16,P431*pconfig!$C$16,F431&lt;=pconfig!$B$17,P431*pconfig!$C$17,F431&lt;=pconfig!$B$18,P431*pconfig!$C$18,F431&lt;=pconfig!$B$19,P431*pconfig!$C$19,F431&lt;=pconfig!$B$20,P431*pconfig!$C$20,F431&lt;=pconfig!$B$21,P431*pconfig!$C$21)</f>
        <v>29.55060423</v>
      </c>
      <c r="R431" s="87">
        <f t="shared" si="2"/>
        <v>664.1317346</v>
      </c>
    </row>
    <row r="432" ht="22.5" hidden="1" customHeight="1">
      <c r="A432" s="52">
        <f t="shared" si="3"/>
        <v>431</v>
      </c>
      <c r="B432" s="53" t="s">
        <v>952</v>
      </c>
      <c r="C432" s="53" t="s">
        <v>50</v>
      </c>
      <c r="D432" s="56" t="s">
        <v>82</v>
      </c>
      <c r="E432" s="53" t="str">
        <f t="shared" si="1"/>
        <v>XINGUARAFIBRA</v>
      </c>
      <c r="F432" s="59">
        <v>1.0</v>
      </c>
      <c r="G432" s="53" t="s">
        <v>128</v>
      </c>
      <c r="H432" s="59" t="str">
        <f t="array" ref="H432">XLOOKUP(B432,municipios,regiao!$D$6:$D$150,0)</f>
        <v>SIM</v>
      </c>
      <c r="I432" s="53" t="s">
        <v>280</v>
      </c>
      <c r="J432" s="60" t="s">
        <v>64</v>
      </c>
      <c r="K432" s="61">
        <v>15.65</v>
      </c>
      <c r="L432" s="70">
        <f>K432/(1-pconfig!$G$2-pconfig!$G$3-pconfig!$G$4)</f>
        <v>29.55060423</v>
      </c>
      <c r="M432" s="61">
        <v>447.5</v>
      </c>
      <c r="N432" s="61">
        <f>M432/(1-pconfig!$G$2-pconfig!$G$3-pconfig!$G$4)</f>
        <v>844.9773414</v>
      </c>
      <c r="O432" s="61">
        <f>((K432*F432)+M432)/(1-pconfig!$G$2-pconfig!$G$3-pconfig!$G$4)</f>
        <v>874.5279456</v>
      </c>
      <c r="P432" s="74">
        <f>K432*F432/(1-pconfig!$G$2-pconfig!$G$3-pconfig!$G$4)</f>
        <v>29.55060423</v>
      </c>
      <c r="Q432" s="74">
        <f>IFS(F432&lt;=pconfig!$B$12,P432*pconfig!$C$12,F432&lt;=pconfig!$B$13,P432*pconfig!$C$13,F432&lt;=pconfig!$B$14,P432*pconfig!$C$14,F432&lt;=pconfig!$B$15,P432*pconfig!$C$15,F432&lt;=pconfig!$B$16,P432*pconfig!$C$16,F432&lt;=pconfig!$B$17,P432*pconfig!$C$17,F432&lt;=pconfig!$B$18,P432*pconfig!$C$18,F432&lt;=pconfig!$B$19,P432*pconfig!$C$19,F432&lt;=pconfig!$B$20,P432*pconfig!$C$20,F432&lt;=pconfig!$B$21,P432*pconfig!$C$21)</f>
        <v>29.55060423</v>
      </c>
      <c r="R432" s="76">
        <f t="shared" si="2"/>
        <v>874.5279456</v>
      </c>
    </row>
    <row r="433" ht="22.5" hidden="1" customHeight="1">
      <c r="A433" s="383">
        <f t="shared" si="3"/>
        <v>432</v>
      </c>
      <c r="B433" s="384" t="s">
        <v>952</v>
      </c>
      <c r="C433" s="384" t="s">
        <v>101</v>
      </c>
      <c r="D433" s="385" t="s">
        <v>102</v>
      </c>
      <c r="E433" s="384" t="str">
        <f t="shared" si="1"/>
        <v>XINGUARASATELITE</v>
      </c>
      <c r="F433" s="386">
        <v>1.0</v>
      </c>
      <c r="G433" s="384" t="s">
        <v>128</v>
      </c>
      <c r="H433" s="386" t="str">
        <f t="array" ref="H433">XLOOKUP(B433,municipios,regiao!$D$6:$D$150,0)</f>
        <v>SIM</v>
      </c>
      <c r="I433" s="384" t="s">
        <v>280</v>
      </c>
      <c r="J433" s="387" t="s">
        <v>106</v>
      </c>
      <c r="K433" s="388">
        <v>4799.0</v>
      </c>
      <c r="L433" s="389">
        <f>K433/(1-pconfig!$G$2-pconfig!$G$3-pconfig!$G$4)</f>
        <v>9061.555891</v>
      </c>
      <c r="M433" s="388">
        <v>447.5</v>
      </c>
      <c r="N433" s="388">
        <f>M433/(1-pconfig!$G$2-pconfig!$G$3-pconfig!$G$4)</f>
        <v>844.9773414</v>
      </c>
      <c r="O433" s="388">
        <f>((K433*F433)+M433)/(1-pconfig!$G$2-pconfig!$G$3-pconfig!$G$4)</f>
        <v>9906.533233</v>
      </c>
      <c r="P433" s="390">
        <f>K433*F433/(1-pconfig!$G$2-pconfig!$G$3-pconfig!$G$4)</f>
        <v>9061.555891</v>
      </c>
      <c r="Q433" s="390">
        <f>IFS(F433&lt;=pconfig!$B$12,P433*pconfig!$C$12,F433&lt;=pconfig!$B$13,P433*pconfig!$C$13,F433&lt;=pconfig!$B$14,P433*pconfig!$C$14,F433&lt;=pconfig!$B$15,P433*pconfig!$C$15,F433&lt;=pconfig!$B$16,P433*pconfig!$C$16,F433&lt;=pconfig!$B$17,P433*pconfig!$C$17,F433&lt;=pconfig!$B$18,P433*pconfig!$C$18,F433&lt;=pconfig!$B$19,P433*pconfig!$C$19,F433&lt;=pconfig!$B$20,P433*pconfig!$C$20,F433&lt;=pconfig!$B$21,P433*pconfig!$C$21)</f>
        <v>9061.555891</v>
      </c>
      <c r="R433" s="391">
        <f t="shared" si="2"/>
        <v>9906.533233</v>
      </c>
    </row>
  </sheetData>
  <dataValidations>
    <dataValidation type="custom" allowBlank="1" showDropDown="1" sqref="J2:L433 N2:O433">
      <formula1>AND(ISNUMBER(J2),(NOT(OR(NOT(ISERROR(DATEVALUE(J2))), AND(ISNUMBER(J2), LEFT(CELL("format", J2))="D")))))</formula1>
    </dataValidation>
    <dataValidation type="list" allowBlank="1" sqref="D2:D433">
      <formula1>"METRO,GPON,ALVARION,CALIUM,AIRMUX,TELEBRAS"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0"/>
  <cols>
    <col customWidth="1" min="2" max="2" width="20.63"/>
    <col customWidth="1" min="3" max="3" width="19.63"/>
    <col customWidth="1" min="4" max="4" width="36.0"/>
    <col customWidth="1" min="5" max="5" width="46.88"/>
    <col customWidth="1" min="6" max="6" width="71.38"/>
    <col customWidth="1" min="7" max="7" width="41.25"/>
    <col customWidth="1" min="8" max="8" width="25.5"/>
    <col customWidth="1" min="9" max="9" width="37.75"/>
    <col customWidth="1" min="10" max="10" width="29.25"/>
  </cols>
  <sheetData>
    <row r="1">
      <c r="A1" s="1" t="str">
        <f>IFERROR(__xludf.DUMMYFUNCTION("IMPORTRANGE(""https://docs.google.com/spreadsheets/d/1fiSxYvppz5DsfdaqAWe6egd1vzr2a7h0sdUdR2hpq6w/edit?usp=sharing"",""Contatos!A:J"")"),"Id")</f>
        <v>Id</v>
      </c>
      <c r="B1" s="1" t="str">
        <f>IFERROR(__xludf.DUMMYFUNCTION("""COMPUTED_VALUE"""),"CodUnico")</f>
        <v>CodUnico</v>
      </c>
      <c r="C1" s="1" t="str">
        <f>IFERROR(__xludf.DUMMYFUNCTION("""COMPUTED_VALUE"""),"Sigla")</f>
        <v>Sigla</v>
      </c>
      <c r="D1" s="1" t="str">
        <f>IFERROR(__xludf.DUMMYFUNCTION("""COMPUTED_VALUE"""),"Contato")</f>
        <v>Contato</v>
      </c>
      <c r="E1" s="3" t="str">
        <f>IFERROR(__xludf.DUMMYFUNCTION("""COMPUTED_VALUE"""),"Cargo")</f>
        <v>Cargo</v>
      </c>
      <c r="F1" s="1" t="str">
        <f>IFERROR(__xludf.DUMMYFUNCTION("""COMPUTED_VALUE"""),"Setor")</f>
        <v>Setor</v>
      </c>
      <c r="G1" s="1" t="str">
        <f>IFERROR(__xludf.DUMMYFUNCTION("""COMPUTED_VALUE"""),"Telefone")</f>
        <v>Telefone</v>
      </c>
      <c r="H1" s="1" t="str">
        <f>IFERROR(__xludf.DUMMYFUNCTION("""COMPUTED_VALUE"""),"Celular")</f>
        <v>Celular</v>
      </c>
      <c r="I1" s="1" t="str">
        <f>IFERROR(__xludf.DUMMYFUNCTION("""COMPUTED_VALUE"""),"Email principal")</f>
        <v>Email principal</v>
      </c>
      <c r="J1" s="3" t="str">
        <f>IFERROR(__xludf.DUMMYFUNCTION("""COMPUTED_VALUE"""),"Email secundario")</f>
        <v>Email secundario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/>
      <c r="B2" s="7" t="str">
        <f>IFERROR(__xludf.DUMMYFUNCTION("""COMPUTED_VALUE"""),"ADEPARÁ1")</f>
        <v>ADEPARÁ1</v>
      </c>
      <c r="C2" s="7" t="str">
        <f>IFERROR(__xludf.DUMMYFUNCTION("""COMPUTED_VALUE"""),"ADEPARÁ")</f>
        <v>ADEPARÁ</v>
      </c>
      <c r="D2" s="7" t="str">
        <f>IFERROR(__xludf.DUMMYFUNCTION("""COMPUTED_VALUE"""),"Emerson Ribeiro da Silva")</f>
        <v>Emerson Ribeiro da Silva</v>
      </c>
      <c r="E2" s="7"/>
      <c r="F2" s="7" t="str">
        <f>IFERROR(__xludf.DUMMYFUNCTION("""COMPUTED_VALUE"""),"Gerência de Tecnologia da Informação - GTI")</f>
        <v>Gerência de Tecnologia da Informação - GTI</v>
      </c>
      <c r="G2" s="7"/>
      <c r="H2" s="7"/>
      <c r="I2" s="7" t="str">
        <f>IFERROR(__xludf.DUMMYFUNCTION("""COMPUTED_VALUE"""),"gti@adepara.pa.gov.br")</f>
        <v>gti@adepara.pa.gov.br</v>
      </c>
      <c r="J2" s="7"/>
    </row>
    <row r="3">
      <c r="A3" s="7"/>
      <c r="B3" s="7" t="str">
        <f>IFERROR(__xludf.DUMMYFUNCTION("""COMPUTED_VALUE"""),"ADEPARÁ2")</f>
        <v>ADEPARÁ2</v>
      </c>
      <c r="C3" s="7" t="str">
        <f>IFERROR(__xludf.DUMMYFUNCTION("""COMPUTED_VALUE"""),"ADEPARÁ")</f>
        <v>ADEPARÁ</v>
      </c>
      <c r="D3" s="7" t="str">
        <f>IFERROR(__xludf.DUMMYFUNCTION("""COMPUTED_VALUE"""),"Hugo ")</f>
        <v>Hugo </v>
      </c>
      <c r="E3" s="7" t="str">
        <f>IFERROR(__xludf.DUMMYFUNCTION("""COMPUTED_VALUE"""),"Técnico/Analista")</f>
        <v>Técnico/Analista</v>
      </c>
      <c r="F3" s="7" t="str">
        <f>IFERROR(__xludf.DUMMYFUNCTION("""COMPUTED_VALUE"""),"Gerência de Tecnologia da Informação - GTI")</f>
        <v>Gerência de Tecnologia da Informação - GTI</v>
      </c>
      <c r="G3" s="7"/>
      <c r="H3" s="7" t="str">
        <f>IFERROR(__xludf.DUMMYFUNCTION("""COMPUTED_VALUE"""),"(91) 9122-0441")</f>
        <v>(91) 9122-0441</v>
      </c>
      <c r="I3" s="7" t="str">
        <f>IFERROR(__xludf.DUMMYFUNCTION("""COMPUTED_VALUE"""),"inteligencia@adepara.pa.gov.br")</f>
        <v>inteligencia@adepara.pa.gov.br</v>
      </c>
      <c r="J3" s="7"/>
    </row>
    <row r="4">
      <c r="A4" s="7"/>
      <c r="B4" s="7" t="str">
        <f>IFERROR(__xludf.DUMMYFUNCTION("""COMPUTED_VALUE"""),"ADEPARÁ3")</f>
        <v>ADEPARÁ3</v>
      </c>
      <c r="C4" s="7" t="str">
        <f>IFERROR(__xludf.DUMMYFUNCTION("""COMPUTED_VALUE"""),"ADEPARÁ")</f>
        <v>ADEPARÁ</v>
      </c>
      <c r="D4" s="7" t="str">
        <f>IFERROR(__xludf.DUMMYFUNCTION("""COMPUTED_VALUE"""),"Youssef")</f>
        <v>Youssef</v>
      </c>
      <c r="E4" s="7" t="str">
        <f>IFERROR(__xludf.DUMMYFUNCTION("""COMPUTED_VALUE"""),"Desenvolvedor")</f>
        <v>Desenvolvedor</v>
      </c>
      <c r="F4" s="7" t="str">
        <f>IFERROR(__xludf.DUMMYFUNCTION("""COMPUTED_VALUE"""),"Gerência de Tecnologia da Informação - GTI")</f>
        <v>Gerência de Tecnologia da Informação - GTI</v>
      </c>
      <c r="G4" s="7" t="str">
        <f>IFERROR(__xludf.DUMMYFUNCTION("""COMPUTED_VALUE"""),"(351) 924 989 103")</f>
        <v>(351) 924 989 103</v>
      </c>
      <c r="H4" s="7"/>
      <c r="I4" s="7" t="str">
        <f>IFERROR(__xludf.DUMMYFUNCTION("""COMPUTED_VALUE"""),"gti@adepara.pa.gov.br")</f>
        <v>gti@adepara.pa.gov.br</v>
      </c>
      <c r="J4" s="7"/>
    </row>
    <row r="5">
      <c r="A5" s="7"/>
      <c r="B5" s="7" t="str">
        <f>IFERROR(__xludf.DUMMYFUNCTION("""COMPUTED_VALUE"""),"ALEPA1")</f>
        <v>ALEPA1</v>
      </c>
      <c r="C5" s="7" t="str">
        <f>IFERROR(__xludf.DUMMYFUNCTION("""COMPUTED_VALUE"""),"ALEPA")</f>
        <v>ALEPA</v>
      </c>
      <c r="D5" s="7" t="str">
        <f>IFERROR(__xludf.DUMMYFUNCTION("""COMPUTED_VALUE"""),"Ôrencio Junior")</f>
        <v>Ôrencio Junior</v>
      </c>
      <c r="E5" s="7" t="str">
        <f>IFERROR(__xludf.DUMMYFUNCTION("""COMPUTED_VALUE"""),"Gerente de Rede ")</f>
        <v>Gerente de Rede </v>
      </c>
      <c r="F5" s="7" t="str">
        <f>IFERROR(__xludf.DUMMYFUNCTION("""COMPUTED_VALUE"""),"T.I")</f>
        <v>T.I</v>
      </c>
      <c r="G5" s="7"/>
      <c r="H5" s="7" t="str">
        <f>IFERROR(__xludf.DUMMYFUNCTION("""COMPUTED_VALUE""")," 99114-6282 ")</f>
        <v> 99114-6282 </v>
      </c>
      <c r="I5" s="16" t="str">
        <f>IFERROR(__xludf.DUMMYFUNCTION("""COMPUTED_VALUE"""),"orenciojunior@gmail.com")</f>
        <v>orenciojunior@gmail.com</v>
      </c>
      <c r="J5" s="16" t="str">
        <f>IFERROR(__xludf.DUMMYFUNCTION("""COMPUTED_VALUE"""),"orencio@alepa.pa.gov.br")</f>
        <v>orencio@alepa.pa.gov.br</v>
      </c>
    </row>
    <row r="6">
      <c r="A6" s="7"/>
      <c r="B6" s="7" t="str">
        <f>IFERROR(__xludf.DUMMYFUNCTION("""COMPUTED_VALUE"""),"ALEPA2")</f>
        <v>ALEPA2</v>
      </c>
      <c r="C6" s="7" t="str">
        <f>IFERROR(__xludf.DUMMYFUNCTION("""COMPUTED_VALUE"""),"ALEPA")</f>
        <v>ALEPA</v>
      </c>
      <c r="D6" s="7" t="str">
        <f>IFERROR(__xludf.DUMMYFUNCTION("""COMPUTED_VALUE"""),"Danielly")</f>
        <v>Danielly</v>
      </c>
      <c r="E6" s="7"/>
      <c r="F6" s="7" t="str">
        <f>IFERROR(__xludf.DUMMYFUNCTION("""COMPUTED_VALUE"""),"Contabilidade")</f>
        <v>Contabilidade</v>
      </c>
      <c r="G6" s="7" t="str">
        <f>IFERROR(__xludf.DUMMYFUNCTION("""COMPUTED_VALUE"""),"98159-2958 ")</f>
        <v>98159-2958 </v>
      </c>
      <c r="H6" s="7"/>
      <c r="I6" s="7"/>
      <c r="J6" s="7"/>
    </row>
    <row r="7">
      <c r="A7" s="7"/>
      <c r="B7" s="7" t="str">
        <f>IFERROR(__xludf.DUMMYFUNCTION("""COMPUTED_VALUE"""),"ALEPA3")</f>
        <v>ALEPA3</v>
      </c>
      <c r="C7" s="7" t="str">
        <f>IFERROR(__xludf.DUMMYFUNCTION("""COMPUTED_VALUE"""),"ALEPA")</f>
        <v>ALEPA</v>
      </c>
      <c r="D7" s="7" t="str">
        <f>IFERROR(__xludf.DUMMYFUNCTION("""COMPUTED_VALUE"""),"Paulo André Ramalho")</f>
        <v>Paulo André Ramalho</v>
      </c>
      <c r="E7" s="7" t="str">
        <f>IFERROR(__xludf.DUMMYFUNCTION("""COMPUTED_VALUE"""),"Analista de Suporte")</f>
        <v>Analista de Suporte</v>
      </c>
      <c r="F7" s="7"/>
      <c r="G7" s="7"/>
      <c r="H7" s="7"/>
      <c r="I7" s="7"/>
      <c r="J7" s="7"/>
    </row>
    <row r="8">
      <c r="A8" s="7"/>
      <c r="B8" s="7" t="str">
        <f>IFERROR(__xludf.DUMMYFUNCTION("""COMPUTED_VALUE"""),"ALEPA4")</f>
        <v>ALEPA4</v>
      </c>
      <c r="C8" s="7" t="str">
        <f>IFERROR(__xludf.DUMMYFUNCTION("""COMPUTED_VALUE"""),"ALEPA")</f>
        <v>ALEPA</v>
      </c>
      <c r="D8" s="7" t="str">
        <f>IFERROR(__xludf.DUMMYFUNCTION("""COMPUTED_VALUE"""),"LICITAÇÃO")</f>
        <v>LICITAÇÃO</v>
      </c>
      <c r="E8" s="7"/>
      <c r="F8" s="7"/>
      <c r="G8" s="7"/>
      <c r="H8" s="7"/>
      <c r="I8" s="16" t="str">
        <f>IFERROR(__xludf.DUMMYFUNCTION("""COMPUTED_VALUE"""),"licitacao@alepa.pa.gov.br")</f>
        <v>licitacao@alepa.pa.gov.br</v>
      </c>
      <c r="J8" s="7"/>
    </row>
    <row r="9">
      <c r="A9" s="7"/>
      <c r="B9" s="7" t="str">
        <f>IFERROR(__xludf.DUMMYFUNCTION("""COMPUTED_VALUE"""),"ARCON1")</f>
        <v>ARCON1</v>
      </c>
      <c r="C9" s="7" t="str">
        <f>IFERROR(__xludf.DUMMYFUNCTION("""COMPUTED_VALUE"""),"ARCON")</f>
        <v>ARCON</v>
      </c>
      <c r="D9" s="7"/>
      <c r="E9" s="7"/>
      <c r="F9" s="7"/>
      <c r="G9" s="7"/>
      <c r="H9" s="7"/>
      <c r="I9" s="7"/>
      <c r="J9" s="7"/>
    </row>
    <row r="10">
      <c r="A10" s="7"/>
      <c r="B10" s="7" t="str">
        <f>IFERROR(__xludf.DUMMYFUNCTION("""COMPUTED_VALUE"""),"ARTRAN1")</f>
        <v>ARTRAN1</v>
      </c>
      <c r="C10" s="7" t="str">
        <f>IFERROR(__xludf.DUMMYFUNCTION("""COMPUTED_VALUE"""),"ARTRAN")</f>
        <v>ARTRAN</v>
      </c>
      <c r="D10" s="7" t="str">
        <f>IFERROR(__xludf.DUMMYFUNCTION("""COMPUTED_VALUE"""),"Leandro P. Pereira")</f>
        <v>Leandro P. Pereira</v>
      </c>
      <c r="E10" s="7"/>
      <c r="F10" s="7" t="str">
        <f>IFERROR(__xludf.DUMMYFUNCTION("""COMPUTED_VALUE"""),"Gerência de Tecnologia da Informação - GTI")</f>
        <v>Gerência de Tecnologia da Informação - GTI</v>
      </c>
      <c r="G10" s="7"/>
      <c r="H10" s="7" t="str">
        <f>IFERROR(__xludf.DUMMYFUNCTION("""COMPUTED_VALUE"""),"(91) 99147-9675")</f>
        <v>(91) 99147-9675</v>
      </c>
      <c r="I10" s="7" t="str">
        <f>IFERROR(__xludf.DUMMYFUNCTION("""COMPUTED_VALUE"""),"leandro.pereira@artran.pa.gov.br")</f>
        <v>leandro.pereira@artran.pa.gov.br</v>
      </c>
      <c r="J10" s="7"/>
    </row>
    <row r="11">
      <c r="A11" s="7"/>
      <c r="B11" s="7" t="str">
        <f>IFERROR(__xludf.DUMMYFUNCTION("""COMPUTED_VALUE"""),"ARTRAN2")</f>
        <v>ARTRAN2</v>
      </c>
      <c r="C11" s="7" t="str">
        <f>IFERROR(__xludf.DUMMYFUNCTION("""COMPUTED_VALUE"""),"ARTRAN")</f>
        <v>ARTRAN</v>
      </c>
      <c r="D11" s="7" t="str">
        <f>IFERROR(__xludf.DUMMYFUNCTION("""COMPUTED_VALUE"""),"Simone Santos Linhares")</f>
        <v>Simone Santos Linhares</v>
      </c>
      <c r="E11" s="7"/>
      <c r="F11" s="7" t="str">
        <f>IFERROR(__xludf.DUMMYFUNCTION("""COMPUTED_VALUE"""),"Gerência de Contratos")</f>
        <v>Gerência de Contratos</v>
      </c>
      <c r="G11" s="7"/>
      <c r="H11" s="7"/>
      <c r="I11" s="7" t="str">
        <f>IFERROR(__xludf.DUMMYFUNCTION("""COMPUTED_VALUE"""),"simone.linhares@artran.pa.gov.br")</f>
        <v>simone.linhares@artran.pa.gov.br</v>
      </c>
      <c r="J11" s="7"/>
    </row>
    <row r="12">
      <c r="A12" s="7"/>
      <c r="B12" s="7" t="str">
        <f>IFERROR(__xludf.DUMMYFUNCTION("""COMPUTED_VALUE"""),"BANPARÁ1")</f>
        <v>BANPARÁ1</v>
      </c>
      <c r="C12" s="7" t="str">
        <f>IFERROR(__xludf.DUMMYFUNCTION("""COMPUTED_VALUE"""),"BANPARÁ")</f>
        <v>BANPARÁ</v>
      </c>
      <c r="D12" s="7" t="str">
        <f>IFERROR(__xludf.DUMMYFUNCTION("""COMPUTED_VALUE"""),"Raika Tessy Sousa Cavalcante Dourado")</f>
        <v>Raika Tessy Sousa Cavalcante Dourado</v>
      </c>
      <c r="E12" s="7" t="str">
        <f>IFERROR(__xludf.DUMMYFUNCTION("""COMPUTED_VALUE"""),"Técnico de Atendimento em TI")</f>
        <v>Técnico de Atendimento em TI</v>
      </c>
      <c r="F12" s="7" t="str">
        <f>IFERROR(__xludf.DUMMYFUNCTION("""COMPUTED_VALUE"""),"SUPRO / GETEL")</f>
        <v>SUPRO / GETEL</v>
      </c>
      <c r="G12" s="7" t="str">
        <f>IFERROR(__xludf.DUMMYFUNCTION("""COMPUTED_VALUE"""),"(91) 3348-3029")</f>
        <v>(91) 3348-3029</v>
      </c>
      <c r="H12" s="7"/>
      <c r="I12" s="7" t="str">
        <f>IFERROR(__xludf.DUMMYFUNCTION("""COMPUTED_VALUE"""),"rdourado@banparanet.com.br")</f>
        <v>rdourado@banparanet.com.br</v>
      </c>
      <c r="J12" s="7"/>
    </row>
    <row r="13">
      <c r="A13" s="7"/>
      <c r="B13" s="7" t="str">
        <f>IFERROR(__xludf.DUMMYFUNCTION("""COMPUTED_VALUE"""),"BANPARÁ2")</f>
        <v>BANPARÁ2</v>
      </c>
      <c r="C13" s="7" t="str">
        <f>IFERROR(__xludf.DUMMYFUNCTION("""COMPUTED_VALUE"""),"BANPARÁ")</f>
        <v>BANPARÁ</v>
      </c>
      <c r="D13" s="7" t="str">
        <f>IFERROR(__xludf.DUMMYFUNCTION("""COMPUTED_VALUE"""),"Neldson")</f>
        <v>Neldson</v>
      </c>
      <c r="E13" s="7"/>
      <c r="F13" s="7" t="str">
        <f>IFERROR(__xludf.DUMMYFUNCTION("""COMPUTED_VALUE"""),"GETEL")</f>
        <v>GETEL</v>
      </c>
      <c r="G13" s="7" t="str">
        <f>IFERROR(__xludf.DUMMYFUNCTION("""COMPUTED_VALUE"""),"(91) 3348-2980")</f>
        <v>(91) 3348-2980</v>
      </c>
      <c r="H13" s="7"/>
      <c r="I13" s="16" t="str">
        <f>IFERROR(__xludf.DUMMYFUNCTION("""COMPUTED_VALUE"""),"njsilva@banparanet.com.br")</f>
        <v>njsilva@banparanet.com.br</v>
      </c>
      <c r="J13" s="7"/>
    </row>
    <row r="14">
      <c r="A14" s="7"/>
      <c r="B14" s="7" t="str">
        <f>IFERROR(__xludf.DUMMYFUNCTION("""COMPUTED_VALUE"""),"BANPARÁ3")</f>
        <v>BANPARÁ3</v>
      </c>
      <c r="C14" s="7" t="str">
        <f>IFERROR(__xludf.DUMMYFUNCTION("""COMPUTED_VALUE"""),"BANPARÁ")</f>
        <v>BANPARÁ</v>
      </c>
      <c r="D14" s="7" t="str">
        <f>IFERROR(__xludf.DUMMYFUNCTION("""COMPUTED_VALUE"""),"Nery da Fonseca Barros")</f>
        <v>Nery da Fonseca Barros</v>
      </c>
      <c r="E14" s="7" t="str">
        <f>IFERROR(__xludf.DUMMYFUNCTION("""COMPUTED_VALUE"""),"Técnico em atendimento de TI")</f>
        <v>Técnico em atendimento de TI</v>
      </c>
      <c r="F14" s="7" t="str">
        <f>IFERROR(__xludf.DUMMYFUNCTION("""COMPUTED_VALUE"""),"GETEL")</f>
        <v>GETEL</v>
      </c>
      <c r="G14" s="7" t="str">
        <f>IFERROR(__xludf.DUMMYFUNCTION("""COMPUTED_VALUE"""),"(91) 3348-3078")</f>
        <v>(91) 3348-3078</v>
      </c>
      <c r="H14" s="7"/>
      <c r="I14" s="7"/>
      <c r="J14" s="7"/>
    </row>
    <row r="15">
      <c r="A15" s="7"/>
      <c r="B15" s="7" t="str">
        <f>IFERROR(__xludf.DUMMYFUNCTION("""COMPUTED_VALUE"""),"BASA1")</f>
        <v>BASA1</v>
      </c>
      <c r="C15" s="7" t="str">
        <f>IFERROR(__xludf.DUMMYFUNCTION("""COMPUTED_VALUE"""),"BASA")</f>
        <v>BASA</v>
      </c>
      <c r="D15" s="7" t="str">
        <f>IFERROR(__xludf.DUMMYFUNCTION("""COMPUTED_VALUE"""),"Aline do Socorro Furtado da Silva")</f>
        <v>Aline do Socorro Furtado da Silva</v>
      </c>
      <c r="E15" s="7"/>
      <c r="F15" s="7" t="str">
        <f>IFERROR(__xludf.DUMMYFUNCTION("""COMPUTED_VALUE"""),"Diretoria de Tecnologia - DITEC")</f>
        <v>Diretoria de Tecnologia - DITEC</v>
      </c>
      <c r="G15" s="7"/>
      <c r="H15" s="7"/>
      <c r="I15" s="7" t="str">
        <f>IFERROR(__xludf.DUMMYFUNCTION("""COMPUTED_VALUE"""),"aline.silva@basa.com.br")</f>
        <v>aline.silva@basa.com.br</v>
      </c>
      <c r="J15" s="7"/>
    </row>
    <row r="16">
      <c r="A16" s="7"/>
      <c r="B16" s="7" t="str">
        <f>IFERROR(__xludf.DUMMYFUNCTION("""COMPUTED_VALUE"""),"CAPP1")</f>
        <v>CAPP1</v>
      </c>
      <c r="C16" s="7" t="str">
        <f>IFERROR(__xludf.DUMMYFUNCTION("""COMPUTED_VALUE"""),"CAPP")</f>
        <v>CAPP</v>
      </c>
      <c r="D16" s="7" t="str">
        <f>IFERROR(__xludf.DUMMYFUNCTION("""COMPUTED_VALUE"""),"Wagner")</f>
        <v>Wagner</v>
      </c>
      <c r="E16" s="7" t="str">
        <f>IFERROR(__xludf.DUMMYFUNCTION("""COMPUTED_VALUE"""),"Presidente")</f>
        <v>Presidente</v>
      </c>
      <c r="F16" s="7" t="str">
        <f>IFERROR(__xludf.DUMMYFUNCTION("""COMPUTED_VALUE"""),"Presidência")</f>
        <v>Presidência</v>
      </c>
      <c r="G16" s="7" t="str">
        <f>IFERROR(__xludf.DUMMYFUNCTION("""COMPUTED_VALUE"""),"(91) 3251-2790")</f>
        <v>(91) 3251-2790</v>
      </c>
      <c r="H16" s="7" t="str">
        <f>IFERROR(__xludf.DUMMYFUNCTION("""COMPUTED_VALUE"""),"(91) 98111-4567")</f>
        <v>(91) 98111-4567</v>
      </c>
      <c r="I16" s="7"/>
      <c r="J16" s="7"/>
    </row>
    <row r="17">
      <c r="A17" s="7"/>
      <c r="B17" s="7" t="str">
        <f>IFERROR(__xludf.DUMMYFUNCTION("""COMPUTED_VALUE"""),"CBM1")</f>
        <v>CBM1</v>
      </c>
      <c r="C17" s="7" t="str">
        <f>IFERROR(__xludf.DUMMYFUNCTION("""COMPUTED_VALUE"""),"CBM")</f>
        <v>CBM</v>
      </c>
      <c r="D17" s="7" t="str">
        <f>IFERROR(__xludf.DUMMYFUNCTION("""COMPUTED_VALUE"""),"Heron Araquem")</f>
        <v>Heron Araquem</v>
      </c>
      <c r="E17" s="7"/>
      <c r="F17" s="7"/>
      <c r="G17" s="7"/>
      <c r="H17" s="7" t="str">
        <f>IFERROR(__xludf.DUMMYFUNCTION("""COMPUTED_VALUE"""),"(91) 98168-1606")</f>
        <v>(91) 98168-1606</v>
      </c>
      <c r="I17" s="7" t="str">
        <f>IFERROR(__xludf.DUMMYFUNCTION("""COMPUTED_VALUE"""),"heron_icm@hotmail.com")</f>
        <v>heron_icm@hotmail.com</v>
      </c>
      <c r="J17" s="7"/>
    </row>
    <row r="18">
      <c r="A18" s="7"/>
      <c r="B18" s="7" t="str">
        <f>IFERROR(__xludf.DUMMYFUNCTION("""COMPUTED_VALUE"""),"CBM2")</f>
        <v>CBM2</v>
      </c>
      <c r="C18" s="7" t="str">
        <f>IFERROR(__xludf.DUMMYFUNCTION("""COMPUTED_VALUE"""),"CBM")</f>
        <v>CBM</v>
      </c>
      <c r="D18" s="7" t="str">
        <f>IFERROR(__xludf.DUMMYFUNCTION("""COMPUTED_VALUE"""),"Matheus Renan Mendes dos Santos")</f>
        <v>Matheus Renan Mendes dos Santos</v>
      </c>
      <c r="E18" s="7" t="str">
        <f>IFERROR(__xludf.DUMMYFUNCTION("""COMPUTED_VALUE"""),"Auxiliar na Seção de Contratos")</f>
        <v>Auxiliar na Seção de Contratos</v>
      </c>
      <c r="F18" s="7" t="str">
        <f>IFERROR(__xludf.DUMMYFUNCTION("""COMPUTED_VALUE"""),"Diretoria de Apoio Logístico")</f>
        <v>Diretoria de Apoio Logístico</v>
      </c>
      <c r="G18" s="7"/>
      <c r="H18" s="7" t="str">
        <f>IFERROR(__xludf.DUMMYFUNCTION("""COMPUTED_VALUE"""),"(91) 98899-6316")</f>
        <v>(91) 98899-6316</v>
      </c>
      <c r="I18" s="16" t="str">
        <f>IFERROR(__xludf.DUMMYFUNCTION("""COMPUTED_VALUE"""),"contratoscbmpa@gmail.com")</f>
        <v>contratoscbmpa@gmail.com</v>
      </c>
      <c r="J18" s="7"/>
    </row>
    <row r="19">
      <c r="A19" s="7"/>
      <c r="B19" s="7" t="str">
        <f>IFERROR(__xludf.DUMMYFUNCTION("""COMPUTED_VALUE"""),"CBMP1")</f>
        <v>CBMP1</v>
      </c>
      <c r="C19" s="7" t="str">
        <f>IFERROR(__xludf.DUMMYFUNCTION("""COMPUTED_VALUE"""),"CBMP")</f>
        <v>CBMP</v>
      </c>
      <c r="D19" s="7" t="str">
        <f>IFERROR(__xludf.DUMMYFUNCTION("""COMPUTED_VALUE"""),"Tenente Coronel Luiz Alfredo Silva Galiza Dos Santos")</f>
        <v>Tenente Coronel Luiz Alfredo Silva Galiza Dos Santos</v>
      </c>
      <c r="E19" s="7" t="str">
        <f>IFERROR(__xludf.DUMMYFUNCTION("""COMPUTED_VALUE"""),"Diretor de Telemática e Estatística")</f>
        <v>Diretor de Telemática e Estatística</v>
      </c>
      <c r="F19" s="7"/>
      <c r="G19" s="7" t="str">
        <f>IFERROR(__xludf.DUMMYFUNCTION("""COMPUTED_VALUE""")," 4006-8396 ")</f>
        <v> 4006-8396 </v>
      </c>
      <c r="H19" s="7"/>
      <c r="I19" s="7" t="str">
        <f>IFERROR(__xludf.DUMMYFUNCTION("""COMPUTED_VALUE"""),"scmtgeral@gmail.com")</f>
        <v>scmtgeral@gmail.com</v>
      </c>
      <c r="J19" s="7"/>
    </row>
    <row r="20">
      <c r="A20" s="7"/>
      <c r="B20" s="7" t="str">
        <f>IFERROR(__xludf.DUMMYFUNCTION("""COMPUTED_VALUE"""),"CBMP2")</f>
        <v>CBMP2</v>
      </c>
      <c r="C20" s="7" t="str">
        <f>IFERROR(__xludf.DUMMYFUNCTION("""COMPUTED_VALUE"""),"CBMP")</f>
        <v>CBMP</v>
      </c>
      <c r="D20" s="7" t="str">
        <f>IFERROR(__xludf.DUMMYFUNCTION("""COMPUTED_VALUE"""),"3º Sgto. Luiz Antônio Andrade de Sousa")</f>
        <v>3º Sgto. Luiz Antônio Andrade de Sousa</v>
      </c>
      <c r="E20" s="7"/>
      <c r="F20" s="7"/>
      <c r="G20" s="7" t="str">
        <f>IFERROR(__xludf.DUMMYFUNCTION("""COMPUTED_VALUE""")," 98482-3737")</f>
        <v> 98482-3737</v>
      </c>
      <c r="H20" s="7"/>
      <c r="I20" s="7"/>
      <c r="J20" s="7"/>
    </row>
    <row r="21">
      <c r="A21" s="7"/>
      <c r="B21" s="7" t="str">
        <f>IFERROR(__xludf.DUMMYFUNCTION("""COMPUTED_VALUE"""),"CBMP3")</f>
        <v>CBMP3</v>
      </c>
      <c r="C21" s="7" t="str">
        <f>IFERROR(__xludf.DUMMYFUNCTION("""COMPUTED_VALUE"""),"CBMP")</f>
        <v>CBMP</v>
      </c>
      <c r="D21" s="7" t="str">
        <f>IFERROR(__xludf.DUMMYFUNCTION("""COMPUTED_VALUE"""),"Heron Araquém ( Sgto. Araquém)")</f>
        <v>Heron Araquém ( Sgto. Araquém)</v>
      </c>
      <c r="E21" s="7"/>
      <c r="F21" s="7" t="str">
        <f>IFERROR(__xludf.DUMMYFUNCTION("""COMPUTED_VALUE"""),"Fiscal De Contratos")</f>
        <v>Fiscal De Contratos</v>
      </c>
      <c r="G21" s="7" t="str">
        <f>IFERROR(__xludf.DUMMYFUNCTION("""COMPUTED_VALUE"""),"98168-1606")</f>
        <v>98168-1606</v>
      </c>
      <c r="H21" s="7"/>
      <c r="I21" s="7" t="str">
        <f>IFERROR(__xludf.DUMMYFUNCTION("""COMPUTED_VALUE"""),"heron_icm@hotmail.com")</f>
        <v>heron_icm@hotmail.com</v>
      </c>
      <c r="J21" s="7"/>
    </row>
    <row r="22">
      <c r="A22" s="7"/>
      <c r="B22" s="7" t="str">
        <f>IFERROR(__xludf.DUMMYFUNCTION("""COMPUTED_VALUE"""),"CCG1")</f>
        <v>CCG1</v>
      </c>
      <c r="C22" s="7" t="str">
        <f>IFERROR(__xludf.DUMMYFUNCTION("""COMPUTED_VALUE"""),"CCG")</f>
        <v>CCG</v>
      </c>
      <c r="D22" s="7" t="str">
        <f>IFERROR(__xludf.DUMMYFUNCTION("""COMPUTED_VALUE"""),"Matheus Tavares")</f>
        <v>Matheus Tavares</v>
      </c>
      <c r="E22" s="7" t="str">
        <f>IFERROR(__xludf.DUMMYFUNCTION("""COMPUTED_VALUE"""),"Assessor")</f>
        <v>Assessor</v>
      </c>
      <c r="F22" s="7" t="str">
        <f>IFERROR(__xludf.DUMMYFUNCTION("""COMPUTED_VALUE"""),"Coordenação de Licitação e Convênios - CLCC")</f>
        <v>Coordenação de Licitação e Convênios - CLCC</v>
      </c>
      <c r="G22" s="7" t="str">
        <f>IFERROR(__xludf.DUMMYFUNCTION("""COMPUTED_VALUE"""),"(91) 3216-8860")</f>
        <v>(91) 3216-8860</v>
      </c>
      <c r="H22" s="7"/>
      <c r="I22" s="7" t="str">
        <f>IFERROR(__xludf.DUMMYFUNCTION("""COMPUTED_VALUE"""),"matheus.tavares@palacio.pa.gov.br")</f>
        <v>matheus.tavares@palacio.pa.gov.br</v>
      </c>
      <c r="J22" s="7"/>
    </row>
    <row r="23">
      <c r="A23" s="7"/>
      <c r="B23" s="7" t="str">
        <f>IFERROR(__xludf.DUMMYFUNCTION("""COMPUTED_VALUE"""),"CCG2")</f>
        <v>CCG2</v>
      </c>
      <c r="C23" s="7" t="str">
        <f>IFERROR(__xludf.DUMMYFUNCTION("""COMPUTED_VALUE"""),"CCG")</f>
        <v>CCG</v>
      </c>
      <c r="D23" s="7" t="str">
        <f>IFERROR(__xludf.DUMMYFUNCTION("""COMPUTED_VALUE"""),"Paulo Gomes")</f>
        <v>Paulo Gomes</v>
      </c>
      <c r="E23" s="7"/>
      <c r="F23" s="7" t="str">
        <f>IFERROR(__xludf.DUMMYFUNCTION("""COMPUTED_VALUE"""),"Diretoria de Tecnologia da Informação - DTI")</f>
        <v>Diretoria de Tecnologia da Informação - DTI</v>
      </c>
      <c r="G23" s="7"/>
      <c r="H23" s="7" t="str">
        <f>IFERROR(__xludf.DUMMYFUNCTION("""COMPUTED_VALUE"""),"(91) 98892-6261")</f>
        <v>(91) 98892-6261</v>
      </c>
      <c r="I23" s="7" t="str">
        <f>IFERROR(__xludf.DUMMYFUNCTION("""COMPUTED_VALUE"""),"dti@palacio.pa.gov.br")</f>
        <v>dti@palacio.pa.gov.br</v>
      </c>
      <c r="J23" s="7"/>
    </row>
    <row r="24">
      <c r="A24" s="7"/>
      <c r="B24" s="7" t="str">
        <f>IFERROR(__xludf.DUMMYFUNCTION("""COMPUTED_VALUE"""),"CCG3")</f>
        <v>CCG3</v>
      </c>
      <c r="C24" s="7" t="str">
        <f>IFERROR(__xludf.DUMMYFUNCTION("""COMPUTED_VALUE"""),"CCG")</f>
        <v>CCG</v>
      </c>
      <c r="D24" s="7" t="str">
        <f>IFERROR(__xludf.DUMMYFUNCTION("""COMPUTED_VALUE"""),"Daniel Moraes")</f>
        <v>Daniel Moraes</v>
      </c>
      <c r="E24" s="7" t="str">
        <f>IFERROR(__xludf.DUMMYFUNCTION("""COMPUTED_VALUE"""),"Coordenador")</f>
        <v>Coordenador</v>
      </c>
      <c r="F24" s="7" t="str">
        <f>IFERROR(__xludf.DUMMYFUNCTION("""COMPUTED_VALUE"""),"Coordenação de Licitação, Contratos e  Convênios - CLCC")</f>
        <v>Coordenação de Licitação, Contratos e  Convênios - CLCC</v>
      </c>
      <c r="G24" s="7" t="str">
        <f>IFERROR(__xludf.DUMMYFUNCTION("""COMPUTED_VALUE"""),"(91) 3216-8860")</f>
        <v>(91) 3216-8860</v>
      </c>
      <c r="H24" s="7" t="str">
        <f>IFERROR(__xludf.DUMMYFUNCTION("""COMPUTED_VALUE"""),"(91) 98209-4077")</f>
        <v>(91) 98209-4077</v>
      </c>
      <c r="I24" s="7" t="str">
        <f>IFERROR(__xludf.DUMMYFUNCTION("""COMPUTED_VALUE"""),"daniel.correa@palacio.pa.gov.br")</f>
        <v>daniel.correa@palacio.pa.gov.br</v>
      </c>
      <c r="J24" s="7" t="str">
        <f>IFERROR(__xludf.DUMMYFUNCTION("""COMPUTED_VALUE"""),"licitacao@palacio.pa.gov.br")</f>
        <v>licitacao@palacio.pa.gov.br</v>
      </c>
    </row>
    <row r="25">
      <c r="A25" s="7"/>
      <c r="B25" s="7" t="str">
        <f>IFERROR(__xludf.DUMMYFUNCTION("""COMPUTED_VALUE"""),"CCG4")</f>
        <v>CCG4</v>
      </c>
      <c r="C25" s="7" t="str">
        <f>IFERROR(__xludf.DUMMYFUNCTION("""COMPUTED_VALUE"""),"CCG")</f>
        <v>CCG</v>
      </c>
      <c r="D25" s="7"/>
      <c r="E25" s="7"/>
      <c r="F25" s="7"/>
      <c r="G25" s="7"/>
      <c r="H25" s="7"/>
      <c r="I25" s="7"/>
      <c r="J25" s="7"/>
    </row>
    <row r="26">
      <c r="A26" s="7"/>
      <c r="B26" s="7" t="str">
        <f>IFERROR(__xludf.DUMMYFUNCTION("""COMPUTED_VALUE"""),"CEASA1")</f>
        <v>CEASA1</v>
      </c>
      <c r="C26" s="7" t="str">
        <f>IFERROR(__xludf.DUMMYFUNCTION("""COMPUTED_VALUE"""),"CEASA")</f>
        <v>CEASA</v>
      </c>
      <c r="D26" s="7" t="str">
        <f>IFERROR(__xludf.DUMMYFUNCTION("""COMPUTED_VALUE"""),"Leandro Ribeiro")</f>
        <v>Leandro Ribeiro</v>
      </c>
      <c r="E26" s="7" t="str">
        <f>IFERROR(__xludf.DUMMYFUNCTION("""COMPUTED_VALUE"""),"Gerente De T.I")</f>
        <v>Gerente De T.I</v>
      </c>
      <c r="F26" s="7"/>
      <c r="G26" s="7" t="str">
        <f>IFERROR(__xludf.DUMMYFUNCTION("""COMPUTED_VALUE"""),"98182-8546")</f>
        <v>98182-8546</v>
      </c>
      <c r="H26" s="7"/>
      <c r="I26" s="7" t="str">
        <f>IFERROR(__xludf.DUMMYFUNCTION("""COMPUTED_VALUE"""),"leandro.ribeiro.ceasa@gmail.com")</f>
        <v>leandro.ribeiro.ceasa@gmail.com</v>
      </c>
      <c r="J26" s="7"/>
    </row>
    <row r="27">
      <c r="A27" s="7"/>
      <c r="B27" s="7" t="str">
        <f>IFERROR(__xludf.DUMMYFUNCTION("""COMPUTED_VALUE"""),"CEASA2")</f>
        <v>CEASA2</v>
      </c>
      <c r="C27" s="7" t="str">
        <f>IFERROR(__xludf.DUMMYFUNCTION("""COMPUTED_VALUE"""),"CEASA")</f>
        <v>CEASA</v>
      </c>
      <c r="D27" s="7" t="str">
        <f>IFERROR(__xludf.DUMMYFUNCTION("""COMPUTED_VALUE"""),"Marcelo Pinto")</f>
        <v>Marcelo Pinto</v>
      </c>
      <c r="E27" s="7"/>
      <c r="F27" s="7"/>
      <c r="G27" s="7" t="str">
        <f>IFERROR(__xludf.DUMMYFUNCTION("""COMPUTED_VALUE"""),"98397-4555")</f>
        <v>98397-4555</v>
      </c>
      <c r="H27" s="7" t="str">
        <f>IFERROR(__xludf.DUMMYFUNCTION("""COMPUTED_VALUE"""),"3205-4032")</f>
        <v>3205-4032</v>
      </c>
      <c r="I27" s="7" t="str">
        <f>IFERROR(__xludf.DUMMYFUNCTION("""COMPUTED_VALUE"""),"marcelo.tpinto@ceasa.pa.gov.br")</f>
        <v>marcelo.tpinto@ceasa.pa.gov.br</v>
      </c>
      <c r="J27" s="7"/>
    </row>
    <row r="28">
      <c r="A28" s="7"/>
      <c r="B28" s="7" t="str">
        <f>IFERROR(__xludf.DUMMYFUNCTION("""COMPUTED_VALUE"""),"CGE1")</f>
        <v>CGE1</v>
      </c>
      <c r="C28" s="7" t="str">
        <f>IFERROR(__xludf.DUMMYFUNCTION("""COMPUTED_VALUE"""),"CGE")</f>
        <v>CGE</v>
      </c>
      <c r="D28" s="7" t="str">
        <f>IFERROR(__xludf.DUMMYFUNCTION("""COMPUTED_VALUE"""),"Roberto Carlos")</f>
        <v>Roberto Carlos</v>
      </c>
      <c r="E28" s="7"/>
      <c r="F28" s="7"/>
      <c r="G28" s="7" t="str">
        <f>IFERROR(__xludf.DUMMYFUNCTION("""COMPUTED_VALUE"""),"(91) 3239-6461")</f>
        <v>(91) 3239-6461</v>
      </c>
      <c r="H28" s="7"/>
      <c r="I28" s="7"/>
      <c r="J28" s="7"/>
    </row>
    <row r="29">
      <c r="A29" s="7"/>
      <c r="B29" s="7" t="str">
        <f>IFERROR(__xludf.DUMMYFUNCTION("""COMPUTED_VALUE"""),"CGE2")</f>
        <v>CGE2</v>
      </c>
      <c r="C29" s="7" t="str">
        <f>IFERROR(__xludf.DUMMYFUNCTION("""COMPUTED_VALUE"""),"CGE")</f>
        <v>CGE</v>
      </c>
      <c r="D29" s="7" t="str">
        <f>IFERROR(__xludf.DUMMYFUNCTION("""COMPUTED_VALUE"""),"Luis Claudio")</f>
        <v>Luis Claudio</v>
      </c>
      <c r="E29" s="7"/>
      <c r="F29" s="7"/>
      <c r="G29" s="7" t="str">
        <f>IFERROR(__xludf.DUMMYFUNCTION("""COMPUTED_VALUE"""),"9 8265-1119 ")</f>
        <v>9 8265-1119 </v>
      </c>
      <c r="H29" s="7"/>
      <c r="I29" s="7"/>
      <c r="J29" s="7"/>
    </row>
    <row r="30">
      <c r="A30" s="7"/>
      <c r="B30" s="7" t="str">
        <f>IFERROR(__xludf.DUMMYFUNCTION("""COMPUTED_VALUE"""),"CGE3")</f>
        <v>CGE3</v>
      </c>
      <c r="C30" s="7" t="str">
        <f>IFERROR(__xludf.DUMMYFUNCTION("""COMPUTED_VALUE"""),"CGE")</f>
        <v>CGE</v>
      </c>
      <c r="D30" s="7" t="str">
        <f>IFERROR(__xludf.DUMMYFUNCTION("""COMPUTED_VALUE"""),"Adriana ")</f>
        <v>Adriana </v>
      </c>
      <c r="E30" s="7" t="str">
        <f>IFERROR(__xludf.DUMMYFUNCTION("""COMPUTED_VALUE"""),"Setor de Contrato")</f>
        <v>Setor de Contrato</v>
      </c>
      <c r="F30" s="7"/>
      <c r="G30" s="7" t="str">
        <f>IFERROR(__xludf.DUMMYFUNCTION("""COMPUTED_VALUE""")," 3239-6457")</f>
        <v> 3239-6457</v>
      </c>
      <c r="H30" s="7"/>
      <c r="I30" s="7"/>
      <c r="J30" s="7"/>
    </row>
    <row r="31">
      <c r="A31" s="7"/>
      <c r="B31" s="7" t="str">
        <f>IFERROR(__xludf.DUMMYFUNCTION("""COMPUTED_VALUE"""),"CINBESA1")</f>
        <v>CINBESA1</v>
      </c>
      <c r="C31" s="7" t="str">
        <f>IFERROR(__xludf.DUMMYFUNCTION("""COMPUTED_VALUE"""),"CINBESA")</f>
        <v>CINBESA</v>
      </c>
      <c r="D31" s="7" t="str">
        <f>IFERROR(__xludf.DUMMYFUNCTION("""COMPUTED_VALUE"""),"Claudio Moraes")</f>
        <v>Claudio Moraes</v>
      </c>
      <c r="E31" s="7"/>
      <c r="F31" s="7"/>
      <c r="G31" s="7"/>
      <c r="H31" s="7" t="str">
        <f>IFERROR(__xludf.DUMMYFUNCTION("""COMPUTED_VALUE"""),"(91) 98113-6135")</f>
        <v>(91) 98113-6135</v>
      </c>
      <c r="I31" s="7" t="str">
        <f>IFERROR(__xludf.DUMMYFUNCTION("""COMPUTED_VALUE"""),"claudio.morais@cinbesa.pmb.pa.gov.br")</f>
        <v>claudio.morais@cinbesa.pmb.pa.gov.br</v>
      </c>
      <c r="J31" s="7"/>
    </row>
    <row r="32">
      <c r="A32" s="7"/>
      <c r="B32" s="7" t="str">
        <f>IFERROR(__xludf.DUMMYFUNCTION("""COMPUTED_VALUE"""),"CINBESA2")</f>
        <v>CINBESA2</v>
      </c>
      <c r="C32" s="7" t="str">
        <f>IFERROR(__xludf.DUMMYFUNCTION("""COMPUTED_VALUE"""),"CINBESA")</f>
        <v>CINBESA</v>
      </c>
      <c r="D32" s="7" t="str">
        <f>IFERROR(__xludf.DUMMYFUNCTION("""COMPUTED_VALUE"""),"Paulo Brasil")</f>
        <v>Paulo Brasil</v>
      </c>
      <c r="E32" s="7"/>
      <c r="F32" s="7"/>
      <c r="G32" s="7"/>
      <c r="H32" s="7"/>
      <c r="I32" s="16" t="str">
        <f>IFERROR(__xludf.DUMMYFUNCTION("""COMPUTED_VALUE"""),"paulo.brasil@cinbesa.com.br")</f>
        <v>paulo.brasil@cinbesa.com.br</v>
      </c>
      <c r="J32" s="7"/>
    </row>
    <row r="33">
      <c r="A33" s="7"/>
      <c r="B33" s="7" t="str">
        <f>IFERROR(__xludf.DUMMYFUNCTION("""COMPUTED_VALUE"""),"CM Anapú1")</f>
        <v>CM Anapú1</v>
      </c>
      <c r="C33" s="7" t="str">
        <f>IFERROR(__xludf.DUMMYFUNCTION("""COMPUTED_VALUE"""),"CM Anapú")</f>
        <v>CM Anapú</v>
      </c>
      <c r="D33" s="7" t="str">
        <f>IFERROR(__xludf.DUMMYFUNCTION("""COMPUTED_VALUE"""),"Michele")</f>
        <v>Michele</v>
      </c>
      <c r="E33" s="7"/>
      <c r="F33" s="7"/>
      <c r="G33" s="7"/>
      <c r="H33" s="7" t="str">
        <f>IFERROR(__xludf.DUMMYFUNCTION("""COMPUTED_VALUE"""),"(93) 9 9111-7877")</f>
        <v>(93) 9 9111-7877</v>
      </c>
      <c r="I33" s="16" t="str">
        <f>IFERROR(__xludf.DUMMYFUNCTION("""COMPUTED_VALUE"""),"s.identificacaocma@gmail.com")</f>
        <v>s.identificacaocma@gmail.com</v>
      </c>
      <c r="J33" s="7"/>
    </row>
    <row r="34">
      <c r="A34" s="7"/>
      <c r="B34" s="7" t="str">
        <f>IFERROR(__xludf.DUMMYFUNCTION("""COMPUTED_VALUE"""),"CM Anapú2")</f>
        <v>CM Anapú2</v>
      </c>
      <c r="C34" s="7" t="str">
        <f>IFERROR(__xludf.DUMMYFUNCTION("""COMPUTED_VALUE"""),"CM Anapú")</f>
        <v>CM Anapú</v>
      </c>
      <c r="D34" s="7" t="str">
        <f>IFERROR(__xludf.DUMMYFUNCTION("""COMPUTED_VALUE"""),"Krys")</f>
        <v>Krys</v>
      </c>
      <c r="E34" s="7"/>
      <c r="F34" s="7"/>
      <c r="G34" s="7"/>
      <c r="H34" s="7" t="str">
        <f>IFERROR(__xludf.DUMMYFUNCTION("""COMPUTED_VALUE"""),"(91) 9 8628-3861")</f>
        <v>(91) 9 8628-3861</v>
      </c>
      <c r="I34" s="7"/>
      <c r="J34" s="7"/>
    </row>
    <row r="35">
      <c r="A35" s="7"/>
      <c r="B35" s="7" t="str">
        <f>IFERROR(__xludf.DUMMYFUNCTION("""COMPUTED_VALUE"""),"CM Barcarena1")</f>
        <v>CM Barcarena1</v>
      </c>
      <c r="C35" s="7" t="str">
        <f>IFERROR(__xludf.DUMMYFUNCTION("""COMPUTED_VALUE"""),"CM Barcarena")</f>
        <v>CM Barcarena</v>
      </c>
      <c r="D35" s="7" t="str">
        <f>IFERROR(__xludf.DUMMYFUNCTION("""COMPUTED_VALUE"""),"Lucia Wanzeler")</f>
        <v>Lucia Wanzeler</v>
      </c>
      <c r="E35" s="7"/>
      <c r="F35" s="7"/>
      <c r="G35" s="7" t="str">
        <f>IFERROR(__xludf.DUMMYFUNCTION("""COMPUTED_VALUE"""),"(91) 3753-3104")</f>
        <v>(91) 3753-3104</v>
      </c>
      <c r="H35" s="7" t="str">
        <f>IFERROR(__xludf.DUMMYFUNCTION("""COMPUTED_VALUE""")," (91) 9 8228-3317")</f>
        <v> (91) 9 8228-3317</v>
      </c>
      <c r="I35" s="16" t="str">
        <f>IFERROR(__xludf.DUMMYFUNCTION("""COMPUTED_VALUE"""),"lucia.wanzeler@gmail.com")</f>
        <v>lucia.wanzeler@gmail.com</v>
      </c>
      <c r="J35" s="7"/>
    </row>
    <row r="36">
      <c r="A36" s="7"/>
      <c r="B36" s="7" t="str">
        <f>IFERROR(__xludf.DUMMYFUNCTION("""COMPUTED_VALUE"""),"CM Barcarena2")</f>
        <v>CM Barcarena2</v>
      </c>
      <c r="C36" s="7" t="str">
        <f>IFERROR(__xludf.DUMMYFUNCTION("""COMPUTED_VALUE"""),"CM Barcarena")</f>
        <v>CM Barcarena</v>
      </c>
      <c r="D36" s="7" t="str">
        <f>IFERROR(__xludf.DUMMYFUNCTION("""COMPUTED_VALUE""")," Flavia do S. M. Cunha")</f>
        <v> Flavia do S. M. Cunha</v>
      </c>
      <c r="E36" s="7" t="str">
        <f>IFERROR(__xludf.DUMMYFUNCTION("""COMPUTED_VALUE"""),"Diretora-NACI/CMB")</f>
        <v>Diretora-NACI/CMB</v>
      </c>
      <c r="F36" s="7" t="str">
        <f>IFERROR(__xludf.DUMMYFUNCTION("""COMPUTED_VALUE"""),"Núcle de Ass. ao Cidadão-NACI")</f>
        <v>Núcle de Ass. ao Cidadão-NACI</v>
      </c>
      <c r="G36" s="7" t="str">
        <f>IFERROR(__xludf.DUMMYFUNCTION("""COMPUTED_VALUE"""),"(91) 3753-3102")</f>
        <v>(91) 3753-3102</v>
      </c>
      <c r="H36" s="7" t="str">
        <f>IFERROR(__xludf.DUMMYFUNCTION("""COMPUTED_VALUE""")," (91) 9 8584-4145")</f>
        <v> (91) 9 8584-4145</v>
      </c>
      <c r="I36" s="16" t="str">
        <f>IFERROR(__xludf.DUMMYFUNCTION("""COMPUTED_VALUE"""),"flaviamcunha77@gmail.com")</f>
        <v>flaviamcunha77@gmail.com</v>
      </c>
      <c r="J36" s="7"/>
    </row>
    <row r="37">
      <c r="A37" s="7"/>
      <c r="B37" s="7" t="str">
        <f>IFERROR(__xludf.DUMMYFUNCTION("""COMPUTED_VALUE"""),"CM Belém1")</f>
        <v>CM Belém1</v>
      </c>
      <c r="C37" s="7" t="str">
        <f>IFERROR(__xludf.DUMMYFUNCTION("""COMPUTED_VALUE"""),"CM Belém")</f>
        <v>CM Belém</v>
      </c>
      <c r="D37" s="7" t="str">
        <f>IFERROR(__xludf.DUMMYFUNCTION("""COMPUTED_VALUE"""),"Rodimar Santos")</f>
        <v>Rodimar Santos</v>
      </c>
      <c r="E37" s="7"/>
      <c r="F37" s="7" t="str">
        <f>IFERROR(__xludf.DUMMYFUNCTION("""COMPUTED_VALUE"""),"DEAFIN")</f>
        <v>DEAFIN</v>
      </c>
      <c r="G37" s="7"/>
      <c r="H37" s="7"/>
      <c r="I37" s="16" t="str">
        <f>IFERROR(__xludf.DUMMYFUNCTION("""COMPUTED_VALUE"""),"deafin@cmb.pa.gov.br")</f>
        <v>deafin@cmb.pa.gov.br</v>
      </c>
      <c r="J37" s="7"/>
    </row>
    <row r="38">
      <c r="A38" s="7"/>
      <c r="B38" s="7" t="str">
        <f>IFERROR(__xludf.DUMMYFUNCTION("""COMPUTED_VALUE"""),"CM Marituba1")</f>
        <v>CM Marituba1</v>
      </c>
      <c r="C38" s="7" t="str">
        <f>IFERROR(__xludf.DUMMYFUNCTION("""COMPUTED_VALUE"""),"CM Marituba")</f>
        <v>CM Marituba</v>
      </c>
      <c r="D38" s="7" t="str">
        <f>IFERROR(__xludf.DUMMYFUNCTION("""COMPUTED_VALUE""")," Flávio Damasceno")</f>
        <v> Flávio Damasceno</v>
      </c>
      <c r="E38" s="7" t="str">
        <f>IFERROR(__xludf.DUMMYFUNCTION("""COMPUTED_VALUE"""),"Coordenador")</f>
        <v>Coordenador</v>
      </c>
      <c r="F38" s="7" t="str">
        <f>IFERROR(__xludf.DUMMYFUNCTION("""COMPUTED_VALUE"""),"Núcleo de Contratos")</f>
        <v>Núcleo de Contratos</v>
      </c>
      <c r="G38" s="7" t="str">
        <f>IFERROR(__xludf.DUMMYFUNCTION("""COMPUTED_VALUE"""),"(91) 3256- 5667")</f>
        <v>(91) 3256- 5667</v>
      </c>
      <c r="H38" s="7"/>
      <c r="I38" s="16" t="str">
        <f>IFERROR(__xludf.DUMMYFUNCTION("""COMPUTED_VALUE"""),"secretariageral@camaramarituba.pa.gov.br")</f>
        <v>secretariageral@camaramarituba.pa.gov.br</v>
      </c>
      <c r="J38" s="7"/>
    </row>
    <row r="39">
      <c r="A39" s="7"/>
      <c r="B39" s="7" t="str">
        <f>IFERROR(__xludf.DUMMYFUNCTION("""COMPUTED_VALUE"""),"CM Prainha1")</f>
        <v>CM Prainha1</v>
      </c>
      <c r="C39" s="7" t="str">
        <f>IFERROR(__xludf.DUMMYFUNCTION("""COMPUTED_VALUE"""),"CM Prainha")</f>
        <v>CM Prainha</v>
      </c>
      <c r="D39" s="7" t="str">
        <f>IFERROR(__xludf.DUMMYFUNCTION("""COMPUTED_VALUE"""),"Andrea")</f>
        <v>Andrea</v>
      </c>
      <c r="E39" s="7" t="str">
        <f>IFERROR(__xludf.DUMMYFUNCTION("""COMPUTED_VALUE"""),"Agente de contratação")</f>
        <v>Agente de contratação</v>
      </c>
      <c r="F39" s="7"/>
      <c r="G39" s="7" t="str">
        <f>IFERROR(__xludf.DUMMYFUNCTION("""COMPUTED_VALUE"""),"(93) 8435-0562")</f>
        <v>(93) 8435-0562</v>
      </c>
      <c r="H39" s="7"/>
      <c r="I39" s="7" t="str">
        <f>IFERROR(__xludf.DUMMYFUNCTION("""COMPUTED_VALUE"""),"cmpprainha@gmail.com")</f>
        <v>cmpprainha@gmail.com</v>
      </c>
      <c r="J39" s="16" t="str">
        <f>IFERROR(__xludf.DUMMYFUNCTION("""COMPUTED_VALUE"""),"licitacoes@camaradeprainha.pa.gov.br")</f>
        <v>licitacoes@camaradeprainha.pa.gov.br</v>
      </c>
    </row>
    <row r="40">
      <c r="A40" s="7"/>
      <c r="B40" s="7" t="str">
        <f>IFERROR(__xludf.DUMMYFUNCTION("""COMPUTED_VALUE"""),"CODEC1")</f>
        <v>CODEC1</v>
      </c>
      <c r="C40" s="7" t="str">
        <f>IFERROR(__xludf.DUMMYFUNCTION("""COMPUTED_VALUE"""),"CODEC")</f>
        <v>CODEC</v>
      </c>
      <c r="D40" s="7" t="str">
        <f>IFERROR(__xludf.DUMMYFUNCTION("""COMPUTED_VALUE"""),"Kleber Murat")</f>
        <v>Kleber Murat</v>
      </c>
      <c r="E40" s="7" t="str">
        <f>IFERROR(__xludf.DUMMYFUNCTION("""COMPUTED_VALUE"""),"Gerente de Tecnologia da Informação")</f>
        <v>Gerente de Tecnologia da Informação</v>
      </c>
      <c r="F40" s="7"/>
      <c r="G40" s="7" t="str">
        <f>IFERROR(__xludf.DUMMYFUNCTION("""COMPUTED_VALUE"""),"(91) 3236-2884")</f>
        <v>(91) 3236-2884</v>
      </c>
      <c r="H40" s="7" t="str">
        <f>IFERROR(__xludf.DUMMYFUNCTION("""COMPUTED_VALUE"""),"9 8174-4302 ")</f>
        <v>9 8174-4302 </v>
      </c>
      <c r="I40" s="16" t="str">
        <f>IFERROR(__xludf.DUMMYFUNCTION("""COMPUTED_VALUE"""),"kleber.murat@codec.pa.gov.br")</f>
        <v>kleber.murat@codec.pa.gov.br</v>
      </c>
      <c r="J40" s="7"/>
    </row>
    <row r="41">
      <c r="A41" s="7"/>
      <c r="B41" s="7" t="str">
        <f>IFERROR(__xludf.DUMMYFUNCTION("""COMPUTED_VALUE"""),"COREN1")</f>
        <v>COREN1</v>
      </c>
      <c r="C41" s="7" t="str">
        <f>IFERROR(__xludf.DUMMYFUNCTION("""COMPUTED_VALUE"""),"COREN")</f>
        <v>COREN</v>
      </c>
      <c r="D41" s="7" t="str">
        <f>IFERROR(__xludf.DUMMYFUNCTION("""COMPUTED_VALUE"""),"Adinaldo Vilhena Ferreira Junior")</f>
        <v>Adinaldo Vilhena Ferreira Junior</v>
      </c>
      <c r="E41" s="7"/>
      <c r="F41" s="7"/>
      <c r="G41" s="7" t="str">
        <f>IFERROR(__xludf.DUMMYFUNCTION("""COMPUTED_VALUE"""),"(91) 3226-0740 / 3266-3618 ")</f>
        <v>(91) 3226-0740 / 3266-3618 </v>
      </c>
      <c r="H41" s="7" t="str">
        <f>IFERROR(__xludf.DUMMYFUNCTION("""COMPUTED_VALUE"""),"98188-3326")</f>
        <v>98188-3326</v>
      </c>
      <c r="I41" s="7" t="str">
        <f>IFERROR(__xludf.DUMMYFUNCTION("""COMPUTED_VALUE"""),"informatica@corenpa.org.br")</f>
        <v>informatica@corenpa.org.br</v>
      </c>
      <c r="J41" s="16" t="str">
        <f>IFERROR(__xludf.DUMMYFUNCTION("""COMPUTED_VALUE"""),"coren.informatica@gmail.com")</f>
        <v>coren.informatica@gmail.com</v>
      </c>
    </row>
    <row r="42">
      <c r="A42" s="7"/>
      <c r="B42" s="7" t="str">
        <f>IFERROR(__xludf.DUMMYFUNCTION("""COMPUTED_VALUE"""),"COSANPA1")</f>
        <v>COSANPA1</v>
      </c>
      <c r="C42" s="7" t="str">
        <f>IFERROR(__xludf.DUMMYFUNCTION("""COMPUTED_VALUE"""),"COSANPA")</f>
        <v>COSANPA</v>
      </c>
      <c r="D42" s="7" t="str">
        <f>IFERROR(__xludf.DUMMYFUNCTION("""COMPUTED_VALUE"""),"Danielle Nunes")</f>
        <v>Danielle Nunes</v>
      </c>
      <c r="E42" s="7"/>
      <c r="F42" s="7"/>
      <c r="G42" s="7"/>
      <c r="H42" s="7" t="str">
        <f>IFERROR(__xludf.DUMMYFUNCTION("""COMPUTED_VALUE"""),"(91) 99881-7881")</f>
        <v>(91) 99881-7881</v>
      </c>
      <c r="I42" s="7" t="str">
        <f>IFERROR(__xludf.DUMMYFUNCTION("""COMPUTED_VALUE"""),"danielle.nunes@cosanpa.pa.gov.br")</f>
        <v>danielle.nunes@cosanpa.pa.gov.br</v>
      </c>
      <c r="J42" s="7"/>
    </row>
    <row r="43">
      <c r="A43" s="7"/>
      <c r="B43" s="7" t="str">
        <f>IFERROR(__xludf.DUMMYFUNCTION("""COMPUTED_VALUE"""),"COSANPA2")</f>
        <v>COSANPA2</v>
      </c>
      <c r="C43" s="7" t="str">
        <f>IFERROR(__xludf.DUMMYFUNCTION("""COMPUTED_VALUE"""),"COSANPA")</f>
        <v>COSANPA</v>
      </c>
      <c r="D43" s="7" t="str">
        <f>IFERROR(__xludf.DUMMYFUNCTION("""COMPUTED_VALUE"""),"Márcia Costa")</f>
        <v>Márcia Costa</v>
      </c>
      <c r="E43" s="7" t="str">
        <f>IFERROR(__xludf.DUMMYFUNCTION("""COMPUTED_VALUE"""),"Gerente de Suporte Tecnológico ")</f>
        <v>Gerente de Suporte Tecnológico </v>
      </c>
      <c r="F43" s="7" t="str">
        <f>IFERROR(__xludf.DUMMYFUNCTION("""COMPUTED_VALUE"""),"UEST")</f>
        <v>UEST</v>
      </c>
      <c r="G43" s="7" t="str">
        <f>IFERROR(__xludf.DUMMYFUNCTION("""COMPUTED_VALUE"""),"(91) 3251-7885")</f>
        <v>(91) 3251-7885</v>
      </c>
      <c r="H43" s="7" t="str">
        <f>IFERROR(__xludf.DUMMYFUNCTION("""COMPUTED_VALUE"""),"(91) 97638-5454")</f>
        <v>(91) 97638-5454</v>
      </c>
      <c r="I43" s="7" t="str">
        <f>IFERROR(__xludf.DUMMYFUNCTION("""COMPUTED_VALUE"""),"marcia.costa@cosanpa.pa.gov.br")</f>
        <v>marcia.costa@cosanpa.pa.gov.br</v>
      </c>
      <c r="J43" s="7"/>
    </row>
    <row r="44">
      <c r="A44" s="7"/>
      <c r="B44" s="7" t="str">
        <f>IFERROR(__xludf.DUMMYFUNCTION("""COMPUTED_VALUE"""),"COSANPA3")</f>
        <v>COSANPA3</v>
      </c>
      <c r="C44" s="7" t="str">
        <f>IFERROR(__xludf.DUMMYFUNCTION("""COMPUTED_VALUE"""),"COSANPA")</f>
        <v>COSANPA</v>
      </c>
      <c r="D44" s="7"/>
      <c r="E44" s="7"/>
      <c r="F44" s="7" t="str">
        <f>IFERROR(__xludf.DUMMYFUNCTION("""COMPUTED_VALUE"""),"Contratos e Convênios")</f>
        <v>Contratos e Convênios</v>
      </c>
      <c r="G44" s="7" t="str">
        <f>IFERROR(__xludf.DUMMYFUNCTION("""COMPUTED_VALUE"""),"(91) 3251-7888")</f>
        <v>(91) 3251-7888</v>
      </c>
      <c r="H44" s="7"/>
      <c r="I44" s="16" t="str">
        <f>IFERROR(__xludf.DUMMYFUNCTION("""COMPUTED_VALUE"""),"cosanpa.contrato@gmail.com")</f>
        <v>cosanpa.contrato@gmail.com</v>
      </c>
      <c r="J44" s="7"/>
    </row>
    <row r="45">
      <c r="A45" s="7"/>
      <c r="B45" s="7" t="str">
        <f>IFERROR(__xludf.DUMMYFUNCTION("""COMPUTED_VALUE"""),"CPH1")</f>
        <v>CPH1</v>
      </c>
      <c r="C45" s="7" t="str">
        <f>IFERROR(__xludf.DUMMYFUNCTION("""COMPUTED_VALUE"""),"CPH")</f>
        <v>CPH</v>
      </c>
      <c r="D45" s="7" t="str">
        <f>IFERROR(__xludf.DUMMYFUNCTION("""COMPUTED_VALUE"""),"Silvio S M Santos")</f>
        <v>Silvio S M Santos</v>
      </c>
      <c r="E45" s="7"/>
      <c r="F45" s="7" t="str">
        <f>IFERROR(__xludf.DUMMYFUNCTION("""COMPUTED_VALUE"""),"Núcleo de Contratos")</f>
        <v>Núcleo de Contratos</v>
      </c>
      <c r="G45" s="7"/>
      <c r="H45" s="7" t="str">
        <f>IFERROR(__xludf.DUMMYFUNCTION("""COMPUTED_VALUE"""),"(91) 98229-8904")</f>
        <v>(91) 98229-8904</v>
      </c>
      <c r="I45" s="16" t="str">
        <f>IFERROR(__xludf.DUMMYFUNCTION("""COMPUTED_VALUE"""),"silvio.santos@cph.pa.go.br")</f>
        <v>silvio.santos@cph.pa.go.br</v>
      </c>
      <c r="J45" s="7"/>
    </row>
    <row r="46">
      <c r="A46" s="7"/>
      <c r="B46" s="7" t="str">
        <f>IFERROR(__xludf.DUMMYFUNCTION("""COMPUTED_VALUE"""),"CPH2")</f>
        <v>CPH2</v>
      </c>
      <c r="C46" s="7" t="str">
        <f>IFERROR(__xludf.DUMMYFUNCTION("""COMPUTED_VALUE"""),"CPH")</f>
        <v>CPH</v>
      </c>
      <c r="D46" s="7" t="str">
        <f>IFERROR(__xludf.DUMMYFUNCTION("""COMPUTED_VALUE"""),"Juliana Machado")</f>
        <v>Juliana Machado</v>
      </c>
      <c r="E46" s="7" t="str">
        <f>IFERROR(__xludf.DUMMYFUNCTION("""COMPUTED_VALUE"""),"Gestora de TI")</f>
        <v>Gestora de TI</v>
      </c>
      <c r="F46" s="7"/>
      <c r="G46" s="7" t="str">
        <f>IFERROR(__xludf.DUMMYFUNCTION("""COMPUTED_VALUE"""),"3221-4100/4116/4122 (DIRETO) ")</f>
        <v>3221-4100/4116/4122 (DIRETO) </v>
      </c>
      <c r="H46" s="7"/>
      <c r="I46" s="16" t="str">
        <f>IFERROR(__xludf.DUMMYFUNCTION("""COMPUTED_VALUE"""),"juliana.machado@cph.pa.gov.br")</f>
        <v>juliana.machado@cph.pa.gov.br</v>
      </c>
      <c r="J46" s="7"/>
    </row>
    <row r="47">
      <c r="A47" s="7"/>
      <c r="B47" s="7" t="str">
        <f>IFERROR(__xludf.DUMMYFUNCTION("""COMPUTED_VALUE"""),"DEFPUB1")</f>
        <v>DEFPUB1</v>
      </c>
      <c r="C47" s="7" t="str">
        <f>IFERROR(__xludf.DUMMYFUNCTION("""COMPUTED_VALUE"""),"DEFPUB")</f>
        <v>DEFPUB</v>
      </c>
      <c r="D47" s="7" t="str">
        <f>IFERROR(__xludf.DUMMYFUNCTION("""COMPUTED_VALUE"""),"Levy André Damasceno Araújo")</f>
        <v>Levy André Damasceno Araújo</v>
      </c>
      <c r="E47" s="7" t="str">
        <f>IFERROR(__xludf.DUMMYFUNCTION("""COMPUTED_VALUE"""),"Analista de redes / Fiscal do contrato")</f>
        <v>Analista de redes / Fiscal do contrato</v>
      </c>
      <c r="F47" s="7"/>
      <c r="G47" s="7"/>
      <c r="H47" s="7" t="str">
        <f>IFERROR(__xludf.DUMMYFUNCTION("""COMPUTED_VALUE"""),"(91) 3251-3921")</f>
        <v>(91) 3251-3921</v>
      </c>
      <c r="I47" s="16" t="str">
        <f>IFERROR(__xludf.DUMMYFUNCTION("""COMPUTED_VALUE"""),"levy.araujo@defensoria.pa.def.br")</f>
        <v>levy.araujo@defensoria.pa.def.br</v>
      </c>
      <c r="J47" s="7"/>
    </row>
    <row r="48">
      <c r="A48" s="7"/>
      <c r="B48" s="7" t="str">
        <f>IFERROR(__xludf.DUMMYFUNCTION("""COMPUTED_VALUE"""),"DEFPUB2")</f>
        <v>DEFPUB2</v>
      </c>
      <c r="C48" s="7" t="str">
        <f>IFERROR(__xludf.DUMMYFUNCTION("""COMPUTED_VALUE"""),"DEFPUB")</f>
        <v>DEFPUB</v>
      </c>
      <c r="D48" s="7" t="str">
        <f>IFERROR(__xludf.DUMMYFUNCTION("""COMPUTED_VALUE"""),"Natália Couto")</f>
        <v>Natália Couto</v>
      </c>
      <c r="E48" s="7" t="str">
        <f>IFERROR(__xludf.DUMMYFUNCTION("""COMPUTED_VALUE"""),"Coordenadora")</f>
        <v>Coordenadora</v>
      </c>
      <c r="F48" s="7" t="str">
        <f>IFERROR(__xludf.DUMMYFUNCTION("""COMPUTED_VALUE"""),"Núcleo de Tecnologia da Informação - NTI")</f>
        <v>Núcleo de Tecnologia da Informação - NTI</v>
      </c>
      <c r="G48" s="7" t="str">
        <f>IFERROR(__xludf.DUMMYFUNCTION("""COMPUTED_VALUE"""),"(910 3217-2344")</f>
        <v>(910 3217-2344</v>
      </c>
      <c r="H48" s="7" t="str">
        <f>IFERROR(__xludf.DUMMYFUNCTION("""COMPUTED_VALUE"""),"(91) 98431-5969")</f>
        <v>(91) 98431-5969</v>
      </c>
      <c r="I48" s="16" t="str">
        <f>IFERROR(__xludf.DUMMYFUNCTION("""COMPUTED_VALUE"""),"coordenacao.nti@defensoria.pa.def.br")</f>
        <v>coordenacao.nti@defensoria.pa.def.br</v>
      </c>
      <c r="J48" s="16" t="str">
        <f>IFERROR(__xludf.DUMMYFUNCTION("""COMPUTED_VALUE"""),"natalia.couto@defensoria.pa.def.br")</f>
        <v>natalia.couto@defensoria.pa.def.br</v>
      </c>
    </row>
    <row r="49">
      <c r="A49" s="7"/>
      <c r="B49" s="7" t="str">
        <f>IFERROR(__xludf.DUMMYFUNCTION("""COMPUTED_VALUE"""),"DEFPUB3")</f>
        <v>DEFPUB3</v>
      </c>
      <c r="C49" s="7" t="str">
        <f>IFERROR(__xludf.DUMMYFUNCTION("""COMPUTED_VALUE"""),"DEFPUB")</f>
        <v>DEFPUB</v>
      </c>
      <c r="D49" s="7" t="str">
        <f>IFERROR(__xludf.DUMMYFUNCTION("""COMPUTED_VALUE"""),"Dalton")</f>
        <v>Dalton</v>
      </c>
      <c r="E49" s="7" t="str">
        <f>IFERROR(__xludf.DUMMYFUNCTION("""COMPUTED_VALUE"""),"Secretário")</f>
        <v>Secretário</v>
      </c>
      <c r="F49" s="7" t="str">
        <f>IFERROR(__xludf.DUMMYFUNCTION("""COMPUTED_VALUE"""),"Coordenação de Licitação e Convênios - CLCC")</f>
        <v>Coordenação de Licitação e Convênios - CLCC</v>
      </c>
      <c r="G49" s="7" t="str">
        <f>IFERROR(__xludf.DUMMYFUNCTION("""COMPUTED_VALUE"""),"(91) 3251-3715")</f>
        <v>(91) 3251-3715</v>
      </c>
      <c r="H49" s="7" t="str">
        <f>IFERROR(__xludf.DUMMYFUNCTION("""COMPUTED_VALUE"""),"(91) 97400-6058")</f>
        <v>(91) 97400-6058</v>
      </c>
      <c r="I49" s="16" t="str">
        <f>IFERROR(__xludf.DUMMYFUNCTION("""COMPUTED_VALUE"""),"licitacao@defensoria.pa.def.br")</f>
        <v>licitacao@defensoria.pa.def.br</v>
      </c>
      <c r="J49" s="7"/>
    </row>
    <row r="50">
      <c r="A50" s="7"/>
      <c r="B50" s="7" t="str">
        <f>IFERROR(__xludf.DUMMYFUNCTION("""COMPUTED_VALUE"""),"DEFPUB4")</f>
        <v>DEFPUB4</v>
      </c>
      <c r="C50" s="7" t="str">
        <f>IFERROR(__xludf.DUMMYFUNCTION("""COMPUTED_VALUE"""),"DEFPUB")</f>
        <v>DEFPUB</v>
      </c>
      <c r="D50" s="7" t="str">
        <f>IFERROR(__xludf.DUMMYFUNCTION("""COMPUTED_VALUE"""),"Breno Abdon Julio")</f>
        <v>Breno Abdon Julio</v>
      </c>
      <c r="E50" s="7" t="str">
        <f>IFERROR(__xludf.DUMMYFUNCTION("""COMPUTED_VALUE"""),"Coordenador de Operações de Tecnologia da Informação e Comunicação")</f>
        <v>Coordenador de Operações de Tecnologia da Informação e Comunicação</v>
      </c>
      <c r="F50" s="7" t="str">
        <f>IFERROR(__xludf.DUMMYFUNCTION("""COMPUTED_VALUE"""),"DITEC")</f>
        <v>DITEC</v>
      </c>
      <c r="G50" s="7" t="str">
        <f>IFERROR(__xludf.DUMMYFUNCTION("""COMPUTED_VALUE"""),"(91)3251-3931")</f>
        <v>(91)3251-3931</v>
      </c>
      <c r="H50" s="7"/>
      <c r="I50" s="16" t="str">
        <f>IFERROR(__xludf.DUMMYFUNCTION("""COMPUTED_VALUE"""),"breno.julio@defensoria.pa.def.br")</f>
        <v>breno.julio@defensoria.pa.def.br</v>
      </c>
      <c r="J50" s="7"/>
    </row>
    <row r="51">
      <c r="A51" s="7"/>
      <c r="B51" s="7" t="str">
        <f>IFERROR(__xludf.DUMMYFUNCTION("""COMPUTED_VALUE"""),"DEFPUB5")</f>
        <v>DEFPUB5</v>
      </c>
      <c r="C51" s="7" t="str">
        <f>IFERROR(__xludf.DUMMYFUNCTION("""COMPUTED_VALUE"""),"DEFPUB")</f>
        <v>DEFPUB</v>
      </c>
      <c r="D51" s="7" t="str">
        <f>IFERROR(__xludf.DUMMYFUNCTION("""COMPUTED_VALUE"""),"Samuel Junior")</f>
        <v>Samuel Junior</v>
      </c>
      <c r="E51" s="7" t="str">
        <f>IFERROR(__xludf.DUMMYFUNCTION("""COMPUTED_VALUE"""),"Fiscal do contrato")</f>
        <v>Fiscal do contrato</v>
      </c>
      <c r="F51" s="7"/>
      <c r="G51" s="7"/>
      <c r="H51" s="62" t="str">
        <f>IFERROR(__xludf.DUMMYFUNCTION("""COMPUTED_VALUE"""),"91 8290-6600")</f>
        <v>91 8290-6600</v>
      </c>
      <c r="I51" s="16" t="str">
        <f>IFERROR(__xludf.DUMMYFUNCTION("""COMPUTED_VALUE"""),"samuel.junior@defensoria.pa.def.br")</f>
        <v>samuel.junior@defensoria.pa.def.br</v>
      </c>
      <c r="J51" s="7"/>
    </row>
    <row r="52">
      <c r="A52" s="7"/>
      <c r="B52" s="7" t="str">
        <f>IFERROR(__xludf.DUMMYFUNCTION("""COMPUTED_VALUE"""),"DEFPUB6")</f>
        <v>DEFPUB6</v>
      </c>
      <c r="C52" s="7" t="str">
        <f>IFERROR(__xludf.DUMMYFUNCTION("""COMPUTED_VALUE"""),"DEFPUB")</f>
        <v>DEFPUB</v>
      </c>
      <c r="D52" s="7" t="str">
        <f>IFERROR(__xludf.DUMMYFUNCTION("""COMPUTED_VALUE"""),"Alan Demberguer Carneiro Maia")</f>
        <v>Alan Demberguer Carneiro Maia</v>
      </c>
      <c r="E52" s="7" t="str">
        <f>IFERROR(__xludf.DUMMYFUNCTION("""COMPUTED_VALUE"""),"Analista de virtualização")</f>
        <v>Analista de virtualização</v>
      </c>
      <c r="F52" s="7"/>
      <c r="G52" s="7"/>
      <c r="H52" s="7"/>
      <c r="I52" s="7" t="str">
        <f>IFERROR(__xludf.DUMMYFUNCTION("""COMPUTED_VALUE"""),"alan.maia@ctctech.com.br")</f>
        <v>alan.maia@ctctech.com.br</v>
      </c>
      <c r="J52" s="7"/>
    </row>
    <row r="53">
      <c r="A53" s="7"/>
      <c r="B53" s="7" t="str">
        <f>IFERROR(__xludf.DUMMYFUNCTION("""COMPUTED_VALUE"""),"DESKCORP1")</f>
        <v>DESKCORP1</v>
      </c>
      <c r="C53" s="7" t="str">
        <f>IFERROR(__xludf.DUMMYFUNCTION("""COMPUTED_VALUE"""),"DESKCORP")</f>
        <v>DESKCORP</v>
      </c>
      <c r="D53" s="7" t="str">
        <f>IFERROR(__xludf.DUMMYFUNCTION("""COMPUTED_VALUE"""),"Vatusy Simões")</f>
        <v>Vatusy Simões</v>
      </c>
      <c r="E53" s="7" t="str">
        <f>IFERROR(__xludf.DUMMYFUNCTION("""COMPUTED_VALUE"""),"Analista de projetos")</f>
        <v>Analista de projetos</v>
      </c>
      <c r="F53" s="7"/>
      <c r="G53" s="7"/>
      <c r="H53" s="7" t="str">
        <f>IFERROR(__xludf.DUMMYFUNCTION("""COMPUTED_VALUE"""),"(91) 98117-8114")</f>
        <v>(91) 98117-8114</v>
      </c>
      <c r="I53" s="16" t="str">
        <f>IFERROR(__xludf.DUMMYFUNCTION("""COMPUTED_VALUE"""),"vatusy.simoes@deskcorp.com.br")</f>
        <v>vatusy.simoes@deskcorp.com.br</v>
      </c>
      <c r="J53" s="7"/>
    </row>
    <row r="54">
      <c r="A54" s="7"/>
      <c r="B54" s="7" t="str">
        <f>IFERROR(__xludf.DUMMYFUNCTION("""COMPUTED_VALUE"""),"DETRAN1")</f>
        <v>DETRAN1</v>
      </c>
      <c r="C54" s="7" t="str">
        <f>IFERROR(__xludf.DUMMYFUNCTION("""COMPUTED_VALUE"""),"DETRAN")</f>
        <v>DETRAN</v>
      </c>
      <c r="D54" s="7" t="str">
        <f>IFERROR(__xludf.DUMMYFUNCTION("""COMPUTED_VALUE"""),"Sérgio Oliveira")</f>
        <v>Sérgio Oliveira</v>
      </c>
      <c r="E54" s="7" t="str">
        <f>IFERROR(__xludf.DUMMYFUNCTION("""COMPUTED_VALUE"""),"Gerente De Suporte Tecnológico")</f>
        <v>Gerente De Suporte Tecnológico</v>
      </c>
      <c r="F54" s="7"/>
      <c r="G54" s="7" t="str">
        <f>IFERROR(__xludf.DUMMYFUNCTION("""COMPUTED_VALUE"""),"99601-5463 ")</f>
        <v>99601-5463 </v>
      </c>
      <c r="H54" s="7"/>
      <c r="I54" s="7" t="str">
        <f>IFERROR(__xludf.DUMMYFUNCTION("""COMPUTED_VALUE"""),"sergio.oliveira@detran.pa.gov.br")</f>
        <v>sergio.oliveira@detran.pa.gov.br</v>
      </c>
      <c r="J54" s="7"/>
    </row>
    <row r="55">
      <c r="A55" s="7"/>
      <c r="B55" s="7" t="str">
        <f>IFERROR(__xludf.DUMMYFUNCTION("""COMPUTED_VALUE"""),"DETRAN2")</f>
        <v>DETRAN2</v>
      </c>
      <c r="C55" s="7" t="str">
        <f>IFERROR(__xludf.DUMMYFUNCTION("""COMPUTED_VALUE"""),"DETRAN")</f>
        <v>DETRAN</v>
      </c>
      <c r="D55" s="7" t="str">
        <f>IFERROR(__xludf.DUMMYFUNCTION("""COMPUTED_VALUE"""),"Marcio Oliveira")</f>
        <v>Marcio Oliveira</v>
      </c>
      <c r="E55" s="7"/>
      <c r="F55" s="7"/>
      <c r="G55" s="7" t="str">
        <f>IFERROR(__xludf.DUMMYFUNCTION("""COMPUTED_VALUE""")," 3214-6391")</f>
        <v> 3214-6391</v>
      </c>
      <c r="H55" s="7"/>
      <c r="I55" s="7" t="str">
        <f>IFERROR(__xludf.DUMMYFUNCTION("""COMPUTED_VALUE"""),"marcio.figueiredo@detran.pa.gov.br")</f>
        <v>marcio.figueiredo@detran.pa.gov.br</v>
      </c>
      <c r="J55" s="7"/>
    </row>
    <row r="56">
      <c r="A56" s="7"/>
      <c r="B56" s="7" t="str">
        <f>IFERROR(__xludf.DUMMYFUNCTION("""COMPUTED_VALUE"""),"DETRAN3")</f>
        <v>DETRAN3</v>
      </c>
      <c r="C56" s="7" t="str">
        <f>IFERROR(__xludf.DUMMYFUNCTION("""COMPUTED_VALUE"""),"DETRAN")</f>
        <v>DETRAN</v>
      </c>
      <c r="D56" s="7" t="str">
        <f>IFERROR(__xludf.DUMMYFUNCTION("""COMPUTED_VALUE"""),"Patrick Fialho Vieitas")</f>
        <v>Patrick Fialho Vieitas</v>
      </c>
      <c r="E56" s="7" t="str">
        <f>IFERROR(__xludf.DUMMYFUNCTION("""COMPUTED_VALUE"""),"Fiscal do Contrato nº 096/2022")</f>
        <v>Fiscal do Contrato nº 096/2022</v>
      </c>
      <c r="F56" s="7"/>
      <c r="G56" s="7" t="str">
        <f>IFERROR(__xludf.DUMMYFUNCTION("""COMPUTED_VALUE""")," 3214-6349 ")</f>
        <v> 3214-6349 </v>
      </c>
      <c r="H56" s="7" t="str">
        <f>IFERROR(__xludf.DUMMYFUNCTION("""COMPUTED_VALUE"""),"98153-3996")</f>
        <v>98153-3996</v>
      </c>
      <c r="I56" s="7"/>
      <c r="J56" s="7"/>
    </row>
    <row r="57">
      <c r="A57" s="7"/>
      <c r="B57" s="7" t="str">
        <f>IFERROR(__xludf.DUMMYFUNCTION("""COMPUTED_VALUE"""),"EGPA1")</f>
        <v>EGPA1</v>
      </c>
      <c r="C57" s="7" t="str">
        <f>IFERROR(__xludf.DUMMYFUNCTION("""COMPUTED_VALUE"""),"EGPA")</f>
        <v>EGPA</v>
      </c>
      <c r="D57" s="7" t="str">
        <f>IFERROR(__xludf.DUMMYFUNCTION("""COMPUTED_VALUE"""),"Jefferson Vieira Siad")</f>
        <v>Jefferson Vieira Siad</v>
      </c>
      <c r="E57" s="7" t="str">
        <f>IFERROR(__xludf.DUMMYFUNCTION("""COMPUTED_VALUE"""),"Fiscal do contrato")</f>
        <v>Fiscal do contrato</v>
      </c>
      <c r="F57" s="7"/>
      <c r="G57" s="7"/>
      <c r="H57" s="7"/>
      <c r="I57" s="16" t="str">
        <f>IFERROR(__xludf.DUMMYFUNCTION("""COMPUTED_VALUE"""),"jvsiade@gmail.com")</f>
        <v>jvsiade@gmail.com</v>
      </c>
      <c r="J57" s="7"/>
    </row>
    <row r="58">
      <c r="A58" s="7"/>
      <c r="B58" s="7" t="str">
        <f>IFERROR(__xludf.DUMMYFUNCTION("""COMPUTED_VALUE"""),"EGPA2")</f>
        <v>EGPA2</v>
      </c>
      <c r="C58" s="7" t="str">
        <f>IFERROR(__xludf.DUMMYFUNCTION("""COMPUTED_VALUE"""),"EGPA")</f>
        <v>EGPA</v>
      </c>
      <c r="D58" s="7" t="str">
        <f>IFERROR(__xludf.DUMMYFUNCTION("""COMPUTED_VALUE"""),"Railson Borges Moura")</f>
        <v>Railson Borges Moura</v>
      </c>
      <c r="E58" s="7"/>
      <c r="F58" s="7"/>
      <c r="G58" s="7"/>
      <c r="H58" s="7" t="str">
        <f>IFERROR(__xludf.DUMMYFUNCTION("""COMPUTED_VALUE"""),"(91) 98965-7596")</f>
        <v>(91) 98965-7596</v>
      </c>
      <c r="I58" s="16" t="str">
        <f>IFERROR(__xludf.DUMMYFUNCTION("""COMPUTED_VALUE"""),"rbmoura32@gmail.com")</f>
        <v>rbmoura32@gmail.com</v>
      </c>
      <c r="J58" s="7"/>
    </row>
    <row r="59">
      <c r="A59" s="7"/>
      <c r="B59" s="7" t="str">
        <f>IFERROR(__xludf.DUMMYFUNCTION("""COMPUTED_VALUE"""),"EGPA3")</f>
        <v>EGPA3</v>
      </c>
      <c r="C59" s="7" t="str">
        <f>IFERROR(__xludf.DUMMYFUNCTION("""COMPUTED_VALUE"""),"EGPA")</f>
        <v>EGPA</v>
      </c>
      <c r="D59" s="7" t="str">
        <f>IFERROR(__xludf.DUMMYFUNCTION("""COMPUTED_VALUE"""),"Andrey")</f>
        <v>Andrey</v>
      </c>
      <c r="E59" s="7"/>
      <c r="F59" s="7"/>
      <c r="G59" s="7" t="str">
        <f>IFERROR(__xludf.DUMMYFUNCTION("""COMPUTED_VALUE"""),"(91) 3214-6822")</f>
        <v>(91) 3214-6822</v>
      </c>
      <c r="H59" s="7" t="str">
        <f>IFERROR(__xludf.DUMMYFUNCTION("""COMPUTED_VALUE"""),"(91) 99623-1033 / 98040-3240")</f>
        <v>(91) 99623-1033 / 98040-3240</v>
      </c>
      <c r="I59" s="16" t="str">
        <f>IFERROR(__xludf.DUMMYFUNCTION("""COMPUTED_VALUE"""),"egpa.compras@gmail.com")</f>
        <v>egpa.compras@gmail.com</v>
      </c>
      <c r="J59" s="7"/>
    </row>
    <row r="60">
      <c r="A60" s="7"/>
      <c r="B60" s="7" t="str">
        <f>IFERROR(__xludf.DUMMYFUNCTION("""COMPUTED_VALUE"""),"EMATER1")</f>
        <v>EMATER1</v>
      </c>
      <c r="C60" s="7" t="str">
        <f>IFERROR(__xludf.DUMMYFUNCTION("""COMPUTED_VALUE"""),"EMATER")</f>
        <v>EMATER</v>
      </c>
      <c r="D60" s="7" t="str">
        <f>IFERROR(__xludf.DUMMYFUNCTION("""COMPUTED_VALUE"""),"Jorge Augusto Macedo de Souza")</f>
        <v>Jorge Augusto Macedo de Souza</v>
      </c>
      <c r="E60" s="7" t="str">
        <f>IFERROR(__xludf.DUMMYFUNCTION("""COMPUTED_VALUE"""),"Coordenador")</f>
        <v>Coordenador</v>
      </c>
      <c r="F60" s="7" t="str">
        <f>IFERROR(__xludf.DUMMYFUNCTION("""COMPUTED_VALUE"""),"Coordenação de Tecnologia da Informação e Comunicação - CTIC")</f>
        <v>Coordenação de Tecnologia da Informação e Comunicação - CTIC</v>
      </c>
      <c r="G60" s="7" t="str">
        <f>IFERROR(__xludf.DUMMYFUNCTION("""COMPUTED_VALUE"""),"(91) 98494-0081")</f>
        <v>(91) 98494-0081</v>
      </c>
      <c r="H60" s="7" t="str">
        <f>IFERROR(__xludf.DUMMYFUNCTION("""COMPUTED_VALUE"""),"(91) 98143-3506")</f>
        <v>(91) 98143-3506</v>
      </c>
      <c r="I60" s="7" t="str">
        <f>IFERROR(__xludf.DUMMYFUNCTION("""COMPUTED_VALUE"""),"ctic@emater.pa.gov.br")</f>
        <v>ctic@emater.pa.gov.br</v>
      </c>
      <c r="J60" s="7"/>
    </row>
    <row r="61">
      <c r="A61" s="7"/>
      <c r="B61" s="7" t="str">
        <f>IFERROR(__xludf.DUMMYFUNCTION("""COMPUTED_VALUE"""),"EMATER2")</f>
        <v>EMATER2</v>
      </c>
      <c r="C61" s="7" t="str">
        <f>IFERROR(__xludf.DUMMYFUNCTION("""COMPUTED_VALUE"""),"EMATER")</f>
        <v>EMATER</v>
      </c>
      <c r="D61" s="7" t="str">
        <f>IFERROR(__xludf.DUMMYFUNCTION("""COMPUTED_VALUE"""),"Laysa Sena")</f>
        <v>Laysa Sena</v>
      </c>
      <c r="E61" s="7" t="str">
        <f>IFERROR(__xludf.DUMMYFUNCTION("""COMPUTED_VALUE"""),"Assessoria Jurídica")</f>
        <v>Assessoria Jurídica</v>
      </c>
      <c r="F61" s="7" t="str">
        <f>IFERROR(__xludf.DUMMYFUNCTION("""COMPUTED_VALUE"""),"Assessoria Jurídica - AJUR")</f>
        <v>Assessoria Jurídica - AJUR</v>
      </c>
      <c r="G61" s="7" t="str">
        <f>IFERROR(__xludf.DUMMYFUNCTION("""COMPUTED_VALUE"""),"(91) 3299-3468")</f>
        <v>(91) 3299-3468</v>
      </c>
      <c r="H61" s="7"/>
      <c r="I61" s="7" t="str">
        <f>IFERROR(__xludf.DUMMYFUNCTION("""COMPUTED_VALUE"""),"ajur@emater.pa.gov.br")</f>
        <v>ajur@emater.pa.gov.br</v>
      </c>
      <c r="J61" s="7"/>
    </row>
    <row r="62">
      <c r="A62" s="7"/>
      <c r="B62" s="7" t="str">
        <f>IFERROR(__xludf.DUMMYFUNCTION("""COMPUTED_VALUE"""),"EMATER3")</f>
        <v>EMATER3</v>
      </c>
      <c r="C62" s="7" t="str">
        <f>IFERROR(__xludf.DUMMYFUNCTION("""COMPUTED_VALUE"""),"EMATER")</f>
        <v>EMATER</v>
      </c>
      <c r="D62" s="7" t="str">
        <f>IFERROR(__xludf.DUMMYFUNCTION("""COMPUTED_VALUE"""),"Gleison Kiyoshi")</f>
        <v>Gleison Kiyoshi</v>
      </c>
      <c r="E62" s="7"/>
      <c r="F62" s="7" t="str">
        <f>IFERROR(__xludf.DUMMYFUNCTION("""COMPUTED_VALUE"""),"CTIC")</f>
        <v>CTIC</v>
      </c>
      <c r="G62" s="7" t="str">
        <f>IFERROR(__xludf.DUMMYFUNCTION("""COMPUTED_VALUE"""),"(91) 3299-3451")</f>
        <v>(91) 3299-3451</v>
      </c>
      <c r="H62" s="7" t="str">
        <f>IFERROR(__xludf.DUMMYFUNCTION("""COMPUTED_VALUE"""),"(91) 98017-2027")</f>
        <v>(91) 98017-2027</v>
      </c>
      <c r="I62" s="7" t="str">
        <f>IFERROR(__xludf.DUMMYFUNCTION("""COMPUTED_VALUE"""),"gleison.kiyoshi@emater.pa.gov.br")</f>
        <v>gleison.kiyoshi@emater.pa.gov.br</v>
      </c>
      <c r="J62" s="7"/>
    </row>
    <row r="63">
      <c r="A63" s="7"/>
      <c r="B63" s="7" t="str">
        <f>IFERROR(__xludf.DUMMYFUNCTION("""COMPUTED_VALUE"""),"FAPESPA1")</f>
        <v>FAPESPA1</v>
      </c>
      <c r="C63" s="7" t="str">
        <f>IFERROR(__xludf.DUMMYFUNCTION("""COMPUTED_VALUE"""),"FAPESPA")</f>
        <v>FAPESPA</v>
      </c>
      <c r="D63" s="7" t="str">
        <f>IFERROR(__xludf.DUMMYFUNCTION("""COMPUTED_VALUE"""),"Jessica Monteiro")</f>
        <v>Jessica Monteiro</v>
      </c>
      <c r="E63" s="7" t="str">
        <f>IFERROR(__xludf.DUMMYFUNCTION("""COMPUTED_VALUE"""),"Coordenadora de TI")</f>
        <v>Coordenadora de TI</v>
      </c>
      <c r="F63" s="7"/>
      <c r="G63" s="7"/>
      <c r="H63" s="7" t="str">
        <f>IFERROR(__xludf.DUMMYFUNCTION("""COMPUTED_VALUE"""),"(91)  98468-6152")</f>
        <v>(91)  98468-6152</v>
      </c>
      <c r="I63" s="7" t="str">
        <f>IFERROR(__xludf.DUMMYFUNCTION("""COMPUTED_VALUE"""),"jessica.monteiro@fapespa.pa.gov.br")</f>
        <v>jessica.monteiro@fapespa.pa.gov.br</v>
      </c>
      <c r="J63" s="7"/>
    </row>
    <row r="64">
      <c r="A64" s="7"/>
      <c r="B64" s="7" t="str">
        <f>IFERROR(__xludf.DUMMYFUNCTION("""COMPUTED_VALUE"""),"FASEPA1")</f>
        <v>FASEPA1</v>
      </c>
      <c r="C64" s="7" t="str">
        <f>IFERROR(__xludf.DUMMYFUNCTION("""COMPUTED_VALUE"""),"FASEPA")</f>
        <v>FASEPA</v>
      </c>
      <c r="D64" s="7" t="str">
        <f>IFERROR(__xludf.DUMMYFUNCTION("""COMPUTED_VALUE"""),"Kildery Alexandre do Vale Costa")</f>
        <v>Kildery Alexandre do Vale Costa</v>
      </c>
      <c r="E64" s="7" t="str">
        <f>IFERROR(__xludf.DUMMYFUNCTION("""COMPUTED_VALUE"""),"Técnico em Informática")</f>
        <v>Técnico em Informática</v>
      </c>
      <c r="F64" s="7" t="str">
        <f>IFERROR(__xludf.DUMMYFUNCTION("""COMPUTED_VALUE"""),"NTIC")</f>
        <v>NTIC</v>
      </c>
      <c r="G64" s="7" t="str">
        <f>IFERROR(__xludf.DUMMYFUNCTION("""COMPUTED_VALUE"""),"(91) 3210-3301")</f>
        <v>(91) 3210-3301</v>
      </c>
      <c r="H64" s="7" t="str">
        <f>IFERROR(__xludf.DUMMYFUNCTION("""COMPUTED_VALUE"""),"(91) 98825-5057")</f>
        <v>(91) 98825-5057</v>
      </c>
      <c r="I64" s="16" t="str">
        <f>IFERROR(__xludf.DUMMYFUNCTION("""COMPUTED_VALUE"""),"kilderydovale@gmail.com")</f>
        <v>kilderydovale@gmail.com</v>
      </c>
      <c r="J64" s="7"/>
    </row>
    <row r="65">
      <c r="A65" s="7"/>
      <c r="B65" s="7" t="str">
        <f>IFERROR(__xludf.DUMMYFUNCTION("""COMPUTED_VALUE"""),"FASPM1")</f>
        <v>FASPM1</v>
      </c>
      <c r="C65" s="7" t="str">
        <f>IFERROR(__xludf.DUMMYFUNCTION("""COMPUTED_VALUE"""),"FASPM")</f>
        <v>FASPM</v>
      </c>
      <c r="D65" s="7" t="str">
        <f>IFERROR(__xludf.DUMMYFUNCTION("""COMPUTED_VALUE"""),"Marcos Barroso Leal ( sargento leal)")</f>
        <v>Marcos Barroso Leal ( sargento leal)</v>
      </c>
      <c r="E65" s="7" t="str">
        <f>IFERROR(__xludf.DUMMYFUNCTION("""COMPUTED_VALUE"""),"Gerente De TI")</f>
        <v>Gerente De TI</v>
      </c>
      <c r="F65" s="7"/>
      <c r="G65" s="7" t="str">
        <f>IFERROR(__xludf.DUMMYFUNCTION("""COMPUTED_VALUE"""),"3259-6220 / 3038-3904 ")</f>
        <v>3259-6220 / 3038-3904 </v>
      </c>
      <c r="H65" s="7" t="str">
        <f>IFERROR(__xludf.DUMMYFUNCTION("""COMPUTED_VALUE"""),"98421-1070")</f>
        <v>98421-1070</v>
      </c>
      <c r="I65" s="7" t="str">
        <f>IFERROR(__xludf.DUMMYFUNCTION("""COMPUTED_VALUE"""),"tecnologia@faspmpa.com.br")</f>
        <v>tecnologia@faspmpa.com.br</v>
      </c>
      <c r="J65" s="16" t="str">
        <f>IFERROR(__xludf.DUMMYFUNCTION("""COMPUTED_VALUE"""),"contratos@faspm.com.br ")</f>
        <v>contratos@faspm.com.br </v>
      </c>
    </row>
    <row r="66">
      <c r="A66" s="7"/>
      <c r="B66" s="7" t="str">
        <f>IFERROR(__xludf.DUMMYFUNCTION("""COMPUTED_VALUE"""),"FASPM2")</f>
        <v>FASPM2</v>
      </c>
      <c r="C66" s="7" t="str">
        <f>IFERROR(__xludf.DUMMYFUNCTION("""COMPUTED_VALUE"""),"FASPM")</f>
        <v>FASPM</v>
      </c>
      <c r="D66" s="7" t="str">
        <f>IFERROR(__xludf.DUMMYFUNCTION("""COMPUTED_VALUE"""),"Valéria Vilar Garcia")</f>
        <v>Valéria Vilar Garcia</v>
      </c>
      <c r="E66" s="7"/>
      <c r="F66" s="7" t="str">
        <f>IFERROR(__xludf.DUMMYFUNCTION("""COMPUTED_VALUE"""),"Subseção de Contratos  ")</f>
        <v>Subseção de Contratos  </v>
      </c>
      <c r="G66" s="7"/>
      <c r="H66" s="7"/>
      <c r="I66" s="7" t="str">
        <f>IFERROR(__xludf.DUMMYFUNCTION("""COMPUTED_VALUE"""),"cpl@faspmpa&gt;com.br")</f>
        <v>cpl@faspmpa&gt;com.br</v>
      </c>
      <c r="J66" s="7"/>
    </row>
    <row r="67">
      <c r="A67" s="7"/>
      <c r="B67" s="7" t="str">
        <f>IFERROR(__xludf.DUMMYFUNCTION("""COMPUTED_VALUE"""),"FCP1")</f>
        <v>FCP1</v>
      </c>
      <c r="C67" s="7" t="str">
        <f>IFERROR(__xludf.DUMMYFUNCTION("""COMPUTED_VALUE"""),"FCP")</f>
        <v>FCP</v>
      </c>
      <c r="D67" s="7" t="str">
        <f>IFERROR(__xludf.DUMMYFUNCTION("""COMPUTED_VALUE"""),"Hugo Nascimento")</f>
        <v>Hugo Nascimento</v>
      </c>
      <c r="E67" s="7" t="str">
        <f>IFERROR(__xludf.DUMMYFUNCTION("""COMPUTED_VALUE"""),"Fiscal de contratos")</f>
        <v>Fiscal de contratos</v>
      </c>
      <c r="F67" s="7"/>
      <c r="G67" s="7"/>
      <c r="H67" s="7" t="str">
        <f>IFERROR(__xludf.DUMMYFUNCTION("""COMPUTED_VALUE"""),"(91)98499-3650")</f>
        <v>(91)98499-3650</v>
      </c>
      <c r="I67" s="16" t="str">
        <f>IFERROR(__xludf.DUMMYFUNCTION("""COMPUTED_VALUE"""),"hugo.nascimento@fcp.pa.gov.br")</f>
        <v>hugo.nascimento@fcp.pa.gov.br</v>
      </c>
      <c r="J67" s="7"/>
    </row>
    <row r="68">
      <c r="A68" s="7"/>
      <c r="B68" s="7" t="str">
        <f>IFERROR(__xludf.DUMMYFUNCTION("""COMPUTED_VALUE"""),"FCP2")</f>
        <v>FCP2</v>
      </c>
      <c r="C68" s="7" t="str">
        <f>IFERROR(__xludf.DUMMYFUNCTION("""COMPUTED_VALUE"""),"FCP")</f>
        <v>FCP</v>
      </c>
      <c r="D68" s="7" t="str">
        <f>IFERROR(__xludf.DUMMYFUNCTION("""COMPUTED_VALUE"""),"Renato Freire")</f>
        <v>Renato Freire</v>
      </c>
      <c r="E68" s="7"/>
      <c r="F68" s="7"/>
      <c r="G68" s="7"/>
      <c r="H68" s="7" t="str">
        <f>IFERROR(__xludf.DUMMYFUNCTION("""COMPUTED_VALUE""")," 98499-3650 ")</f>
        <v> 98499-3650 </v>
      </c>
      <c r="I68" s="16" t="str">
        <f>IFERROR(__xludf.DUMMYFUNCTION("""COMPUTED_VALUE"""),"renato.freire@fcp.pv.pa.gov.com.br")</f>
        <v>renato.freire@fcp.pv.pa.gov.com.br</v>
      </c>
      <c r="J68" s="7"/>
    </row>
    <row r="69">
      <c r="A69" s="7"/>
      <c r="B69" s="7" t="str">
        <f>IFERROR(__xludf.DUMMYFUNCTION("""COMPUTED_VALUE"""),"FCP3")</f>
        <v>FCP3</v>
      </c>
      <c r="C69" s="7" t="str">
        <f>IFERROR(__xludf.DUMMYFUNCTION("""COMPUTED_VALUE"""),"FCP")</f>
        <v>FCP</v>
      </c>
      <c r="D69" s="7" t="str">
        <f>IFERROR(__xludf.DUMMYFUNCTION("""COMPUTED_VALUE"""),"Patricia Surubbi")</f>
        <v>Patricia Surubbi</v>
      </c>
      <c r="E69" s="7"/>
      <c r="F69" s="7"/>
      <c r="G69" s="7" t="str">
        <f>IFERROR(__xludf.DUMMYFUNCTION("""COMPUTED_VALUE"""),"3202-4303 / 4376")</f>
        <v>3202-4303 / 4376</v>
      </c>
      <c r="H69" s="7"/>
      <c r="I69" s="16" t="str">
        <f>IFERROR(__xludf.DUMMYFUNCTION("""COMPUTED_VALUE"""),"patricia.sarubbi@fcp.pa.gov.br")</f>
        <v>patricia.sarubbi@fcp.pa.gov.br</v>
      </c>
      <c r="J69" s="7"/>
    </row>
    <row r="70">
      <c r="A70" s="7"/>
      <c r="B70" s="7" t="str">
        <f>IFERROR(__xludf.DUMMYFUNCTION("""COMPUTED_VALUE"""),"FHCGV1")</f>
        <v>FHCGV1</v>
      </c>
      <c r="C70" s="7" t="str">
        <f>IFERROR(__xludf.DUMMYFUNCTION("""COMPUTED_VALUE"""),"FHCGV")</f>
        <v>FHCGV</v>
      </c>
      <c r="D70" s="7" t="str">
        <f>IFERROR(__xludf.DUMMYFUNCTION("""COMPUTED_VALUE"""),"Mayk Vianna")</f>
        <v>Mayk Vianna</v>
      </c>
      <c r="E70" s="7"/>
      <c r="F70" s="7" t="str">
        <f>IFERROR(__xludf.DUMMYFUNCTION("""COMPUTED_VALUE"""),"GTI")</f>
        <v>GTI</v>
      </c>
      <c r="G70" s="7"/>
      <c r="H70" s="7"/>
      <c r="I70" s="7" t="str">
        <f>IFERROR(__xludf.DUMMYFUNCTION("""COMPUTED_VALUE"""),"mayk.viana@gasparvianna.pa.gov.br")</f>
        <v>mayk.viana@gasparvianna.pa.gov.br</v>
      </c>
      <c r="J70" s="7" t="str">
        <f>IFERROR(__xludf.DUMMYFUNCTION("""COMPUTED_VALUE"""),"gti@gasparvianna.pa.gov.br")</f>
        <v>gti@gasparvianna.pa.gov.br</v>
      </c>
    </row>
    <row r="71">
      <c r="A71" s="7"/>
      <c r="B71" s="7" t="str">
        <f>IFERROR(__xludf.DUMMYFUNCTION("""COMPUTED_VALUE"""),"FHCGV2")</f>
        <v>FHCGV2</v>
      </c>
      <c r="C71" s="7" t="str">
        <f>IFERROR(__xludf.DUMMYFUNCTION("""COMPUTED_VALUE"""),"FHCGV")</f>
        <v>FHCGV</v>
      </c>
      <c r="D71" s="7" t="str">
        <f>IFERROR(__xludf.DUMMYFUNCTION("""COMPUTED_VALUE"""),"Cristiano Santos")</f>
        <v>Cristiano Santos</v>
      </c>
      <c r="E71" s="7"/>
      <c r="F71" s="7"/>
      <c r="G71" s="7" t="str">
        <f>IFERROR(__xludf.DUMMYFUNCTION("""COMPUTED_VALUE"""),"(91) 4005-2781")</f>
        <v>(91) 4005-2781</v>
      </c>
      <c r="H71" s="7"/>
      <c r="I71" s="16" t="str">
        <f>IFERROR(__xludf.DUMMYFUNCTION("""COMPUTED_VALUE"""),"cristiano.santos@gasparvianna.pa.gov.br")</f>
        <v>cristiano.santos@gasparvianna.pa.gov.br</v>
      </c>
      <c r="J71" s="7"/>
    </row>
    <row r="72">
      <c r="A72" s="7"/>
      <c r="B72" s="7" t="str">
        <f>IFERROR(__xludf.DUMMYFUNCTION("""COMPUTED_VALUE"""),"FMS PARAGOMINAS1")</f>
        <v>FMS PARAGOMINAS1</v>
      </c>
      <c r="C72" s="7" t="str">
        <f>IFERROR(__xludf.DUMMYFUNCTION("""COMPUTED_VALUE"""),"FMS PARAGOMINAS")</f>
        <v>FMS PARAGOMINAS</v>
      </c>
      <c r="D72" s="7" t="str">
        <f>IFERROR(__xludf.DUMMYFUNCTION("""COMPUTED_VALUE"""),"Sérgio Bittencourt")</f>
        <v>Sérgio Bittencourt</v>
      </c>
      <c r="E72" s="7"/>
      <c r="F72" s="7"/>
      <c r="G72" s="7"/>
      <c r="H72" s="7" t="str">
        <f>IFERROR(__xludf.DUMMYFUNCTION("""COMPUTED_VALUE"""),"(91) 98200-1639")</f>
        <v>(91) 98200-1639</v>
      </c>
      <c r="I72" s="16" t="str">
        <f>IFERROR(__xludf.DUMMYFUNCTION("""COMPUTED_VALUE"""),"licitacao.setordecontratos@gmail.com")</f>
        <v>licitacao.setordecontratos@gmail.com</v>
      </c>
      <c r="J72" s="16" t="str">
        <f>IFERROR(__xludf.DUMMYFUNCTION("""COMPUTED_VALUE"""),"s.bittencourt@hotmail.com")</f>
        <v>s.bittencourt@hotmail.com</v>
      </c>
    </row>
    <row r="73">
      <c r="A73" s="7"/>
      <c r="B73" s="7" t="str">
        <f>IFERROR(__xludf.DUMMYFUNCTION("""COMPUTED_VALUE"""),"FSCMPA1")</f>
        <v>FSCMPA1</v>
      </c>
      <c r="C73" s="7" t="str">
        <f>IFERROR(__xludf.DUMMYFUNCTION("""COMPUTED_VALUE"""),"FSCMPA")</f>
        <v>FSCMPA</v>
      </c>
      <c r="D73" s="7" t="str">
        <f>IFERROR(__xludf.DUMMYFUNCTION("""COMPUTED_VALUE"""),"Bruno Mendes Carmona")</f>
        <v>Bruno Mendes Carmona</v>
      </c>
      <c r="E73" s="7" t="str">
        <f>IFERROR(__xludf.DUMMYFUNCTION("""COMPUTED_VALUE"""),"Presidente")</f>
        <v>Presidente</v>
      </c>
      <c r="F73" s="7" t="str">
        <f>IFERROR(__xludf.DUMMYFUNCTION("""COMPUTED_VALUE"""),"Gerência de Contratos - GCOT")</f>
        <v>Gerência de Contratos - GCOT</v>
      </c>
      <c r="G73" s="7" t="str">
        <f>IFERROR(__xludf.DUMMYFUNCTION("""COMPUTED_VALUE""")," (091) 3251-7430 / (91) 400-2241/2202/0329/2333")</f>
        <v> (091) 3251-7430 / (91) 400-2241/2202/0329/2333</v>
      </c>
      <c r="H73" s="7"/>
      <c r="I73" s="7" t="str">
        <f>IFERROR(__xludf.DUMMYFUNCTION("""COMPUTED_VALUE"""),"contratos@santacasa.pa.gov.br")</f>
        <v>contratos@santacasa.pa.gov.br</v>
      </c>
      <c r="J73" s="7" t="str">
        <f>IFERROR(__xludf.DUMMYFUNCTION("""COMPUTED_VALUE"""),"leide.silva@santacasa.pa.gov.br")</f>
        <v>leide.silva@santacasa.pa.gov.br</v>
      </c>
    </row>
    <row r="74">
      <c r="A74" s="7"/>
      <c r="B74" s="7" t="str">
        <f>IFERROR(__xludf.DUMMYFUNCTION("""COMPUTED_VALUE"""),"FUNSAU1")</f>
        <v>FUNSAU1</v>
      </c>
      <c r="C74" s="7" t="str">
        <f>IFERROR(__xludf.DUMMYFUNCTION("""COMPUTED_VALUE"""),"FUNSAU")</f>
        <v>FUNSAU</v>
      </c>
      <c r="D74" s="7" t="str">
        <f>IFERROR(__xludf.DUMMYFUNCTION("""COMPUTED_VALUE"""),"Cap. Haroldo ")</f>
        <v>Cap. Haroldo </v>
      </c>
      <c r="E74" s="7" t="str">
        <f>IFERROR(__xludf.DUMMYFUNCTION("""COMPUTED_VALUE"""),"Gestor De Contratos ")</f>
        <v>Gestor De Contratos </v>
      </c>
      <c r="F74" s="7"/>
      <c r="G74" s="7"/>
      <c r="H74" s="7" t="str">
        <f>IFERROR(__xludf.DUMMYFUNCTION("""COMPUTED_VALUE""")," 98315-2212 ")</f>
        <v> 98315-2212 </v>
      </c>
      <c r="I74" s="7" t="str">
        <f>IFERROR(__xludf.DUMMYFUNCTION("""COMPUTED_VALUE"""),"pmpafunsau.contratos@gmail.com")</f>
        <v>pmpafunsau.contratos@gmail.com</v>
      </c>
      <c r="J74" s="16" t="str">
        <f>IFERROR(__xludf.DUMMYFUNCTION("""COMPUTED_VALUE"""),"pmpafunsau@gmail.com  ")</f>
        <v>pmpafunsau@gmail.com  </v>
      </c>
    </row>
    <row r="75">
      <c r="A75" s="7"/>
      <c r="B75" s="7" t="str">
        <f>IFERROR(__xludf.DUMMYFUNCTION("""COMPUTED_VALUE"""),"FUNSAU2")</f>
        <v>FUNSAU2</v>
      </c>
      <c r="C75" s="7" t="str">
        <f>IFERROR(__xludf.DUMMYFUNCTION("""COMPUTED_VALUE"""),"FUNSAU")</f>
        <v>FUNSAU</v>
      </c>
      <c r="D75" s="7" t="str">
        <f>IFERROR(__xludf.DUMMYFUNCTION("""COMPUTED_VALUE""")," CB PM Álvaro")</f>
        <v> CB PM Álvaro</v>
      </c>
      <c r="E75" s="7" t="str">
        <f>IFERROR(__xludf.DUMMYFUNCTION("""COMPUTED_VALUE"""),"Auxiliar da Seção de Planejamento de Compras")</f>
        <v>Auxiliar da Seção de Planejamento de Compras</v>
      </c>
      <c r="F75" s="7"/>
      <c r="G75" s="7"/>
      <c r="H75" s="7" t="str">
        <f>IFERROR(__xludf.DUMMYFUNCTION("""COMPUTED_VALUE"""),"98584-6039")</f>
        <v>98584-6039</v>
      </c>
      <c r="I75" s="7"/>
      <c r="J75" s="7"/>
    </row>
    <row r="76">
      <c r="A76" s="7"/>
      <c r="B76" s="7" t="str">
        <f>IFERROR(__xludf.DUMMYFUNCTION("""COMPUTED_VALUE"""),"FUNTELPA1")</f>
        <v>FUNTELPA1</v>
      </c>
      <c r="C76" s="7" t="str">
        <f>IFERROR(__xludf.DUMMYFUNCTION("""COMPUTED_VALUE"""),"FUNTELPA")</f>
        <v>FUNTELPA</v>
      </c>
      <c r="D76" s="7" t="str">
        <f>IFERROR(__xludf.DUMMYFUNCTION("""COMPUTED_VALUE"""),"Ingrid Sousa")</f>
        <v>Ingrid Sousa</v>
      </c>
      <c r="E76" s="7"/>
      <c r="F76" s="7" t="str">
        <f>IFERROR(__xludf.DUMMYFUNCTION("""COMPUTED_VALUE"""),"Recursos Humanos - RH")</f>
        <v>Recursos Humanos - RH</v>
      </c>
      <c r="G76" s="7"/>
      <c r="H76" s="7"/>
      <c r="I76" s="16" t="str">
        <f>IFERROR(__xludf.DUMMYFUNCTION("""COMPUTED_VALUE"""),"ingridsousa@funtelpa.net")</f>
        <v>ingridsousa@funtelpa.net</v>
      </c>
      <c r="J76" s="16" t="str">
        <f>IFERROR(__xludf.DUMMYFUNCTION("""COMPUTED_VALUE"""),"rh@funtelpa.com.br")</f>
        <v>rh@funtelpa.com.br</v>
      </c>
    </row>
    <row r="77">
      <c r="A77" s="7"/>
      <c r="B77" s="7" t="str">
        <f>IFERROR(__xludf.DUMMYFUNCTION("""COMPUTED_VALUE"""),"FUNTELPA2")</f>
        <v>FUNTELPA2</v>
      </c>
      <c r="C77" s="7" t="str">
        <f>IFERROR(__xludf.DUMMYFUNCTION("""COMPUTED_VALUE"""),"FUNTELPA")</f>
        <v>FUNTELPA</v>
      </c>
      <c r="D77" s="7" t="str">
        <f>IFERROR(__xludf.DUMMYFUNCTION("""COMPUTED_VALUE"""),"Larissa Diniz")</f>
        <v>Larissa Diniz</v>
      </c>
      <c r="E77" s="7"/>
      <c r="F77" s="7"/>
      <c r="G77" s="7" t="str">
        <f>IFERROR(__xludf.DUMMYFUNCTION("""COMPUTED_VALUE"""),"(91) 4005-7725")</f>
        <v>(91) 4005-7725</v>
      </c>
      <c r="H77" s="7"/>
      <c r="I77" s="16" t="str">
        <f>IFERROR(__xludf.DUMMYFUNCTION("""COMPUTED_VALUE"""),"larissadiniz@portalcultura.com.br")</f>
        <v>larissadiniz@portalcultura.com.br</v>
      </c>
      <c r="J77" s="16" t="str">
        <f>IFERROR(__xludf.DUMMYFUNCTION("""COMPUTED_VALUE"""),"gabinete@funtelpa.com.br")</f>
        <v>gabinete@funtelpa.com.br</v>
      </c>
    </row>
    <row r="78">
      <c r="A78" s="7"/>
      <c r="B78" s="7" t="str">
        <f>IFERROR(__xludf.DUMMYFUNCTION("""COMPUTED_VALUE"""),"GASPARÁ1")</f>
        <v>GASPARÁ1</v>
      </c>
      <c r="C78" s="7" t="str">
        <f>IFERROR(__xludf.DUMMYFUNCTION("""COMPUTED_VALUE"""),"GASPARÁ")</f>
        <v>GASPARÁ</v>
      </c>
      <c r="D78" s="7" t="str">
        <f>IFERROR(__xludf.DUMMYFUNCTION("""COMPUTED_VALUE"""),"Charles William")</f>
        <v>Charles William</v>
      </c>
      <c r="E78" s="7" t="str">
        <f>IFERROR(__xludf.DUMMYFUNCTION("""COMPUTED_VALUE"""),"Assistente de TI")</f>
        <v>Assistente de TI</v>
      </c>
      <c r="F78" s="7"/>
      <c r="G78" s="7"/>
      <c r="H78" s="84" t="str">
        <f>IFERROR(__xludf.DUMMYFUNCTION("""COMPUTED_VALUE"""),"(91) 98592-1772")</f>
        <v>(91) 98592-1772</v>
      </c>
      <c r="I78" s="7" t="str">
        <f>IFERROR(__xludf.DUMMYFUNCTION("""COMPUTED_VALUE"""),"suporte@gasdopara.com.br")</f>
        <v>suporte@gasdopara.com.br</v>
      </c>
      <c r="J78" s="7"/>
    </row>
    <row r="79">
      <c r="A79" s="7"/>
      <c r="B79" s="7" t="str">
        <f>IFERROR(__xludf.DUMMYFUNCTION("""COMPUTED_VALUE"""),"GASPARÁ2")</f>
        <v>GASPARÁ2</v>
      </c>
      <c r="C79" s="7" t="str">
        <f>IFERROR(__xludf.DUMMYFUNCTION("""COMPUTED_VALUE"""),"GASPARÁ")</f>
        <v>GASPARÁ</v>
      </c>
      <c r="D79" s="7" t="str">
        <f>IFERROR(__xludf.DUMMYFUNCTION("""COMPUTED_VALUE"""),"Jaime Isensee")</f>
        <v>Jaime Isensee</v>
      </c>
      <c r="E79" s="7" t="str">
        <f>IFERROR(__xludf.DUMMYFUNCTION("""COMPUTED_VALUE"""),"Gerente Administrativo e Financeiro")</f>
        <v>Gerente Administrativo e Financeiro</v>
      </c>
      <c r="F79" s="7"/>
      <c r="G79" s="7"/>
      <c r="H79" s="84" t="str">
        <f>IFERROR(__xludf.DUMMYFUNCTION("""COMPUTED_VALUE"""),"(71) 99737-1066")</f>
        <v>(71) 99737-1066</v>
      </c>
      <c r="I79" s="7" t="str">
        <f>IFERROR(__xludf.DUMMYFUNCTION("""COMPUTED_VALUE"""),"jaime.isensee@gasdopara.com.br")</f>
        <v>jaime.isensee@gasdopara.com.br</v>
      </c>
      <c r="J79" s="7"/>
    </row>
    <row r="80">
      <c r="A80" s="7"/>
      <c r="B80" s="7" t="str">
        <f>IFERROR(__xludf.DUMMYFUNCTION("""COMPUTED_VALUE"""),"HEMOPA1")</f>
        <v>HEMOPA1</v>
      </c>
      <c r="C80" s="7" t="str">
        <f>IFERROR(__xludf.DUMMYFUNCTION("""COMPUTED_VALUE"""),"HEMOPA")</f>
        <v>HEMOPA</v>
      </c>
      <c r="D80" s="7" t="str">
        <f>IFERROR(__xludf.DUMMYFUNCTION("""COMPUTED_VALUE"""),"João Raiol")</f>
        <v>João Raiol</v>
      </c>
      <c r="E80" s="7"/>
      <c r="F80" s="7" t="str">
        <f>IFERROR(__xludf.DUMMYFUNCTION("""COMPUTED_VALUE"""),"Gerencia de Tecnologia da Informação - GETIN")</f>
        <v>Gerencia de Tecnologia da Informação - GETIN</v>
      </c>
      <c r="G80" s="7" t="str">
        <f>IFERROR(__xludf.DUMMYFUNCTION("""COMPUTED_VALUE"""),"(91) 3110-6547")</f>
        <v>(91) 3110-6547</v>
      </c>
      <c r="H80" s="7"/>
      <c r="I80" s="7" t="str">
        <f>IFERROR(__xludf.DUMMYFUNCTION("""COMPUTED_VALUE"""),"joao.raiol@hemopa.pa.gov.br")</f>
        <v>joao.raiol@hemopa.pa.gov.br</v>
      </c>
      <c r="J80" s="7"/>
    </row>
    <row r="81">
      <c r="A81" s="7"/>
      <c r="B81" s="7" t="str">
        <f>IFERROR(__xludf.DUMMYFUNCTION("""COMPUTED_VALUE"""),"HEMOPA2")</f>
        <v>HEMOPA2</v>
      </c>
      <c r="C81" s="7" t="str">
        <f>IFERROR(__xludf.DUMMYFUNCTION("""COMPUTED_VALUE"""),"HEMOPA")</f>
        <v>HEMOPA</v>
      </c>
      <c r="D81" s="7" t="str">
        <f>IFERROR(__xludf.DUMMYFUNCTION("""COMPUTED_VALUE"""),"João Tadeu Cavalcante Junior")</f>
        <v>João Tadeu Cavalcante Junior</v>
      </c>
      <c r="E81" s="7"/>
      <c r="F81" s="7" t="str">
        <f>IFERROR(__xludf.DUMMYFUNCTION("""COMPUTED_VALUE"""),"Comissão de Licitação")</f>
        <v>Comissão de Licitação</v>
      </c>
      <c r="G81" s="7"/>
      <c r="H81" s="7"/>
      <c r="I81" s="7" t="str">
        <f>IFERROR(__xludf.DUMMYFUNCTION("""COMPUTED_VALUE"""),"joao.tadeu@hemopa.pa.gov.br")</f>
        <v>joao.tadeu@hemopa.pa.gov.br</v>
      </c>
      <c r="J81" s="7" t="str">
        <f>IFERROR(__xludf.DUMMYFUNCTION("""COMPUTED_VALUE"""),"licitacao@hemopa.pa.gov.br")</f>
        <v>licitacao@hemopa.pa.gov.br</v>
      </c>
    </row>
    <row r="82">
      <c r="A82" s="7"/>
      <c r="B82" s="7" t="str">
        <f>IFERROR(__xludf.DUMMYFUNCTION("""COMPUTED_VALUE"""),"HEMOPA3")</f>
        <v>HEMOPA3</v>
      </c>
      <c r="C82" s="7" t="str">
        <f>IFERROR(__xludf.DUMMYFUNCTION("""COMPUTED_VALUE"""),"HEMOPA")</f>
        <v>HEMOPA</v>
      </c>
      <c r="D82" s="7" t="str">
        <f>IFERROR(__xludf.DUMMYFUNCTION("""COMPUTED_VALUE"""),"Brenda Botelho Pinheiro")</f>
        <v>Brenda Botelho Pinheiro</v>
      </c>
      <c r="E82" s="7"/>
      <c r="F82" s="7" t="str">
        <f>IFERROR(__xludf.DUMMYFUNCTION("""COMPUTED_VALUE"""),"Assessoria Jurídica - AJUR")</f>
        <v>Assessoria Jurídica - AJUR</v>
      </c>
      <c r="G82" s="7" t="str">
        <f>IFERROR(__xludf.DUMMYFUNCTION("""COMPUTED_VALUE"""),"(91) 3110-6503")</f>
        <v>(91) 3110-6503</v>
      </c>
      <c r="H82" s="7"/>
      <c r="I82" s="7" t="str">
        <f>IFERROR(__xludf.DUMMYFUNCTION("""COMPUTED_VALUE"""),"brenda.pinheiro@hemopa.pa.gov.br")</f>
        <v>brenda.pinheiro@hemopa.pa.gov.br</v>
      </c>
      <c r="J82" s="7"/>
    </row>
    <row r="83">
      <c r="A83" s="7"/>
      <c r="B83" s="7" t="str">
        <f>IFERROR(__xludf.DUMMYFUNCTION("""COMPUTED_VALUE"""),"HOL1")</f>
        <v>HOL1</v>
      </c>
      <c r="C83" s="7" t="str">
        <f>IFERROR(__xludf.DUMMYFUNCTION("""COMPUTED_VALUE"""),"HOL")</f>
        <v>HOL</v>
      </c>
      <c r="D83" s="7" t="str">
        <f>IFERROR(__xludf.DUMMYFUNCTION("""COMPUTED_VALUE"""),"Ione")</f>
        <v>Ione</v>
      </c>
      <c r="E83" s="7"/>
      <c r="F83" s="7"/>
      <c r="G83" s="7" t="str">
        <f>IFERROR(__xludf.DUMMYFUNCTION("""COMPUTED_VALUE"""),"(91) 3265-6627")</f>
        <v>(91) 3265-6627</v>
      </c>
      <c r="H83" s="7"/>
      <c r="I83" s="7"/>
      <c r="J83" s="7"/>
    </row>
    <row r="84">
      <c r="A84" s="7"/>
      <c r="B84" s="7" t="str">
        <f>IFERROR(__xludf.DUMMYFUNCTION("""COMPUTED_VALUE"""),"HOL2")</f>
        <v>HOL2</v>
      </c>
      <c r="C84" s="7" t="str">
        <f>IFERROR(__xludf.DUMMYFUNCTION("""COMPUTED_VALUE"""),"HOL")</f>
        <v>HOL</v>
      </c>
      <c r="D84" s="7" t="str">
        <f>IFERROR(__xludf.DUMMYFUNCTION("""COMPUTED_VALUE"""),"Gleiciane Bezerra")</f>
        <v>Gleiciane Bezerra</v>
      </c>
      <c r="E84" s="7"/>
      <c r="F84" s="7" t="str">
        <f>IFERROR(__xludf.DUMMYFUNCTION("""COMPUTED_VALUE"""),"Coordenação de Contratos")</f>
        <v>Coordenação de Contratos</v>
      </c>
      <c r="G84" s="7" t="str">
        <f>IFERROR(__xludf.DUMMYFUNCTION("""COMPUTED_VALUE"""),"(91) 3265-6605")</f>
        <v>(91) 3265-6605</v>
      </c>
      <c r="H84" s="7"/>
      <c r="I84" s="16" t="str">
        <f>IFERROR(__xludf.DUMMYFUNCTION("""COMPUTED_VALUE"""),"contratoshol@gmail.com")</f>
        <v>contratoshol@gmail.com</v>
      </c>
      <c r="J84" s="7"/>
    </row>
    <row r="85">
      <c r="A85" s="7"/>
      <c r="B85" s="7" t="str">
        <f>IFERROR(__xludf.DUMMYFUNCTION("""COMPUTED_VALUE"""),"HOL3")</f>
        <v>HOL3</v>
      </c>
      <c r="C85" s="7" t="str">
        <f>IFERROR(__xludf.DUMMYFUNCTION("""COMPUTED_VALUE"""),"HOL")</f>
        <v>HOL</v>
      </c>
      <c r="D85" s="7" t="str">
        <f>IFERROR(__xludf.DUMMYFUNCTION("""COMPUTED_VALUE"""),"Diego Deleon Mendes Martins")</f>
        <v>Diego Deleon Mendes Martins</v>
      </c>
      <c r="E85" s="7" t="str">
        <f>IFERROR(__xludf.DUMMYFUNCTION("""COMPUTED_VALUE"""),"Técnico em Gestão de Informática")</f>
        <v>Técnico em Gestão de Informática</v>
      </c>
      <c r="F85" s="7" t="str">
        <f>IFERROR(__xludf.DUMMYFUNCTION("""COMPUTED_VALUE"""),"COORDENAÇÃO DE TI")</f>
        <v>COORDENAÇÃO DE TI</v>
      </c>
      <c r="G85" s="7" t="str">
        <f>IFERROR(__xludf.DUMMYFUNCTION("""COMPUTED_VALUE"""),"(91) 99150-2202")</f>
        <v>(91) 99150-2202</v>
      </c>
      <c r="H85" s="7"/>
      <c r="I85" s="7" t="str">
        <f>IFERROR(__xludf.DUMMYFUNCTION("""COMPUTED_VALUE"""),"informatica@ophirloyola.pa.gov.br")</f>
        <v>informatica@ophirloyola.pa.gov.br</v>
      </c>
      <c r="J85" s="7"/>
    </row>
    <row r="86">
      <c r="A86" s="7"/>
      <c r="B86" s="7" t="str">
        <f>IFERROR(__xludf.DUMMYFUNCTION("""COMPUTED_VALUE"""),"HOL4")</f>
        <v>HOL4</v>
      </c>
      <c r="C86" s="7" t="str">
        <f>IFERROR(__xludf.DUMMYFUNCTION("""COMPUTED_VALUE"""),"HOL")</f>
        <v>HOL</v>
      </c>
      <c r="D86" s="7" t="str">
        <f>IFERROR(__xludf.DUMMYFUNCTION("""COMPUTED_VALUE"""),"Frederick Xabregas Pamplona")</f>
        <v>Frederick Xabregas Pamplona</v>
      </c>
      <c r="E86" s="7" t="str">
        <f>IFERROR(__xludf.DUMMYFUNCTION("""COMPUTED_VALUE"""),"Coordenador da Tecnologia da Informação")</f>
        <v>Coordenador da Tecnologia da Informação</v>
      </c>
      <c r="F86" s="7" t="str">
        <f>IFERROR(__xludf.DUMMYFUNCTION("""COMPUTED_VALUE"""),"COORDENAÇÃO DE TI")</f>
        <v>COORDENAÇÃO DE TI</v>
      </c>
      <c r="G86" s="7" t="str">
        <f>IFERROR(__xludf.DUMMYFUNCTION("""COMPUTED_VALUE"""),"(91) 3265-6627")</f>
        <v>(91) 3265-6627</v>
      </c>
      <c r="H86" s="7"/>
      <c r="I86" s="16" t="str">
        <f>IFERROR(__xludf.DUMMYFUNCTION("""COMPUTED_VALUE"""),"coordenacaoti@ophirloyola.pa.gov.br")</f>
        <v>coordenacaoti@ophirloyola.pa.gov.br</v>
      </c>
      <c r="J86" s="7"/>
    </row>
    <row r="87">
      <c r="A87" s="7"/>
      <c r="B87" s="7" t="str">
        <f>IFERROR(__xludf.DUMMYFUNCTION("""COMPUTED_VALUE"""),"IASEP1")</f>
        <v>IASEP1</v>
      </c>
      <c r="C87" s="7" t="str">
        <f>IFERROR(__xludf.DUMMYFUNCTION("""COMPUTED_VALUE"""),"IASEP")</f>
        <v>IASEP</v>
      </c>
      <c r="D87" s="7" t="str">
        <f>IFERROR(__xludf.DUMMYFUNCTION("""COMPUTED_VALUE"""),"Benedito Rodrigues Bitencort Junior")</f>
        <v>Benedito Rodrigues Bitencort Junior</v>
      </c>
      <c r="E87" s="7" t="str">
        <f>IFERROR(__xludf.DUMMYFUNCTION("""COMPUTED_VALUE"""),"Analista de Informática / Coordenador")</f>
        <v>Analista de Informática / Coordenador</v>
      </c>
      <c r="F87" s="7" t="str">
        <f>IFERROR(__xludf.DUMMYFUNCTION("""COMPUTED_VALUE"""),"Núcleo de Tecnologia da Informação - NTI")</f>
        <v>Núcleo de Tecnologia da Informação - NTI</v>
      </c>
      <c r="G87" s="7" t="str">
        <f>IFERROR(__xludf.DUMMYFUNCTION("""COMPUTED_VALUE"""),"(91) 98337-0600")</f>
        <v>(91) 98337-0600</v>
      </c>
      <c r="H87" s="7" t="str">
        <f>IFERROR(__xludf.DUMMYFUNCTION("""COMPUTED_VALUE"""),"(91) 98628-0219")</f>
        <v>(91) 98628-0219</v>
      </c>
      <c r="I87" s="7" t="str">
        <f>IFERROR(__xludf.DUMMYFUNCTION("""COMPUTED_VALUE"""),"benedito.junior@iasep.pa.gov.br")</f>
        <v>benedito.junior@iasep.pa.gov.br</v>
      </c>
      <c r="J87" s="7"/>
    </row>
    <row r="88">
      <c r="A88" s="7"/>
      <c r="B88" s="7" t="str">
        <f>IFERROR(__xludf.DUMMYFUNCTION("""COMPUTED_VALUE"""),"IASEP2")</f>
        <v>IASEP2</v>
      </c>
      <c r="C88" s="7" t="str">
        <f>IFERROR(__xludf.DUMMYFUNCTION("""COMPUTED_VALUE"""),"IASEP")</f>
        <v>IASEP</v>
      </c>
      <c r="D88" s="7" t="str">
        <f>IFERROR(__xludf.DUMMYFUNCTION("""COMPUTED_VALUE"""),"Gilson Aurélio")</f>
        <v>Gilson Aurélio</v>
      </c>
      <c r="E88" s="7" t="str">
        <f>IFERROR(__xludf.DUMMYFUNCTION("""COMPUTED_VALUE"""),"Gerente")</f>
        <v>Gerente</v>
      </c>
      <c r="F88" s="7" t="str">
        <f>IFERROR(__xludf.DUMMYFUNCTION("""COMPUTED_VALUE"""),"Contratos")</f>
        <v>Contratos</v>
      </c>
      <c r="G88" s="7"/>
      <c r="H88" s="7"/>
      <c r="I88" s="7" t="str">
        <f>IFERROR(__xludf.DUMMYFUNCTION("""COMPUTED_VALUE"""),"contrato@iasep.pa.gov.br")</f>
        <v>contrato@iasep.pa.gov.br</v>
      </c>
      <c r="J88" s="7"/>
    </row>
    <row r="89">
      <c r="A89" s="7"/>
      <c r="B89" s="7" t="str">
        <f>IFERROR(__xludf.DUMMYFUNCTION("""COMPUTED_VALUE"""),"IASEP3")</f>
        <v>IASEP3</v>
      </c>
      <c r="C89" s="7" t="str">
        <f>IFERROR(__xludf.DUMMYFUNCTION("""COMPUTED_VALUE"""),"IASEP")</f>
        <v>IASEP</v>
      </c>
      <c r="D89" s="7" t="str">
        <f>IFERROR(__xludf.DUMMYFUNCTION("""COMPUTED_VALUE"""),"Leandro Lucas dos Santos")</f>
        <v>Leandro Lucas dos Santos</v>
      </c>
      <c r="E89" s="7" t="str">
        <f>IFERROR(__xludf.DUMMYFUNCTION("""COMPUTED_VALUE"""),"Coordenador Administrativo")</f>
        <v>Coordenador Administrativo</v>
      </c>
      <c r="F89" s="7" t="str">
        <f>IFERROR(__xludf.DUMMYFUNCTION("""COMPUTED_VALUE"""),"Gerência Administrativa de Serviços - GAS")</f>
        <v>Gerência Administrativa de Serviços - GAS</v>
      </c>
      <c r="G89" s="7"/>
      <c r="H89" s="7"/>
      <c r="I89" s="16" t="str">
        <f>IFERROR(__xludf.DUMMYFUNCTION("""COMPUTED_VALUE"""),"iasep.gmp.gas@gmail.com")</f>
        <v>iasep.gmp.gas@gmail.com</v>
      </c>
      <c r="J89" s="7"/>
    </row>
    <row r="90">
      <c r="A90" s="7"/>
      <c r="B90" s="7" t="str">
        <f>IFERROR(__xludf.DUMMYFUNCTION("""COMPUTED_VALUE"""),"IDEFLOR1")</f>
        <v>IDEFLOR1</v>
      </c>
      <c r="C90" s="7" t="str">
        <f>IFERROR(__xludf.DUMMYFUNCTION("""COMPUTED_VALUE"""),"IDEFLOR")</f>
        <v>IDEFLOR</v>
      </c>
      <c r="D90" s="7" t="str">
        <f>IFERROR(__xludf.DUMMYFUNCTION("""COMPUTED_VALUE"""),"Felipe SIlveira Brazão e Silva")</f>
        <v>Felipe SIlveira Brazão e Silva</v>
      </c>
      <c r="E90" s="7" t="str">
        <f>IFERROR(__xludf.DUMMYFUNCTION("""COMPUTED_VALUE"""),"Coordenador")</f>
        <v>Coordenador</v>
      </c>
      <c r="F90" s="7" t="str">
        <f>IFERROR(__xludf.DUMMYFUNCTION("""COMPUTED_VALUE"""),"Núcleo de Tecnologia")</f>
        <v>Núcleo de Tecnologia</v>
      </c>
      <c r="G90" s="7"/>
      <c r="H90" s="7" t="str">
        <f>IFERROR(__xludf.DUMMYFUNCTION("""COMPUTED_VALUE"""),"(91) 99290-5544")</f>
        <v>(91) 99290-5544</v>
      </c>
      <c r="I90" s="16" t="str">
        <f>IFERROR(__xludf.DUMMYFUNCTION("""COMPUTED_VALUE"""),"felipe.silva@ideflorbio.pa.gov.br")</f>
        <v>felipe.silva@ideflorbio.pa.gov.br</v>
      </c>
      <c r="J90" s="7"/>
    </row>
    <row r="91">
      <c r="A91" s="7"/>
      <c r="B91" s="7" t="str">
        <f>IFERROR(__xludf.DUMMYFUNCTION("""COMPUTED_VALUE"""),"IGEPPS1")</f>
        <v>IGEPPS1</v>
      </c>
      <c r="C91" s="7" t="str">
        <f>IFERROR(__xludf.DUMMYFUNCTION("""COMPUTED_VALUE"""),"IGEPPS")</f>
        <v>IGEPPS</v>
      </c>
      <c r="D91" s="7" t="str">
        <f>IFERROR(__xludf.DUMMYFUNCTION("""COMPUTED_VALUE"""),"Alexandre Correa")</f>
        <v>Alexandre Correa</v>
      </c>
      <c r="E91" s="7"/>
      <c r="F91" s="7" t="str">
        <f>IFERROR(__xludf.DUMMYFUNCTION("""COMPUTED_VALUE"""),"Coordenação de Administração e Serviços - COAS")</f>
        <v>Coordenação de Administração e Serviços - COAS</v>
      </c>
      <c r="G91" s="7"/>
      <c r="H91" s="7"/>
      <c r="I91" s="16" t="str">
        <f>IFERROR(__xludf.DUMMYFUNCTION("""COMPUTED_VALUE"""),"alexandre.correa@igepps.pa.gov.br")</f>
        <v>alexandre.correa@igepps.pa.gov.br</v>
      </c>
      <c r="J91" s="7"/>
    </row>
    <row r="92">
      <c r="A92" s="7"/>
      <c r="B92" s="7" t="str">
        <f>IFERROR(__xludf.DUMMYFUNCTION("""COMPUTED_VALUE"""),"IGEPPS2")</f>
        <v>IGEPPS2</v>
      </c>
      <c r="C92" s="7" t="str">
        <f>IFERROR(__xludf.DUMMYFUNCTION("""COMPUTED_VALUE"""),"IGEPPS")</f>
        <v>IGEPPS</v>
      </c>
      <c r="D92" s="7" t="str">
        <f>IFERROR(__xludf.DUMMYFUNCTION("""COMPUTED_VALUE"""),"Glenda Leão")</f>
        <v>Glenda Leão</v>
      </c>
      <c r="E92" s="7" t="str">
        <f>IFERROR(__xludf.DUMMYFUNCTION("""COMPUTED_VALUE"""),"Técnica de Administração e Finanças")</f>
        <v>Técnica de Administração e Finanças</v>
      </c>
      <c r="F92" s="7" t="str">
        <f>IFERROR(__xludf.DUMMYFUNCTION("""COMPUTED_VALUE"""),"Coordenação de Administração e Serviços - COAS")</f>
        <v>Coordenação de Administração e Serviços - COAS</v>
      </c>
      <c r="G92" s="7" t="str">
        <f>IFERROR(__xludf.DUMMYFUNCTION("""COMPUTED_VALUE"""),"(91) 3182-3506  / 3507")</f>
        <v>(91) 3182-3506  / 3507</v>
      </c>
      <c r="H92" s="7"/>
      <c r="I92" s="7" t="str">
        <f>IFERROR(__xludf.DUMMYFUNCTION("""COMPUTED_VALUE"""),"glenda.leao@igepps.pa.gov.br")</f>
        <v>glenda.leao@igepps.pa.gov.br</v>
      </c>
      <c r="J92" s="7"/>
    </row>
    <row r="93">
      <c r="A93" s="7"/>
      <c r="B93" s="7" t="str">
        <f>IFERROR(__xludf.DUMMYFUNCTION("""COMPUTED_VALUE"""),"IGEPPS3")</f>
        <v>IGEPPS3</v>
      </c>
      <c r="C93" s="7" t="str">
        <f>IFERROR(__xludf.DUMMYFUNCTION("""COMPUTED_VALUE"""),"IGEPPS")</f>
        <v>IGEPPS</v>
      </c>
      <c r="D93" s="7" t="str">
        <f>IFERROR(__xludf.DUMMYFUNCTION("""COMPUTED_VALUE"""),"Maria do Carmo M. M. Paiva")</f>
        <v>Maria do Carmo M. M. Paiva</v>
      </c>
      <c r="E93" s="7" t="str">
        <f>IFERROR(__xludf.DUMMYFUNCTION("""COMPUTED_VALUE"""),"Secretária")</f>
        <v>Secretária</v>
      </c>
      <c r="F93" s="7" t="str">
        <f>IFERROR(__xludf.DUMMYFUNCTION("""COMPUTED_VALUE"""),"Coordenação de Administração e Serviços - COAS")</f>
        <v>Coordenação de Administração e Serviços - COAS</v>
      </c>
      <c r="G93" s="7" t="str">
        <f>IFERROR(__xludf.DUMMYFUNCTION("""COMPUTED_VALUE"""),"(91) 3182-3506  / 3507")</f>
        <v>(91) 3182-3506  / 3507</v>
      </c>
      <c r="H93" s="7" t="str">
        <f>IFERROR(__xludf.DUMMYFUNCTION("""COMPUTED_VALUE"""),"(91) 8050-0024")</f>
        <v>(91) 8050-0024</v>
      </c>
      <c r="I93" s="7" t="str">
        <f>IFERROR(__xludf.DUMMYFUNCTION("""COMPUTED_VALUE"""),"contratos@igeprev.pa.gov.br")</f>
        <v>contratos@igeprev.pa.gov.br</v>
      </c>
      <c r="J93" s="7"/>
    </row>
    <row r="94">
      <c r="A94" s="7"/>
      <c r="B94" s="7" t="str">
        <f>IFERROR(__xludf.DUMMYFUNCTION("""COMPUTED_VALUE"""),"IGEPPS4")</f>
        <v>IGEPPS4</v>
      </c>
      <c r="C94" s="7" t="str">
        <f>IFERROR(__xludf.DUMMYFUNCTION("""COMPUTED_VALUE"""),"IGEPPS")</f>
        <v>IGEPPS</v>
      </c>
      <c r="D94" s="7" t="str">
        <f>IFERROR(__xludf.DUMMYFUNCTION("""COMPUTED_VALUE"""),"Ruth Monteiro Leão")</f>
        <v>Ruth Monteiro Leão</v>
      </c>
      <c r="E94" s="7" t="str">
        <f>IFERROR(__xludf.DUMMYFUNCTION("""COMPUTED_VALUE"""),"Técnica de Administração e Finanças")</f>
        <v>Técnica de Administração e Finanças</v>
      </c>
      <c r="F94" s="7" t="str">
        <f>IFERROR(__xludf.DUMMYFUNCTION("""COMPUTED_VALUE"""),"Coordenação de Administração e Serviços - COAS")</f>
        <v>Coordenação de Administração e Serviços - COAS</v>
      </c>
      <c r="G94" s="7" t="str">
        <f>IFERROR(__xludf.DUMMYFUNCTION("""COMPUTED_VALUE"""),"(91) 3182-3506  / 3507")</f>
        <v>(91) 3182-3506  / 3507</v>
      </c>
      <c r="H94" s="7"/>
      <c r="I94" s="7" t="str">
        <f>IFERROR(__xludf.DUMMYFUNCTION("""COMPUTED_VALUE"""),"ruth.leao@igepps.pa.gov.br")</f>
        <v>ruth.leao@igepps.pa.gov.br</v>
      </c>
      <c r="J94" s="7"/>
    </row>
    <row r="95">
      <c r="A95" s="7"/>
      <c r="B95" s="7" t="str">
        <f>IFERROR(__xludf.DUMMYFUNCTION("""COMPUTED_VALUE"""),"IGEPPS5")</f>
        <v>IGEPPS5</v>
      </c>
      <c r="C95" s="7" t="str">
        <f>IFERROR(__xludf.DUMMYFUNCTION("""COMPUTED_VALUE"""),"IGEPPS")</f>
        <v>IGEPPS</v>
      </c>
      <c r="D95" s="7" t="str">
        <f>IFERROR(__xludf.DUMMYFUNCTION("""COMPUTED_VALUE"""),"Alexandre Marcos de Assis Nascimento")</f>
        <v>Alexandre Marcos de Assis Nascimento</v>
      </c>
      <c r="E95" s="7" t="str">
        <f>IFERROR(__xludf.DUMMYFUNCTION("""COMPUTED_VALUE"""),"Analista de TI")</f>
        <v>Analista de TI</v>
      </c>
      <c r="F95" s="7" t="str">
        <f>IFERROR(__xludf.DUMMYFUNCTION("""COMPUTED_VALUE"""),"CTIN")</f>
        <v>CTIN</v>
      </c>
      <c r="G95" s="7" t="str">
        <f>IFERROR(__xludf.DUMMYFUNCTION("""COMPUTED_VALUE"""),"(91) 98135-5759")</f>
        <v>(91) 98135-5759</v>
      </c>
      <c r="H95" s="7"/>
      <c r="I95" s="7" t="str">
        <f>IFERROR(__xludf.DUMMYFUNCTION("""COMPUTED_VALUE"""),"alx.marcoss@gmail.com")</f>
        <v>alx.marcoss@gmail.com</v>
      </c>
      <c r="J95" s="7"/>
    </row>
    <row r="96">
      <c r="A96" s="7"/>
      <c r="B96" s="7" t="str">
        <f>IFERROR(__xludf.DUMMYFUNCTION("""COMPUTED_VALUE"""),"ITERPA1")</f>
        <v>ITERPA1</v>
      </c>
      <c r="C96" s="7" t="str">
        <f>IFERROR(__xludf.DUMMYFUNCTION("""COMPUTED_VALUE"""),"ITERPA")</f>
        <v>ITERPA</v>
      </c>
      <c r="D96" s="7" t="str">
        <f>IFERROR(__xludf.DUMMYFUNCTION("""COMPUTED_VALUE"""),"Larissa Baganha")</f>
        <v>Larissa Baganha</v>
      </c>
      <c r="E96" s="7" t="str">
        <f>IFERROR(__xludf.DUMMYFUNCTION("""COMPUTED_VALUE"""),"Respónsavel NTI")</f>
        <v>Respónsavel NTI</v>
      </c>
      <c r="F96" s="7"/>
      <c r="G96" s="7" t="str">
        <f>IFERROR(__xludf.DUMMYFUNCTION("""COMPUTED_VALUE"""),"(91) 3181-6537")</f>
        <v>(91) 3181-6537</v>
      </c>
      <c r="H96" s="7"/>
      <c r="I96" s="7" t="str">
        <f>IFERROR(__xludf.DUMMYFUNCTION("""COMPUTED_VALUE"""),"larissa.baganha@iterpa.pa.gov.br")</f>
        <v>larissa.baganha@iterpa.pa.gov.br</v>
      </c>
      <c r="J96" s="7"/>
    </row>
    <row r="97">
      <c r="A97" s="7"/>
      <c r="B97" s="7" t="str">
        <f>IFERROR(__xludf.DUMMYFUNCTION("""COMPUTED_VALUE"""),"ITERPA2")</f>
        <v>ITERPA2</v>
      </c>
      <c r="C97" s="7" t="str">
        <f>IFERROR(__xludf.DUMMYFUNCTION("""COMPUTED_VALUE"""),"ITERPA")</f>
        <v>ITERPA</v>
      </c>
      <c r="D97" s="7" t="str">
        <f>IFERROR(__xludf.DUMMYFUNCTION("""COMPUTED_VALUE"""),"Potyguara Prazeres de Oliveira Ferreira ")</f>
        <v>Potyguara Prazeres de Oliveira Ferreira </v>
      </c>
      <c r="E97" s="7" t="str">
        <f>IFERROR(__xludf.DUMMYFUNCTION("""COMPUTED_VALUE"""),"Respónsavel NTI")</f>
        <v>Respónsavel NTI</v>
      </c>
      <c r="F97" s="7"/>
      <c r="G97" s="7"/>
      <c r="H97" s="7" t="str">
        <f>IFERROR(__xludf.DUMMYFUNCTION("""COMPUTED_VALUE"""),"(91) 99145-6205")</f>
        <v>(91) 99145-6205</v>
      </c>
      <c r="I97" s="7" t="str">
        <f>IFERROR(__xludf.DUMMYFUNCTION("""COMPUTED_VALUE"""),"potyguara.ferreira@iterpa.pa.gov.br")</f>
        <v>potyguara.ferreira@iterpa.pa.gov.br</v>
      </c>
      <c r="J97" s="7"/>
    </row>
    <row r="98">
      <c r="A98" s="7"/>
      <c r="B98" s="7" t="str">
        <f>IFERROR(__xludf.DUMMYFUNCTION("""COMPUTED_VALUE"""),"ITERPA3")</f>
        <v>ITERPA3</v>
      </c>
      <c r="C98" s="7" t="str">
        <f>IFERROR(__xludf.DUMMYFUNCTION("""COMPUTED_VALUE"""),"ITERPA")</f>
        <v>ITERPA</v>
      </c>
      <c r="D98" s="7" t="str">
        <f>IFERROR(__xludf.DUMMYFUNCTION("""COMPUTED_VALUE"""),"Andreia Costa")</f>
        <v>Andreia Costa</v>
      </c>
      <c r="E98" s="7" t="str">
        <f>IFERROR(__xludf.DUMMYFUNCTION("""COMPUTED_VALUE"""),"Coordenador")</f>
        <v>Coordenador</v>
      </c>
      <c r="F98" s="7" t="str">
        <f>IFERROR(__xludf.DUMMYFUNCTION("""COMPUTED_VALUE"""),"Coordenadoria Administrativa - CA")</f>
        <v>Coordenadoria Administrativa - CA</v>
      </c>
      <c r="G98" s="7"/>
      <c r="H98" s="7" t="str">
        <f>IFERROR(__xludf.DUMMYFUNCTION("""COMPUTED_VALUE"""),"(91) 3284-9900")</f>
        <v>(91) 3284-9900</v>
      </c>
      <c r="I98" s="16" t="str">
        <f>IFERROR(__xludf.DUMMYFUNCTION("""COMPUTED_VALUE"""),"ca.iterpa@gmail.com")</f>
        <v>ca.iterpa@gmail.com</v>
      </c>
      <c r="J98" s="7"/>
    </row>
    <row r="99">
      <c r="A99" s="7"/>
      <c r="B99" s="7" t="str">
        <f>IFERROR(__xludf.DUMMYFUNCTION("""COMPUTED_VALUE"""),"JFPA1")</f>
        <v>JFPA1</v>
      </c>
      <c r="C99" s="7" t="str">
        <f>IFERROR(__xludf.DUMMYFUNCTION("""COMPUTED_VALUE"""),"JFPA")</f>
        <v>JFPA</v>
      </c>
      <c r="D99" s="7" t="str">
        <f>IFERROR(__xludf.DUMMYFUNCTION("""COMPUTED_VALUE"""),"Sergio Sierro Leal")</f>
        <v>Sergio Sierro Leal</v>
      </c>
      <c r="E99" s="7"/>
      <c r="F99" s="7" t="str">
        <f>IFERROR(__xludf.DUMMYFUNCTION("""COMPUTED_VALUE"""),"Núcleo de Tecnologia - NUTEC")</f>
        <v>Núcleo de Tecnologia - NUTEC</v>
      </c>
      <c r="G99" s="7" t="str">
        <f>IFERROR(__xludf.DUMMYFUNCTION("""COMPUTED_VALUE"""),"(91) 3299-6107")</f>
        <v>(91) 3299-6107</v>
      </c>
      <c r="H99" s="7"/>
      <c r="I99" s="16" t="str">
        <f>IFERROR(__xludf.DUMMYFUNCTION("""COMPUTED_VALUE"""),"sergio.sierro@trf1.jus.br")</f>
        <v>sergio.sierro@trf1.jus.br</v>
      </c>
      <c r="J99" s="7"/>
    </row>
    <row r="100">
      <c r="A100" s="7"/>
      <c r="B100" s="7" t="str">
        <f>IFERROR(__xludf.DUMMYFUNCTION("""COMPUTED_VALUE"""),"JUCEPA3")</f>
        <v>JUCEPA3</v>
      </c>
      <c r="C100" s="7" t="str">
        <f>IFERROR(__xludf.DUMMYFUNCTION("""COMPUTED_VALUE"""),"JUCEPA")</f>
        <v>JUCEPA</v>
      </c>
      <c r="D100" s="7" t="str">
        <f>IFERROR(__xludf.DUMMYFUNCTION("""COMPUTED_VALUE"""),"Karla Rego")</f>
        <v>Karla Rego</v>
      </c>
      <c r="E100" s="7"/>
      <c r="F100" s="7" t="str">
        <f>IFERROR(__xludf.DUMMYFUNCTION("""COMPUTED_VALUE"""),"Núcleo de Redes e Telecom - NRT ")</f>
        <v>Núcleo de Redes e Telecom - NRT </v>
      </c>
      <c r="G100" s="7"/>
      <c r="H100" s="7" t="str">
        <f>IFERROR(__xludf.DUMMYFUNCTION("""COMPUTED_VALUE"""),"(91) 9841-341")</f>
        <v>(91) 9841-341</v>
      </c>
      <c r="I100" s="16" t="str">
        <f>IFERROR(__xludf.DUMMYFUNCTION("""COMPUTED_VALUE"""),"nrt@jucepa.pa.gov.br")</f>
        <v>nrt@jucepa.pa.gov.br</v>
      </c>
      <c r="J100" s="7"/>
    </row>
    <row r="101">
      <c r="A101" s="7"/>
      <c r="B101" s="7" t="str">
        <f>IFERROR(__xludf.DUMMYFUNCTION("""COMPUTED_VALUE"""),"JUCEPA2")</f>
        <v>JUCEPA2</v>
      </c>
      <c r="C101" s="7" t="str">
        <f>IFERROR(__xludf.DUMMYFUNCTION("""COMPUTED_VALUE"""),"JUCEPA")</f>
        <v>JUCEPA</v>
      </c>
      <c r="D101" s="7" t="str">
        <f>IFERROR(__xludf.DUMMYFUNCTION("""COMPUTED_VALUE"""),"Rodney Aquino")</f>
        <v>Rodney Aquino</v>
      </c>
      <c r="E101" s="7"/>
      <c r="F101" s="7" t="str">
        <f>IFERROR(__xludf.DUMMYFUNCTION("""COMPUTED_VALUE"""),"Assessoria de Contratos")</f>
        <v>Assessoria de Contratos</v>
      </c>
      <c r="G101" s="7" t="str">
        <f>IFERROR(__xludf.DUMMYFUNCTION("""COMPUTED_VALUE"""),"(91) 3217-5873")</f>
        <v>(91) 3217-5873</v>
      </c>
      <c r="H101" s="7"/>
      <c r="I101" s="16" t="str">
        <f>IFERROR(__xludf.DUMMYFUNCTION("""COMPUTED_VALUE"""),"adcjunta17@gmail.com")</f>
        <v>adcjunta17@gmail.com</v>
      </c>
      <c r="J101" s="16" t="str">
        <f>IFERROR(__xludf.DUMMYFUNCTION("""COMPUTED_VALUE"""),"adc@jucepa.pa.gov.br")</f>
        <v>adc@jucepa.pa.gov.br</v>
      </c>
    </row>
    <row r="102">
      <c r="A102" s="7"/>
      <c r="B102" s="7" t="str">
        <f>IFERROR(__xludf.DUMMYFUNCTION("""COMPUTED_VALUE"""),"JUCEPA3")</f>
        <v>JUCEPA3</v>
      </c>
      <c r="C102" s="7" t="str">
        <f>IFERROR(__xludf.DUMMYFUNCTION("""COMPUTED_VALUE"""),"JUCEPA")</f>
        <v>JUCEPA</v>
      </c>
      <c r="D102" s="7" t="str">
        <f>IFERROR(__xludf.DUMMYFUNCTION("""COMPUTED_VALUE"""),"Thiago Pacheco")</f>
        <v>Thiago Pacheco</v>
      </c>
      <c r="E102" s="7" t="str">
        <f>IFERROR(__xludf.DUMMYFUNCTION("""COMPUTED_VALUE"""),"Gerente de Tecnologia")</f>
        <v>Gerente de Tecnologia</v>
      </c>
      <c r="F102" s="7" t="str">
        <f>IFERROR(__xludf.DUMMYFUNCTION("""COMPUTED_VALUE"""),"Núcleo de Redes e Tecnologia - NRT")</f>
        <v>Núcleo de Redes e Tecnologia - NRT</v>
      </c>
      <c r="G102" s="7" t="str">
        <f>IFERROR(__xludf.DUMMYFUNCTION("""COMPUTED_VALUE"""),"91) 3217-5864")</f>
        <v>91) 3217-5864</v>
      </c>
      <c r="H102" s="7" t="str">
        <f>IFERROR(__xludf.DUMMYFUNCTION("""COMPUTED_VALUE"""),"(91) 8928-9492")</f>
        <v>(91) 8928-9492</v>
      </c>
      <c r="I102" s="16" t="str">
        <f>IFERROR(__xludf.DUMMYFUNCTION("""COMPUTED_VALUE"""),"nrt@jucepa.pa.gov.br")</f>
        <v>nrt@jucepa.pa.gov.br</v>
      </c>
      <c r="J102" s="7"/>
    </row>
    <row r="103">
      <c r="A103" s="7"/>
      <c r="B103" s="7" t="str">
        <f>IFERROR(__xludf.DUMMYFUNCTION("""COMPUTED_VALUE"""),"JUCEPA4")</f>
        <v>JUCEPA4</v>
      </c>
      <c r="C103" s="7" t="str">
        <f>IFERROR(__xludf.DUMMYFUNCTION("""COMPUTED_VALUE"""),"JUCEPA")</f>
        <v>JUCEPA</v>
      </c>
      <c r="D103" s="7" t="str">
        <f>IFERROR(__xludf.DUMMYFUNCTION("""COMPUTED_VALUE"""),"Thiago Pacheco")</f>
        <v>Thiago Pacheco</v>
      </c>
      <c r="E103" s="7" t="str">
        <f>IFERROR(__xludf.DUMMYFUNCTION("""COMPUTED_VALUE"""),"Gerente de Tecnologia")</f>
        <v>Gerente de Tecnologia</v>
      </c>
      <c r="F103" s="7"/>
      <c r="G103" s="16" t="str">
        <f>IFERROR(__xludf.DUMMYFUNCTION("""COMPUTED_VALUE"""),"(91) 3217-5856")</f>
        <v>(91) 3217-5856</v>
      </c>
      <c r="H103" s="7"/>
      <c r="I103" s="7" t="str">
        <f>IFERROR(__xludf.DUMMYFUNCTION("""COMPUTED_VALUE"""),"thiago.pacheco@jucepa.pa.gov.br")</f>
        <v>thiago.pacheco@jucepa.pa.gov.br</v>
      </c>
      <c r="J103" s="16" t="str">
        <f>IFERROR(__xludf.DUMMYFUNCTION("""COMPUTED_VALUE"""),"nrt@jucepa.pa.gov.br")</f>
        <v>nrt@jucepa.pa.gov.br</v>
      </c>
    </row>
    <row r="104">
      <c r="A104" s="7"/>
      <c r="B104" s="7" t="str">
        <f>IFERROR(__xludf.DUMMYFUNCTION("""COMPUTED_VALUE"""),"MPPA1")</f>
        <v>MPPA1</v>
      </c>
      <c r="C104" s="7" t="str">
        <f>IFERROR(__xludf.DUMMYFUNCTION("""COMPUTED_VALUE"""),"MPPA")</f>
        <v>MPPA</v>
      </c>
      <c r="D104" s="7" t="str">
        <f>IFERROR(__xludf.DUMMYFUNCTION("""COMPUTED_VALUE"""),"Daniel Fernandes Rodrigues")</f>
        <v>Daniel Fernandes Rodrigues</v>
      </c>
      <c r="E104" s="7" t="str">
        <f>IFERROR(__xludf.DUMMYFUNCTION("""COMPUTED_VALUE"""),"Fiscal")</f>
        <v>Fiscal</v>
      </c>
      <c r="F104" s="7"/>
      <c r="G104" s="7" t="str">
        <f>IFERROR(__xludf.DUMMYFUNCTION("""COMPUTED_VALUE"""),"(91) 4004-3446")</f>
        <v>(91) 4004-3446</v>
      </c>
      <c r="H104" s="7" t="str">
        <f>IFERROR(__xludf.DUMMYFUNCTION("""COMPUTED_VALUE"""),"(91) 98161-8679")</f>
        <v>(91) 98161-8679</v>
      </c>
      <c r="I104" s="16" t="str">
        <f>IFERROR(__xludf.DUMMYFUNCTION("""COMPUTED_VALUE"""),"dfernandes@mppa.mp.br")</f>
        <v>dfernandes@mppa.mp.br</v>
      </c>
      <c r="J104" s="7"/>
    </row>
    <row r="105">
      <c r="A105" s="7"/>
      <c r="B105" s="7" t="str">
        <f>IFERROR(__xludf.DUMMYFUNCTION("""COMPUTED_VALUE"""),"MPPA2")</f>
        <v>MPPA2</v>
      </c>
      <c r="C105" s="7" t="str">
        <f>IFERROR(__xludf.DUMMYFUNCTION("""COMPUTED_VALUE"""),"MPPA")</f>
        <v>MPPA</v>
      </c>
      <c r="D105" s="7" t="str">
        <f>IFERROR(__xludf.DUMMYFUNCTION("""COMPUTED_VALUE"""),"Max Alessandro Monteiro Miranda")</f>
        <v>Max Alessandro Monteiro Miranda</v>
      </c>
      <c r="E105" s="7" t="str">
        <f>IFERROR(__xludf.DUMMYFUNCTION("""COMPUTED_VALUE"""),"Técnico Ministerial - TI - Suporte")</f>
        <v>Técnico Ministerial - TI - Suporte</v>
      </c>
      <c r="F105" s="7" t="str">
        <f>IFERROR(__xludf.DUMMYFUNCTION("""COMPUTED_VALUE"""),"Setor de Redes - Departamento de Informática")</f>
        <v>Setor de Redes - Departamento de Informática</v>
      </c>
      <c r="G105" s="7" t="str">
        <f>IFERROR(__xludf.DUMMYFUNCTION("""COMPUTED_VALUE"""),"(91) 4006-3545")</f>
        <v>(91) 4006-3545</v>
      </c>
      <c r="H105" s="7"/>
      <c r="I105" s="16" t="str">
        <f>IFERROR(__xludf.DUMMYFUNCTION("""COMPUTED_VALUE"""),"maxmiranda@mppa.mp.br")</f>
        <v>maxmiranda@mppa.mp.br</v>
      </c>
      <c r="J105" s="16" t="str">
        <f>IFERROR(__xludf.DUMMYFUNCTION("""COMPUTED_VALUE"""),"redes@mppa.mp.br")</f>
        <v>redes@mppa.mp.br</v>
      </c>
    </row>
    <row r="106">
      <c r="A106" s="7"/>
      <c r="B106" s="7" t="str">
        <f>IFERROR(__xludf.DUMMYFUNCTION("""COMPUTED_VALUE"""),"MPPA3")</f>
        <v>MPPA3</v>
      </c>
      <c r="C106" s="7" t="str">
        <f>IFERROR(__xludf.DUMMYFUNCTION("""COMPUTED_VALUE"""),"MPPA")</f>
        <v>MPPA</v>
      </c>
      <c r="D106" s="7" t="str">
        <f>IFERROR(__xludf.DUMMYFUNCTION("""COMPUTED_VALUE"""),"Fabrício Saldanha")</f>
        <v>Fabrício Saldanha</v>
      </c>
      <c r="E106" s="7" t="str">
        <f>IFERROR(__xludf.DUMMYFUNCTION("""COMPUTED_VALUE"""),"Diretor de Tecnologia")</f>
        <v>Diretor de Tecnologia</v>
      </c>
      <c r="F106" s="7"/>
      <c r="G106" s="7"/>
      <c r="H106" s="7"/>
      <c r="I106" s="7"/>
      <c r="J106" s="16" t="str">
        <f>IFERROR(__xludf.DUMMYFUNCTION("""COMPUTED_VALUE"""),"informatica@mppa.mp.br")</f>
        <v>informatica@mppa.mp.br</v>
      </c>
    </row>
    <row r="107">
      <c r="A107" s="7"/>
      <c r="B107" s="7" t="str">
        <f>IFERROR(__xludf.DUMMYFUNCTION("""COMPUTED_VALUE"""),"NGPR1")</f>
        <v>NGPR1</v>
      </c>
      <c r="C107" s="7" t="str">
        <f>IFERROR(__xludf.DUMMYFUNCTION("""COMPUTED_VALUE"""),"NGPR")</f>
        <v>NGPR</v>
      </c>
      <c r="D107" s="7" t="str">
        <f>IFERROR(__xludf.DUMMYFUNCTION("""COMPUTED_VALUE"""),"Ana Lucy")</f>
        <v>Ana Lucy</v>
      </c>
      <c r="E107" s="7"/>
      <c r="F107" s="7" t="str">
        <f>IFERROR(__xludf.DUMMYFUNCTION("""COMPUTED_VALUE"""),"Gabinete")</f>
        <v>Gabinete</v>
      </c>
      <c r="G107" s="7" t="str">
        <f>IFERROR(__xludf.DUMMYFUNCTION("""COMPUTED_VALUE"""),"(91) 3342-0150")</f>
        <v>(91) 3342-0150</v>
      </c>
      <c r="H107" s="7"/>
      <c r="I107" s="7" t="str">
        <f>IFERROR(__xludf.DUMMYFUNCTION("""COMPUTED_VALUE"""),"gab.pararural@gmail.com")</f>
        <v>gab.pararural@gmail.com</v>
      </c>
      <c r="J107" s="7"/>
    </row>
    <row r="108">
      <c r="A108" s="7"/>
      <c r="B108" s="7" t="str">
        <f>IFERROR(__xludf.DUMMYFUNCTION("""COMPUTED_VALUE"""),"NGPR2")</f>
        <v>NGPR2</v>
      </c>
      <c r="C108" s="7" t="str">
        <f>IFERROR(__xludf.DUMMYFUNCTION("""COMPUTED_VALUE"""),"NGPR")</f>
        <v>NGPR</v>
      </c>
      <c r="D108" s="7" t="str">
        <f>IFERROR(__xludf.DUMMYFUNCTION("""COMPUTED_VALUE"""),"Fabrício Araújo")</f>
        <v>Fabrício Araújo</v>
      </c>
      <c r="E108" s="7" t="str">
        <f>IFERROR(__xludf.DUMMYFUNCTION("""COMPUTED_VALUE"""),"Gestor de TI")</f>
        <v>Gestor de TI</v>
      </c>
      <c r="F108" s="7"/>
      <c r="G108" s="7" t="str">
        <f>IFERROR(__xludf.DUMMYFUNCTION("""COMPUTED_VALUE"""),"(91) 3342-0164")</f>
        <v>(91) 3342-0164</v>
      </c>
      <c r="H108" s="7"/>
      <c r="I108" s="7" t="str">
        <f>IFERROR(__xludf.DUMMYFUNCTION("""COMPUTED_VALUE"""),"ti.pararural@gmail.com")</f>
        <v>ti.pararural@gmail.com</v>
      </c>
      <c r="J108" s="7"/>
    </row>
    <row r="109">
      <c r="A109" s="7"/>
      <c r="B109" s="7" t="str">
        <f>IFERROR(__xludf.DUMMYFUNCTION("""COMPUTED_VALUE"""),"NGTM1")</f>
        <v>NGTM1</v>
      </c>
      <c r="C109" s="7" t="str">
        <f>IFERROR(__xludf.DUMMYFUNCTION("""COMPUTED_VALUE"""),"NGTM")</f>
        <v>NGTM</v>
      </c>
      <c r="D109" s="7" t="str">
        <f>IFERROR(__xludf.DUMMYFUNCTION("""COMPUTED_VALUE"""),"Maria Ana Wanzeller de Oliveira")</f>
        <v>Maria Ana Wanzeller de Oliveira</v>
      </c>
      <c r="E109" s="7" t="str">
        <f>IFERROR(__xludf.DUMMYFUNCTION("""COMPUTED_VALUE"""),"Diretora")</f>
        <v>Diretora</v>
      </c>
      <c r="F109" s="7" t="str">
        <f>IFERROR(__xludf.DUMMYFUNCTION("""COMPUTED_VALUE"""),"Diretoria Administrativa e Financeira - DAF")</f>
        <v>Diretoria Administrativa e Financeira - DAF</v>
      </c>
      <c r="G109" s="7" t="str">
        <f>IFERROR(__xludf.DUMMYFUNCTION("""COMPUTED_VALUE"""),"(91) 3110-8454")</f>
        <v>(91) 3110-8454</v>
      </c>
      <c r="H109" s="62" t="str">
        <f>IFERROR(__xludf.DUMMYFUNCTION("""COMPUTED_VALUE"""),"(91) 98802-4833")</f>
        <v>(91) 98802-4833</v>
      </c>
      <c r="I109" s="16" t="str">
        <f>IFERROR(__xludf.DUMMYFUNCTION("""COMPUTED_VALUE"""),"mariaana.oliveira@ngtm.pa.gov.br")</f>
        <v>mariaana.oliveira@ngtm.pa.gov.br</v>
      </c>
      <c r="J109" s="7"/>
    </row>
    <row r="110">
      <c r="A110" s="7"/>
      <c r="B110" s="7" t="str">
        <f>IFERROR(__xludf.DUMMYFUNCTION("""COMPUTED_VALUE"""),"NGTM2")</f>
        <v>NGTM2</v>
      </c>
      <c r="C110" s="7" t="str">
        <f>IFERROR(__xludf.DUMMYFUNCTION("""COMPUTED_VALUE"""),"NGTM")</f>
        <v>NGTM</v>
      </c>
      <c r="D110" s="7" t="str">
        <f>IFERROR(__xludf.DUMMYFUNCTION("""COMPUTED_VALUE"""),"Ricardo Marques")</f>
        <v>Ricardo Marques</v>
      </c>
      <c r="E110" s="7" t="str">
        <f>IFERROR(__xludf.DUMMYFUNCTION("""COMPUTED_VALUE"""),"Gestor de TI")</f>
        <v>Gestor de TI</v>
      </c>
      <c r="F110" s="7" t="str">
        <f>IFERROR(__xludf.DUMMYFUNCTION("""COMPUTED_VALUE"""),"Diretoria da Tecnologia da Informação - DTI")</f>
        <v>Diretoria da Tecnologia da Informação - DTI</v>
      </c>
      <c r="G110" s="7" t="str">
        <f>IFERROR(__xludf.DUMMYFUNCTION("""COMPUTED_VALUE"""),"(91) 3110-1672")</f>
        <v>(91) 3110-1672</v>
      </c>
      <c r="H110" s="7"/>
      <c r="I110" s="16" t="str">
        <f>IFERROR(__xludf.DUMMYFUNCTION("""COMPUTED_VALUE"""),"ricardo.marques@ngtm.pa.gov.br")</f>
        <v>ricardo.marques@ngtm.pa.gov.br</v>
      </c>
      <c r="J110" s="7"/>
    </row>
    <row r="111">
      <c r="A111" s="7"/>
      <c r="B111" s="7" t="str">
        <f>IFERROR(__xludf.DUMMYFUNCTION("""COMPUTED_VALUE"""),"PCPA1")</f>
        <v>PCPA1</v>
      </c>
      <c r="C111" s="7" t="str">
        <f>IFERROR(__xludf.DUMMYFUNCTION("""COMPUTED_VALUE"""),"PCPA")</f>
        <v>PCPA</v>
      </c>
      <c r="D111" s="7" t="str">
        <f>IFERROR(__xludf.DUMMYFUNCTION("""COMPUTED_VALUE"""),"Alessandra Magrini")</f>
        <v>Alessandra Magrini</v>
      </c>
      <c r="E111" s="7" t="str">
        <f>IFERROR(__xludf.DUMMYFUNCTION("""COMPUTED_VALUE"""),"Gestor de TI")</f>
        <v>Gestor de TI</v>
      </c>
      <c r="F111" s="7" t="str">
        <f>IFERROR(__xludf.DUMMYFUNCTION("""COMPUTED_VALUE"""),"DIME-REDES")</f>
        <v>DIME-REDES</v>
      </c>
      <c r="G111" s="62" t="str">
        <f>IFERROR(__xludf.DUMMYFUNCTION("""COMPUTED_VALUE"""),"(91) 98853-3185")</f>
        <v>(91) 98853-3185</v>
      </c>
      <c r="H111" s="62" t="str">
        <f>IFERROR(__xludf.DUMMYFUNCTION("""COMPUTED_VALUE"""),"(91) 98853-3185")</f>
        <v>(91) 98853-3185</v>
      </c>
      <c r="I111" s="16" t="str">
        <f>IFERROR(__xludf.DUMMYFUNCTION("""COMPUTED_VALUE"""),"dime.pcpa@gmail.com")</f>
        <v>dime.pcpa@gmail.com</v>
      </c>
      <c r="J111" s="7"/>
    </row>
    <row r="112">
      <c r="A112" s="7"/>
      <c r="B112" s="7" t="str">
        <f>IFERROR(__xludf.DUMMYFUNCTION("""COMPUTED_VALUE"""),"PGE1")</f>
        <v>PGE1</v>
      </c>
      <c r="C112" s="7" t="str">
        <f>IFERROR(__xludf.DUMMYFUNCTION("""COMPUTED_VALUE"""),"PGE")</f>
        <v>PGE</v>
      </c>
      <c r="D112" s="7" t="str">
        <f>IFERROR(__xludf.DUMMYFUNCTION("""COMPUTED_VALUE"""),"Humberto Bezerra Maia Filho")</f>
        <v>Humberto Bezerra Maia Filho</v>
      </c>
      <c r="E112" s="7" t="str">
        <f>IFERROR(__xludf.DUMMYFUNCTION("""COMPUTED_VALUE"""),"Coordenador")</f>
        <v>Coordenador</v>
      </c>
      <c r="F112" s="7" t="str">
        <f>IFERROR(__xludf.DUMMYFUNCTION("""COMPUTED_VALUE"""),"Diretoria da Tecnologia da Informação - DTI")</f>
        <v>Diretoria da Tecnologia da Informação - DTI</v>
      </c>
      <c r="G112" s="7" t="str">
        <f>IFERROR(__xludf.DUMMYFUNCTION("""COMPUTED_VALUE"""),"(91) 3324-2764")</f>
        <v>(91) 3324-2764</v>
      </c>
      <c r="H112" s="7" t="str">
        <f>IFERROR(__xludf.DUMMYFUNCTION("""COMPUTED_VALUE"""),"(91) 3344-2739")</f>
        <v>(91) 3344-2739</v>
      </c>
      <c r="I112" s="16" t="str">
        <f>IFERROR(__xludf.DUMMYFUNCTION("""COMPUTED_VALUE"""),"humberto.filho@pge.pa.gov.br")</f>
        <v>humberto.filho@pge.pa.gov.br</v>
      </c>
      <c r="J112" s="7"/>
    </row>
    <row r="113">
      <c r="A113" s="7"/>
      <c r="B113" s="7" t="str">
        <f>IFERROR(__xludf.DUMMYFUNCTION("""COMPUTED_VALUE"""),"PM Abel Figueiredo1")</f>
        <v>PM Abel Figueiredo1</v>
      </c>
      <c r="C113" s="7" t="str">
        <f>IFERROR(__xludf.DUMMYFUNCTION("""COMPUTED_VALUE"""),"PM Abel Figueiredo")</f>
        <v>PM Abel Figueiredo</v>
      </c>
      <c r="D113" s="7" t="str">
        <f>IFERROR(__xludf.DUMMYFUNCTION("""COMPUTED_VALUE"""),"Altamir da Silva Ferreira")</f>
        <v>Altamir da Silva Ferreira</v>
      </c>
      <c r="E113" s="7"/>
      <c r="F113" s="7"/>
      <c r="G113" s="7"/>
      <c r="H113" s="7" t="str">
        <f>IFERROR(__xludf.DUMMYFUNCTION("""COMPUTED_VALUE"""),"(94) 99179-1180")</f>
        <v>(94) 99179-1180</v>
      </c>
      <c r="I113" s="7" t="str">
        <f>IFERROR(__xludf.DUMMYFUNCTION("""COMPUTED_VALUE"""),"altamirsf@hotmail.com")</f>
        <v>altamirsf@hotmail.com</v>
      </c>
      <c r="J113" s="7"/>
    </row>
    <row r="114">
      <c r="A114" s="7"/>
      <c r="B114" s="7" t="str">
        <f>IFERROR(__xludf.DUMMYFUNCTION("""COMPUTED_VALUE"""),"PM Abel Figueiredo2")</f>
        <v>PM Abel Figueiredo2</v>
      </c>
      <c r="C114" s="7" t="str">
        <f>IFERROR(__xludf.DUMMYFUNCTION("""COMPUTED_VALUE"""),"PM Abel Figueiredo")</f>
        <v>PM Abel Figueiredo</v>
      </c>
      <c r="D114" s="7" t="str">
        <f>IFERROR(__xludf.DUMMYFUNCTION("""COMPUTED_VALUE"""),"Gelson Silveira Rocha")</f>
        <v>Gelson Silveira Rocha</v>
      </c>
      <c r="E114" s="7"/>
      <c r="F114" s="7"/>
      <c r="G114" s="7" t="str">
        <f>IFERROR(__xludf.DUMMYFUNCTION("""COMPUTED_VALUE"""),"(94) 3342-1403")</f>
        <v>(94) 3342-1403</v>
      </c>
      <c r="H114" s="7" t="str">
        <f>IFERROR(__xludf.DUMMYFUNCTION("""COMPUTED_VALUE"""),"(94) 99301-6252 ")</f>
        <v>(94) 99301-6252 </v>
      </c>
      <c r="I114" s="7" t="str">
        <f>IFERROR(__xludf.DUMMYFUNCTION("""COMPUTED_VALUE"""),"gabinete@abelfigueiredo.pa.gov.br")</f>
        <v>gabinete@abelfigueiredo.pa.gov.br</v>
      </c>
      <c r="J114" s="7"/>
    </row>
    <row r="115">
      <c r="A115" s="7"/>
      <c r="B115" s="7" t="str">
        <f>IFERROR(__xludf.DUMMYFUNCTION("""COMPUTED_VALUE"""),"PM Abel Figueiredo3")</f>
        <v>PM Abel Figueiredo3</v>
      </c>
      <c r="C115" s="7" t="str">
        <f>IFERROR(__xludf.DUMMYFUNCTION("""COMPUTED_VALUE"""),"PM Abel Figueiredo")</f>
        <v>PM Abel Figueiredo</v>
      </c>
      <c r="D115" s="7" t="str">
        <f>IFERROR(__xludf.DUMMYFUNCTION("""COMPUTED_VALUE"""),"Altamir da Silva Ferreira")</f>
        <v>Altamir da Silva Ferreira</v>
      </c>
      <c r="E115" s="7"/>
      <c r="F115" s="7"/>
      <c r="G115" s="7"/>
      <c r="H115" s="7" t="str">
        <f>IFERROR(__xludf.DUMMYFUNCTION("""COMPUTED_VALUE"""),"(94) 9 9179-1180")</f>
        <v>(94) 9 9179-1180</v>
      </c>
      <c r="I115" s="16" t="str">
        <f>IFERROR(__xludf.DUMMYFUNCTION("""COMPUTED_VALUE"""),"gabinete@abelfigueiredo.pa.gov.br")</f>
        <v>gabinete@abelfigueiredo.pa.gov.br</v>
      </c>
      <c r="J115" s="7"/>
    </row>
    <row r="116">
      <c r="A116" s="7"/>
      <c r="B116" s="7" t="str">
        <f>IFERROR(__xludf.DUMMYFUNCTION("""COMPUTED_VALUE"""),"PM Abel Figueiredo4")</f>
        <v>PM Abel Figueiredo4</v>
      </c>
      <c r="C116" s="7" t="str">
        <f>IFERROR(__xludf.DUMMYFUNCTION("""COMPUTED_VALUE"""),"PM Abel Figueiredo")</f>
        <v>PM Abel Figueiredo</v>
      </c>
      <c r="D116" s="7" t="str">
        <f>IFERROR(__xludf.DUMMYFUNCTION("""COMPUTED_VALUE"""),"Gerson Silveira Rocha")</f>
        <v>Gerson Silveira Rocha</v>
      </c>
      <c r="E116" s="7"/>
      <c r="F116" s="7"/>
      <c r="G116" s="7"/>
      <c r="H116" s="7" t="str">
        <f>IFERROR(__xludf.DUMMYFUNCTION("""COMPUTED_VALUE"""),"(94) 9 9301-6252")</f>
        <v>(94) 9 9301-6252</v>
      </c>
      <c r="I116" s="16" t="str">
        <f>IFERROR(__xludf.DUMMYFUNCTION("""COMPUTED_VALUE"""),"altamirsf@hotmail.com")</f>
        <v>altamirsf@hotmail.com</v>
      </c>
      <c r="J116" s="7"/>
    </row>
    <row r="117">
      <c r="A117" s="7"/>
      <c r="B117" s="7" t="str">
        <f>IFERROR(__xludf.DUMMYFUNCTION("""COMPUTED_VALUE"""),"PM Afuá1")</f>
        <v>PM Afuá1</v>
      </c>
      <c r="C117" s="7" t="str">
        <f>IFERROR(__xludf.DUMMYFUNCTION("""COMPUTED_VALUE"""),"PM Afuá")</f>
        <v>PM Afuá</v>
      </c>
      <c r="D117" s="7" t="str">
        <f>IFERROR(__xludf.DUMMYFUNCTION("""COMPUTED_VALUE"""),"Dircina Almeida de Souza ")</f>
        <v>Dircina Almeida de Souza </v>
      </c>
      <c r="E117" s="7"/>
      <c r="F117" s="7"/>
      <c r="G117" s="7"/>
      <c r="H117" s="7" t="str">
        <f>IFERROR(__xludf.DUMMYFUNCTION("""COMPUTED_VALUE"""),"(91) 98489-7169 ")</f>
        <v>(91) 98489-7169 </v>
      </c>
      <c r="I117" s="16" t="str">
        <f>IFERROR(__xludf.DUMMYFUNCTION("""COMPUTED_VALUE"""),"dircina.souza1@gmail.com")</f>
        <v>dircina.souza1@gmail.com</v>
      </c>
      <c r="J117" s="16" t="str">
        <f>IFERROR(__xludf.DUMMYFUNCTION("""COMPUTED_VALUE"""),"gabpma@gmail.com")</f>
        <v>gabpma@gmail.com</v>
      </c>
    </row>
    <row r="118">
      <c r="A118" s="7"/>
      <c r="B118" s="7" t="str">
        <f>IFERROR(__xludf.DUMMYFUNCTION("""COMPUTED_VALUE"""),"PM Água Azul do Norte1")</f>
        <v>PM Água Azul do Norte1</v>
      </c>
      <c r="C118" s="7" t="str">
        <f>IFERROR(__xludf.DUMMYFUNCTION("""COMPUTED_VALUE"""),"PM Água Azul do Norte")</f>
        <v>PM Água Azul do Norte</v>
      </c>
      <c r="D118" s="7" t="str">
        <f>IFERROR(__xludf.DUMMYFUNCTION("""COMPUTED_VALUE"""),"Eráclito Gesuíno Da Paz")</f>
        <v>Eráclito Gesuíno Da Paz</v>
      </c>
      <c r="E118" s="7"/>
      <c r="F118" s="7" t="str">
        <f>IFERROR(__xludf.DUMMYFUNCTION("""COMPUTED_VALUE"""),"Secretário")</f>
        <v>Secretário</v>
      </c>
      <c r="G118" s="7"/>
      <c r="H118" s="7" t="str">
        <f>IFERROR(__xludf.DUMMYFUNCTION("""COMPUTED_VALUE""")," (94) 99240-45 60")</f>
        <v> (94) 99240-45 60</v>
      </c>
      <c r="I118" s="16" t="str">
        <f>IFERROR(__xludf.DUMMYFUNCTION("""COMPUTED_VALUE"""),"gabinetedoprefeito.aguaazul@gmail.com")</f>
        <v>gabinetedoprefeito.aguaazul@gmail.com</v>
      </c>
      <c r="J118" s="7"/>
    </row>
    <row r="119">
      <c r="A119" s="7"/>
      <c r="B119" s="7" t="str">
        <f>IFERROR(__xludf.DUMMYFUNCTION("""COMPUTED_VALUE"""),"PM Água Azul do Norte2")</f>
        <v>PM Água Azul do Norte2</v>
      </c>
      <c r="C119" s="7" t="str">
        <f>IFERROR(__xludf.DUMMYFUNCTION("""COMPUTED_VALUE"""),"PM Água Azul do Norte")</f>
        <v>PM Água Azul do Norte</v>
      </c>
      <c r="D119" s="7" t="str">
        <f>IFERROR(__xludf.DUMMYFUNCTION("""COMPUTED_VALUE"""),"Carlos Dias")</f>
        <v>Carlos Dias</v>
      </c>
      <c r="E119" s="7" t="str">
        <f>IFERROR(__xludf.DUMMYFUNCTION("""COMPUTED_VALUE"""),"Auxiliar Administrativo")</f>
        <v>Auxiliar Administrativo</v>
      </c>
      <c r="F119" s="7"/>
      <c r="G119" s="7"/>
      <c r="H119" s="7" t="str">
        <f>IFERROR(__xludf.DUMMYFUNCTION("""COMPUTED_VALUE"""),"(94)  99210-4418")</f>
        <v>(94)  99210-4418</v>
      </c>
      <c r="I119" s="16" t="str">
        <f>IFERROR(__xludf.DUMMYFUNCTION("""COMPUTED_VALUE"""),"carlosdias-oliveira@hotmail.com")</f>
        <v>carlosdias-oliveira@hotmail.com</v>
      </c>
      <c r="J119" s="7"/>
    </row>
    <row r="120">
      <c r="A120" s="7"/>
      <c r="B120" s="7" t="str">
        <f>IFERROR(__xludf.DUMMYFUNCTION("""COMPUTED_VALUE"""),"PM Alenquer1")</f>
        <v>PM Alenquer1</v>
      </c>
      <c r="C120" s="7" t="str">
        <f>IFERROR(__xludf.DUMMYFUNCTION("""COMPUTED_VALUE"""),"PM Alenquer")</f>
        <v>PM Alenquer</v>
      </c>
      <c r="D120" s="7" t="str">
        <f>IFERROR(__xludf.DUMMYFUNCTION("""COMPUTED_VALUE"""),"Juraci Estevam de Sousa")</f>
        <v>Juraci Estevam de Sousa</v>
      </c>
      <c r="E120" s="7" t="str">
        <f>IFERROR(__xludf.DUMMYFUNCTION("""COMPUTED_VALUE"""),"Prefeito")</f>
        <v>Prefeito</v>
      </c>
      <c r="F120" s="7"/>
      <c r="G120" s="7" t="str">
        <f>IFERROR(__xludf.DUMMYFUNCTION("""COMPUTED_VALUE"""),"(91)3526-1496")</f>
        <v>(91)3526-1496</v>
      </c>
      <c r="H120" s="7" t="str">
        <f>IFERROR(__xludf.DUMMYFUNCTION("""COMPUTED_VALUE"""),"(93) 9 9136-4762")</f>
        <v>(93) 9 9136-4762</v>
      </c>
      <c r="I120" s="16" t="str">
        <f>IFERROR(__xludf.DUMMYFUNCTION("""COMPUTED_VALUE"""),"semasalq@hotmail.com")</f>
        <v>semasalq@hotmail.com</v>
      </c>
      <c r="J120" s="7"/>
    </row>
    <row r="121">
      <c r="A121" s="7"/>
      <c r="B121" s="7" t="str">
        <f>IFERROR(__xludf.DUMMYFUNCTION("""COMPUTED_VALUE"""),"PM Alenquer2")</f>
        <v>PM Alenquer2</v>
      </c>
      <c r="C121" s="7" t="str">
        <f>IFERROR(__xludf.DUMMYFUNCTION("""COMPUTED_VALUE"""),"PM Alenquer")</f>
        <v>PM Alenquer</v>
      </c>
      <c r="D121" s="7" t="str">
        <f>IFERROR(__xludf.DUMMYFUNCTION("""COMPUTED_VALUE"""),"Raimundo Ivo de Azevedo Batista")</f>
        <v>Raimundo Ivo de Azevedo Batista</v>
      </c>
      <c r="E121" s="7"/>
      <c r="F121" s="7"/>
      <c r="G121" s="7"/>
      <c r="H121" s="7" t="str">
        <f>IFERROR(__xludf.DUMMYFUNCTION("""COMPUTED_VALUE"""),"(93) 9 9136-4762 ")</f>
        <v>(93) 9 9136-4762 </v>
      </c>
      <c r="I121" s="16" t="str">
        <f>IFERROR(__xludf.DUMMYFUNCTION("""COMPUTED_VALUE"""),"ivoidentificadorcivil@yahoo.com.br")</f>
        <v>ivoidentificadorcivil@yahoo.com.br</v>
      </c>
      <c r="J121" s="7"/>
    </row>
    <row r="122">
      <c r="A122" s="7"/>
      <c r="B122" s="7" t="str">
        <f>IFERROR(__xludf.DUMMYFUNCTION("""COMPUTED_VALUE"""),"PM Almeirim1")</f>
        <v>PM Almeirim1</v>
      </c>
      <c r="C122" s="7" t="str">
        <f>IFERROR(__xludf.DUMMYFUNCTION("""COMPUTED_VALUE"""),"PM Almeirim")</f>
        <v>PM Almeirim</v>
      </c>
      <c r="D122" s="7" t="str">
        <f>IFERROR(__xludf.DUMMYFUNCTION("""COMPUTED_VALUE"""),"Rogerio Veiga")</f>
        <v>Rogerio Veiga</v>
      </c>
      <c r="E122" s="7"/>
      <c r="F122" s="7"/>
      <c r="G122" s="7" t="str">
        <f>IFERROR(__xludf.DUMMYFUNCTION("""COMPUTED_VALUE"""),"(93)3737-2356")</f>
        <v>(93)3737-2356</v>
      </c>
      <c r="H122" s="7" t="str">
        <f>IFERROR(__xludf.DUMMYFUNCTION("""COMPUTED_VALUE"""),"(96) 9 9156-3756")</f>
        <v>(96) 9 9156-3756</v>
      </c>
      <c r="I122" s="16" t="str">
        <f>IFERROR(__xludf.DUMMYFUNCTION("""COMPUTED_VALUE"""),"rvsproducoesmusicais@gmail.com")</f>
        <v>rvsproducoesmusicais@gmail.com</v>
      </c>
      <c r="J122" s="7"/>
    </row>
    <row r="123">
      <c r="A123" s="7"/>
      <c r="B123" s="7" t="str">
        <f>IFERROR(__xludf.DUMMYFUNCTION("""COMPUTED_VALUE"""),"PM Almeirim2")</f>
        <v>PM Almeirim2</v>
      </c>
      <c r="C123" s="7" t="str">
        <f>IFERROR(__xludf.DUMMYFUNCTION("""COMPUTED_VALUE"""),"PM Almeirim")</f>
        <v>PM Almeirim</v>
      </c>
      <c r="D123" s="7" t="str">
        <f>IFERROR(__xludf.DUMMYFUNCTION("""COMPUTED_VALUE"""),"Rayane")</f>
        <v>Rayane</v>
      </c>
      <c r="E123" s="7"/>
      <c r="F123" s="7"/>
      <c r="G123" s="7"/>
      <c r="H123" s="7" t="str">
        <f>IFERROR(__xludf.DUMMYFUNCTION("""COMPUTED_VALUE"""),"(96) 9 9156-3756")</f>
        <v>(96) 9 9156-3756</v>
      </c>
      <c r="I123" s="16" t="str">
        <f>IFERROR(__xludf.DUMMYFUNCTION("""COMPUTED_VALUE"""),"raylanes258@gmail.com")</f>
        <v>raylanes258@gmail.com</v>
      </c>
      <c r="J123" s="7"/>
    </row>
    <row r="124">
      <c r="A124" s="7"/>
      <c r="B124" s="7" t="str">
        <f>IFERROR(__xludf.DUMMYFUNCTION("""COMPUTED_VALUE"""),"PM Anajás1")</f>
        <v>PM Anajás1</v>
      </c>
      <c r="C124" s="7" t="str">
        <f>IFERROR(__xludf.DUMMYFUNCTION("""COMPUTED_VALUE"""),"PM Anajás")</f>
        <v>PM Anajás</v>
      </c>
      <c r="D124" s="7" t="str">
        <f>IFERROR(__xludf.DUMMYFUNCTION("""COMPUTED_VALUE"""),"Adailton")</f>
        <v>Adailton</v>
      </c>
      <c r="E124" s="7"/>
      <c r="F124" s="7"/>
      <c r="G124" s="7"/>
      <c r="H124" s="7" t="str">
        <f>IFERROR(__xludf.DUMMYFUNCTION("""COMPUTED_VALUE"""),"(91) 98902-8034")</f>
        <v>(91) 98902-8034</v>
      </c>
      <c r="I124" s="16" t="str">
        <f>IFERROR(__xludf.DUMMYFUNCTION("""COMPUTED_VALUE"""),"pma.adm21@gmail.com")</f>
        <v>pma.adm21@gmail.com</v>
      </c>
      <c r="J124" s="7"/>
    </row>
    <row r="125">
      <c r="A125" s="7"/>
      <c r="B125" s="7" t="str">
        <f>IFERROR(__xludf.DUMMYFUNCTION("""COMPUTED_VALUE"""),"PM Anajás2")</f>
        <v>PM Anajás2</v>
      </c>
      <c r="C125" s="7" t="str">
        <f>IFERROR(__xludf.DUMMYFUNCTION("""COMPUTED_VALUE"""),"PM Anajás")</f>
        <v>PM Anajás</v>
      </c>
      <c r="D125" s="7" t="str">
        <f>IFERROR(__xludf.DUMMYFUNCTION("""COMPUTED_VALUE"""),"Josias")</f>
        <v>Josias</v>
      </c>
      <c r="E125" s="7"/>
      <c r="F125" s="7"/>
      <c r="G125" s="7"/>
      <c r="H125" s="7" t="str">
        <f>IFERROR(__xludf.DUMMYFUNCTION("""COMPUTED_VALUE"""),"(91)  98048-7734")</f>
        <v>(91)  98048-7734</v>
      </c>
      <c r="I125" s="16" t="str">
        <f>IFERROR(__xludf.DUMMYFUNCTION("""COMPUTED_VALUE"""),"smtpspma@gmail.com")</f>
        <v>smtpspma@gmail.com</v>
      </c>
      <c r="J125" s="7"/>
    </row>
    <row r="126">
      <c r="A126" s="7"/>
      <c r="B126" s="7" t="str">
        <f>IFERROR(__xludf.DUMMYFUNCTION("""COMPUTED_VALUE"""),"PM Anapú1")</f>
        <v>PM Anapú1</v>
      </c>
      <c r="C126" s="7" t="str">
        <f>IFERROR(__xludf.DUMMYFUNCTION("""COMPUTED_VALUE"""),"PM Anapú")</f>
        <v>PM Anapú</v>
      </c>
      <c r="D126" s="7" t="str">
        <f>IFERROR(__xludf.DUMMYFUNCTION("""COMPUTED_VALUE"""),"Edna")</f>
        <v>Edna</v>
      </c>
      <c r="E126" s="7"/>
      <c r="F126" s="7"/>
      <c r="G126" s="7"/>
      <c r="H126" s="7" t="str">
        <f>IFERROR(__xludf.DUMMYFUNCTION("""COMPUTED_VALUE"""),"(91) 99257-0091")</f>
        <v>(91) 99257-0091</v>
      </c>
      <c r="I126" s="16" t="str">
        <f>IFERROR(__xludf.DUMMYFUNCTION("""COMPUTED_VALUE"""),"ednaanapu.com@gmail.com")</f>
        <v>ednaanapu.com@gmail.com</v>
      </c>
      <c r="J126" s="7"/>
    </row>
    <row r="127">
      <c r="A127" s="7"/>
      <c r="B127" s="7" t="str">
        <f>IFERROR(__xludf.DUMMYFUNCTION("""COMPUTED_VALUE"""),"PM Anapú2")</f>
        <v>PM Anapú2</v>
      </c>
      <c r="C127" s="7" t="str">
        <f>IFERROR(__xludf.DUMMYFUNCTION("""COMPUTED_VALUE"""),"PM Anapú")</f>
        <v>PM Anapú</v>
      </c>
      <c r="D127" s="7" t="str">
        <f>IFERROR(__xludf.DUMMYFUNCTION("""COMPUTED_VALUE"""),"Jaquelino")</f>
        <v>Jaquelino</v>
      </c>
      <c r="E127" s="7"/>
      <c r="F127" s="7"/>
      <c r="G127" s="7"/>
      <c r="H127" s="7" t="str">
        <f>IFERROR(__xludf.DUMMYFUNCTION("""COMPUTED_VALUE"""),"(93) 99126-0373")</f>
        <v>(93) 99126-0373</v>
      </c>
      <c r="I127" s="7"/>
      <c r="J127" s="7"/>
    </row>
    <row r="128">
      <c r="A128" s="7"/>
      <c r="B128" s="7" t="str">
        <f>IFERROR(__xludf.DUMMYFUNCTION("""COMPUTED_VALUE"""),"PM Anapú3")</f>
        <v>PM Anapú3</v>
      </c>
      <c r="C128" s="7" t="str">
        <f>IFERROR(__xludf.DUMMYFUNCTION("""COMPUTED_VALUE"""),"PM Anapú")</f>
        <v>PM Anapú</v>
      </c>
      <c r="D128" s="7" t="str">
        <f>IFERROR(__xludf.DUMMYFUNCTION("""COMPUTED_VALUE"""),"Pedro Santos")</f>
        <v>Pedro Santos</v>
      </c>
      <c r="E128" s="7"/>
      <c r="F128" s="7"/>
      <c r="G128" s="7"/>
      <c r="H128" s="7" t="str">
        <f>IFERROR(__xludf.DUMMYFUNCTION("""COMPUTED_VALUE"""),"(91) 99231-6060")</f>
        <v>(91) 99231-6060</v>
      </c>
      <c r="I128" s="7"/>
      <c r="J128" s="7"/>
    </row>
    <row r="129">
      <c r="A129" s="7"/>
      <c r="B129" s="7" t="str">
        <f>IFERROR(__xludf.DUMMYFUNCTION("""COMPUTED_VALUE"""),"PM Anapú4")</f>
        <v>PM Anapú4</v>
      </c>
      <c r="C129" s="7" t="str">
        <f>IFERROR(__xludf.DUMMYFUNCTION("""COMPUTED_VALUE"""),"PM Anapú")</f>
        <v>PM Anapú</v>
      </c>
      <c r="D129" s="7" t="str">
        <f>IFERROR(__xludf.DUMMYFUNCTION("""COMPUTED_VALUE"""),"Edio")</f>
        <v>Edio</v>
      </c>
      <c r="E129" s="7" t="str">
        <f>IFERROR(__xludf.DUMMYFUNCTION("""COMPUTED_VALUE"""),"Diretor")</f>
        <v>Diretor</v>
      </c>
      <c r="F129" s="7"/>
      <c r="G129" s="7"/>
      <c r="H129" s="7" t="str">
        <f>IFERROR(__xludf.DUMMYFUNCTION("""COMPUTED_VALUE""")," (91) 99203-0233")</f>
        <v> (91) 99203-0233</v>
      </c>
      <c r="I129" s="16" t="str">
        <f>IFERROR(__xludf.DUMMYFUNCTION("""COMPUTED_VALUE"""),"prefeitura.municipal.anapu@gmail.com")</f>
        <v>prefeitura.municipal.anapu@gmail.com</v>
      </c>
      <c r="J129" s="7"/>
    </row>
    <row r="130">
      <c r="A130" s="7"/>
      <c r="B130" s="7" t="str">
        <f>IFERROR(__xludf.DUMMYFUNCTION("""COMPUTED_VALUE"""),"PM Anapú5")</f>
        <v>PM Anapú5</v>
      </c>
      <c r="C130" s="7" t="str">
        <f>IFERROR(__xludf.DUMMYFUNCTION("""COMPUTED_VALUE"""),"PM Anapú")</f>
        <v>PM Anapú</v>
      </c>
      <c r="D130" s="7" t="str">
        <f>IFERROR(__xludf.DUMMYFUNCTION("""COMPUTED_VALUE"""),"Erika")</f>
        <v>Erika</v>
      </c>
      <c r="E130" s="7"/>
      <c r="F130" s="7"/>
      <c r="G130" s="7"/>
      <c r="H130" s="7" t="str">
        <f>IFERROR(__xludf.DUMMYFUNCTION("""COMPUTED_VALUE"""),"9 9271-5297")</f>
        <v>9 9271-5297</v>
      </c>
      <c r="I130" s="7"/>
      <c r="J130" s="7"/>
    </row>
    <row r="131">
      <c r="A131" s="7"/>
      <c r="B131" s="7" t="str">
        <f>IFERROR(__xludf.DUMMYFUNCTION("""COMPUTED_VALUE"""),"PM Anapú6")</f>
        <v>PM Anapú6</v>
      </c>
      <c r="C131" s="7" t="str">
        <f>IFERROR(__xludf.DUMMYFUNCTION("""COMPUTED_VALUE"""),"PM Anapú")</f>
        <v>PM Anapú</v>
      </c>
      <c r="D131" s="7" t="str">
        <f>IFERROR(__xludf.DUMMYFUNCTION("""COMPUTED_VALUE"""),"Ronny")</f>
        <v>Ronny</v>
      </c>
      <c r="E131" s="7"/>
      <c r="F131" s="7"/>
      <c r="G131" s="7"/>
      <c r="H131" s="7" t="str">
        <f>IFERROR(__xludf.DUMMYFUNCTION("""COMPUTED_VALUE"""),"(93) 9 9208-1798")</f>
        <v>(93) 9 9208-1798</v>
      </c>
      <c r="I131" s="7"/>
      <c r="J131" s="7"/>
    </row>
    <row r="132">
      <c r="A132" s="7"/>
      <c r="B132" s="7" t="str">
        <f>IFERROR(__xludf.DUMMYFUNCTION("""COMPUTED_VALUE"""),"PM Augusto Corrêa1")</f>
        <v>PM Augusto Corrêa1</v>
      </c>
      <c r="C132" s="7" t="str">
        <f>IFERROR(__xludf.DUMMYFUNCTION("""COMPUTED_VALUE"""),"PM Augusto Corrêa")</f>
        <v>PM Augusto Corrêa</v>
      </c>
      <c r="D132" s="7" t="str">
        <f>IFERROR(__xludf.DUMMYFUNCTION("""COMPUTED_VALUE"""),"Marta Melo Machado")</f>
        <v>Marta Melo Machado</v>
      </c>
      <c r="E132" s="7"/>
      <c r="F132" s="7"/>
      <c r="G132" s="7"/>
      <c r="H132" s="7" t="str">
        <f>IFERROR(__xludf.DUMMYFUNCTION("""COMPUTED_VALUE"""),"(91) 99983-2958")</f>
        <v>(91) 99983-2958</v>
      </c>
      <c r="I132" s="16" t="str">
        <f>IFERROR(__xludf.DUMMYFUNCTION("""COMPUTED_VALUE"""),"marta_mmachado@hotmail.com")</f>
        <v>marta_mmachado@hotmail.com</v>
      </c>
      <c r="J132" s="16" t="str">
        <f>IFERROR(__xludf.DUMMYFUNCTION("""COMPUTED_VALUE"""),"semtepsac14@gmail.com")</f>
        <v>semtepsac14@gmail.com</v>
      </c>
    </row>
    <row r="133">
      <c r="A133" s="7"/>
      <c r="B133" s="7" t="str">
        <f>IFERROR(__xludf.DUMMYFUNCTION("""COMPUTED_VALUE"""),"PM Augusto Corrêa2")</f>
        <v>PM Augusto Corrêa2</v>
      </c>
      <c r="C133" s="7" t="str">
        <f>IFERROR(__xludf.DUMMYFUNCTION("""COMPUTED_VALUE"""),"PM Augusto Corrêa")</f>
        <v>PM Augusto Corrêa</v>
      </c>
      <c r="D133" s="7" t="str">
        <f>IFERROR(__xludf.DUMMYFUNCTION("""COMPUTED_VALUE"""),"Keila Pacheco")</f>
        <v>Keila Pacheco</v>
      </c>
      <c r="E133" s="7"/>
      <c r="F133" s="7"/>
      <c r="G133" s="7"/>
      <c r="H133" s="7"/>
      <c r="I133" s="16" t="str">
        <f>IFERROR(__xludf.DUMMYFUNCTION("""COMPUTED_VALUE"""),"keilapacheco2000@yahoo.com.br")</f>
        <v>keilapacheco2000@yahoo.com.br</v>
      </c>
      <c r="J133" s="7"/>
    </row>
    <row r="134">
      <c r="A134" s="7"/>
      <c r="B134" s="7" t="str">
        <f>IFERROR(__xludf.DUMMYFUNCTION("""COMPUTED_VALUE"""),"PM Augusto Corrêa3")</f>
        <v>PM Augusto Corrêa3</v>
      </c>
      <c r="C134" s="7" t="str">
        <f>IFERROR(__xludf.DUMMYFUNCTION("""COMPUTED_VALUE"""),"PM Augusto Corrêa")</f>
        <v>PM Augusto Corrêa</v>
      </c>
      <c r="D134" s="7" t="str">
        <f>IFERROR(__xludf.DUMMYFUNCTION("""COMPUTED_VALUE"""),"Geison")</f>
        <v>Geison</v>
      </c>
      <c r="E134" s="7"/>
      <c r="F134" s="7" t="str">
        <f>IFERROR(__xludf.DUMMYFUNCTION("""COMPUTED_VALUE"""),"CPL")</f>
        <v>CPL</v>
      </c>
      <c r="G134" s="7"/>
      <c r="H134" s="7" t="str">
        <f>IFERROR(__xludf.DUMMYFUNCTION("""COMPUTED_VALUE""")," (91) 99627-8666 ")</f>
        <v> (91) 99627-8666 </v>
      </c>
      <c r="I134" s="16" t="str">
        <f>IFERROR(__xludf.DUMMYFUNCTION("""COMPUTED_VALUE"""),"cpl.aug.correa@gmail.com")</f>
        <v>cpl.aug.correa@gmail.com</v>
      </c>
      <c r="J134" s="7"/>
    </row>
    <row r="135">
      <c r="A135" s="7"/>
      <c r="B135" s="7" t="str">
        <f>IFERROR(__xludf.DUMMYFUNCTION("""COMPUTED_VALUE"""),"PM Augusto Corrêa4")</f>
        <v>PM Augusto Corrêa4</v>
      </c>
      <c r="C135" s="7" t="str">
        <f>IFERROR(__xludf.DUMMYFUNCTION("""COMPUTED_VALUE"""),"PM Augusto Corrêa")</f>
        <v>PM Augusto Corrêa</v>
      </c>
      <c r="D135" s="7" t="str">
        <f>IFERROR(__xludf.DUMMYFUNCTION("""COMPUTED_VALUE"""),"Pr Moisés")</f>
        <v>Pr Moisés</v>
      </c>
      <c r="E135" s="7"/>
      <c r="F135" s="7"/>
      <c r="G135" s="7"/>
      <c r="H135" s="7" t="str">
        <f>IFERROR(__xludf.DUMMYFUNCTION("""COMPUTED_VALUE""")," (91) 9 9183-7585")</f>
        <v> (91) 9 9183-7585</v>
      </c>
      <c r="I135" s="16" t="str">
        <f>IFERROR(__xludf.DUMMYFUNCTION("""COMPUTED_VALUE"""),"prmoisesalbuquerque2@gmail.com")</f>
        <v>prmoisesalbuquerque2@gmail.com</v>
      </c>
      <c r="J135" s="7"/>
    </row>
    <row r="136">
      <c r="A136" s="7"/>
      <c r="B136" s="7" t="str">
        <f>IFERROR(__xludf.DUMMYFUNCTION("""COMPUTED_VALUE"""),"PM Bagre 1")</f>
        <v>PM Bagre 1</v>
      </c>
      <c r="C136" s="7" t="str">
        <f>IFERROR(__xludf.DUMMYFUNCTION("""COMPUTED_VALUE"""),"PM Bagre ")</f>
        <v>PM Bagre </v>
      </c>
      <c r="D136" s="7" t="str">
        <f>IFERROR(__xludf.DUMMYFUNCTION("""COMPUTED_VALUE"""),"José Raimundo Borges Alves")</f>
        <v>José Raimundo Borges Alves</v>
      </c>
      <c r="E136" s="7"/>
      <c r="F136" s="7"/>
      <c r="G136" s="7"/>
      <c r="H136" s="7" t="str">
        <f>IFERROR(__xludf.DUMMYFUNCTION("""COMPUTED_VALUE"""),"(91) 9 9136-4439")</f>
        <v>(91) 9 9136-4439</v>
      </c>
      <c r="I136" s="16" t="str">
        <f>IFERROR(__xludf.DUMMYFUNCTION("""COMPUTED_VALUE"""),"joseraimundoborgesalves2017@hotmail.com")</f>
        <v>joseraimundoborgesalves2017@hotmail.com</v>
      </c>
      <c r="J136" s="7"/>
    </row>
    <row r="137">
      <c r="A137" s="7"/>
      <c r="B137" s="7" t="str">
        <f>IFERROR(__xludf.DUMMYFUNCTION("""COMPUTED_VALUE"""),"PM Bagre 2")</f>
        <v>PM Bagre 2</v>
      </c>
      <c r="C137" s="7" t="str">
        <f>IFERROR(__xludf.DUMMYFUNCTION("""COMPUTED_VALUE"""),"PM Bagre ")</f>
        <v>PM Bagre </v>
      </c>
      <c r="D137" s="7" t="str">
        <f>IFERROR(__xludf.DUMMYFUNCTION("""COMPUTED_VALUE"""),"Silen")</f>
        <v>Silen</v>
      </c>
      <c r="E137" s="7"/>
      <c r="F137" s="7"/>
      <c r="G137" s="7"/>
      <c r="H137" s="7" t="str">
        <f>IFERROR(__xludf.DUMMYFUNCTION("""COMPUTED_VALUE"""),"(91) 9 9136-4439")</f>
        <v>(91) 9 9136-4439</v>
      </c>
      <c r="I137" s="16" t="str">
        <f>IFERROR(__xludf.DUMMYFUNCTION("""COMPUTED_VALUE"""),"semapsbagre@hotmail.com")</f>
        <v>semapsbagre@hotmail.com</v>
      </c>
      <c r="J137" s="7"/>
    </row>
    <row r="138">
      <c r="A138" s="7"/>
      <c r="B138" s="7" t="str">
        <f>IFERROR(__xludf.DUMMYFUNCTION("""COMPUTED_VALUE"""),"PM Bagre 3")</f>
        <v>PM Bagre 3</v>
      </c>
      <c r="C138" s="7" t="str">
        <f>IFERROR(__xludf.DUMMYFUNCTION("""COMPUTED_VALUE"""),"PM Bagre ")</f>
        <v>PM Bagre </v>
      </c>
      <c r="D138" s="7" t="str">
        <f>IFERROR(__xludf.DUMMYFUNCTION("""COMPUTED_VALUE"""),"Cleiton Maia ")</f>
        <v>Cleiton Maia </v>
      </c>
      <c r="E138" s="7" t="str">
        <f>IFERROR(__xludf.DUMMYFUNCTION("""COMPUTED_VALUE"""),"Assessor")</f>
        <v>Assessor</v>
      </c>
      <c r="F138" s="7"/>
      <c r="G138" s="7"/>
      <c r="H138" s="7" t="str">
        <f>IFERROR(__xludf.DUMMYFUNCTION("""COMPUTED_VALUE"""),"(91) 9 9910-5094")</f>
        <v>(91) 9 9910-5094</v>
      </c>
      <c r="I138" s="16" t="str">
        <f>IFERROR(__xludf.DUMMYFUNCTION("""COMPUTED_VALUE"""),"administracao@bagre.pa.gov.br")</f>
        <v>administracao@bagre.pa.gov.br</v>
      </c>
      <c r="J138" s="7"/>
    </row>
    <row r="139">
      <c r="A139" s="7"/>
      <c r="B139" s="7" t="str">
        <f>IFERROR(__xludf.DUMMYFUNCTION("""COMPUTED_VALUE"""),"PM Bagre 4")</f>
        <v>PM Bagre 4</v>
      </c>
      <c r="C139" s="7" t="str">
        <f>IFERROR(__xludf.DUMMYFUNCTION("""COMPUTED_VALUE"""),"PM Bagre ")</f>
        <v>PM Bagre </v>
      </c>
      <c r="D139" s="7" t="str">
        <f>IFERROR(__xludf.DUMMYFUNCTION("""COMPUTED_VALUE"""),"Clebinho Rodrigues")</f>
        <v>Clebinho Rodrigues</v>
      </c>
      <c r="E139" s="7" t="str">
        <f>IFERROR(__xludf.DUMMYFUNCTION("""COMPUTED_VALUE"""),"Prefeito")</f>
        <v>Prefeito</v>
      </c>
      <c r="F139" s="7"/>
      <c r="G139" s="7"/>
      <c r="H139" s="7" t="str">
        <f>IFERROR(__xludf.DUMMYFUNCTION("""COMPUTED_VALUE"""),"(91) 9 9332-2377 ")</f>
        <v>(91) 9 9332-2377 </v>
      </c>
      <c r="I139" s="16" t="str">
        <f>IFERROR(__xludf.DUMMYFUNCTION("""COMPUTED_VALUE"""),"clebinhoprefeito@bagre.pa.gov.br")</f>
        <v>clebinhoprefeito@bagre.pa.gov.br</v>
      </c>
      <c r="J139" s="7"/>
    </row>
    <row r="140">
      <c r="A140" s="7"/>
      <c r="B140" s="7" t="str">
        <f>IFERROR(__xludf.DUMMYFUNCTION("""COMPUTED_VALUE"""),"PM Bannach1")</f>
        <v>PM Bannach1</v>
      </c>
      <c r="C140" s="7" t="str">
        <f>IFERROR(__xludf.DUMMYFUNCTION("""COMPUTED_VALUE"""),"PM Bannach")</f>
        <v>PM Bannach</v>
      </c>
      <c r="D140" s="7" t="str">
        <f>IFERROR(__xludf.DUMMYFUNCTION("""COMPUTED_VALUE"""),"Vanuza Fernandes")</f>
        <v>Vanuza Fernandes</v>
      </c>
      <c r="E140" s="7"/>
      <c r="F140" s="7"/>
      <c r="G140" s="7" t="str">
        <f>IFERROR(__xludf.DUMMYFUNCTION("""COMPUTED_VALUE"""),"(94)3305-1140")</f>
        <v>(94)3305-1140</v>
      </c>
      <c r="H140" s="7" t="str">
        <f>IFERROR(__xludf.DUMMYFUNCTION("""COMPUTED_VALUE"""),"(94) 9 9293-7102")</f>
        <v>(94) 9 9293-7102</v>
      </c>
      <c r="I140" s="16" t="str">
        <f>IFERROR(__xludf.DUMMYFUNCTION("""COMPUTED_VALUE"""),"lucineiaprefeitabannach@gmail.com")</f>
        <v>lucineiaprefeitabannach@gmail.com</v>
      </c>
      <c r="J140" s="7"/>
    </row>
    <row r="141">
      <c r="A141" s="7"/>
      <c r="B141" s="7" t="str">
        <f>IFERROR(__xludf.DUMMYFUNCTION("""COMPUTED_VALUE"""),"PM Bannach2")</f>
        <v>PM Bannach2</v>
      </c>
      <c r="C141" s="7" t="str">
        <f>IFERROR(__xludf.DUMMYFUNCTION("""COMPUTED_VALUE"""),"PM Bannach")</f>
        <v>PM Bannach</v>
      </c>
      <c r="D141" s="7" t="str">
        <f>IFERROR(__xludf.DUMMYFUNCTION("""COMPUTED_VALUE"""),"Nierlen")</f>
        <v>Nierlen</v>
      </c>
      <c r="E141" s="7"/>
      <c r="F141" s="7"/>
      <c r="G141" s="7"/>
      <c r="H141" s="7" t="str">
        <f>IFERROR(__xludf.DUMMYFUNCTION("""COMPUTED_VALUE"""),"(94) 9 9109-3776")</f>
        <v>(94) 9 9109-3776</v>
      </c>
      <c r="I141" s="16" t="str">
        <f>IFERROR(__xludf.DUMMYFUNCTION("""COMPUTED_VALUE"""),"cplbannach@outlook.com")</f>
        <v>cplbannach@outlook.com</v>
      </c>
      <c r="J141" s="7"/>
    </row>
    <row r="142">
      <c r="A142" s="7"/>
      <c r="B142" s="7" t="str">
        <f>IFERROR(__xludf.DUMMYFUNCTION("""COMPUTED_VALUE"""),"PM Barcarena1")</f>
        <v>PM Barcarena1</v>
      </c>
      <c r="C142" s="7" t="str">
        <f>IFERROR(__xludf.DUMMYFUNCTION("""COMPUTED_VALUE"""),"PM Barcarena")</f>
        <v>PM Barcarena</v>
      </c>
      <c r="D142" s="7" t="str">
        <f>IFERROR(__xludf.DUMMYFUNCTION("""COMPUTED_VALUE"""),"Bianca Martins Ribeiro Vergolino")</f>
        <v>Bianca Martins Ribeiro Vergolino</v>
      </c>
      <c r="E142" s="7"/>
      <c r="F142" s="7"/>
      <c r="G142" s="7"/>
      <c r="H142" s="7"/>
      <c r="I142" s="16" t="str">
        <f>IFERROR(__xludf.DUMMYFUNCTION("""COMPUTED_VALUE"""),"gabinete.semute@gmail.com")</f>
        <v>gabinete.semute@gmail.com</v>
      </c>
      <c r="J142" s="7"/>
    </row>
    <row r="143">
      <c r="A143" s="7"/>
      <c r="B143" s="7" t="str">
        <f>IFERROR(__xludf.DUMMYFUNCTION("""COMPUTED_VALUE"""),"PM Barcarena2")</f>
        <v>PM Barcarena2</v>
      </c>
      <c r="C143" s="7" t="str">
        <f>IFERROR(__xludf.DUMMYFUNCTION("""COMPUTED_VALUE"""),"PM Barcarena")</f>
        <v>PM Barcarena</v>
      </c>
      <c r="D143" s="7" t="str">
        <f>IFERROR(__xludf.DUMMYFUNCTION("""COMPUTED_VALUE"""),"Sirley Silva")</f>
        <v>Sirley Silva</v>
      </c>
      <c r="E143" s="7"/>
      <c r="F143" s="7"/>
      <c r="G143" s="7" t="str">
        <f>IFERROR(__xludf.DUMMYFUNCTION("""COMPUTED_VALUE"""),"(91) 993936685")</f>
        <v>(91) 993936685</v>
      </c>
      <c r="H143" s="7" t="str">
        <f>IFERROR(__xludf.DUMMYFUNCTION("""COMPUTED_VALUE"""),"91) 99308-5139")</f>
        <v>91) 99308-5139</v>
      </c>
      <c r="I143" s="16" t="str">
        <f>IFERROR(__xludf.DUMMYFUNCTION("""COMPUTED_VALUE"""),"licitacao.pmb@barcarena.pa.gov.br")</f>
        <v>licitacao.pmb@barcarena.pa.gov.br</v>
      </c>
      <c r="J143" s="7"/>
    </row>
    <row r="144">
      <c r="A144" s="7"/>
      <c r="B144" s="7" t="str">
        <f>IFERROR(__xludf.DUMMYFUNCTION("""COMPUTED_VALUE"""),"PM Belterra 1")</f>
        <v>PM Belterra 1</v>
      </c>
      <c r="C144" s="7" t="str">
        <f>IFERROR(__xludf.DUMMYFUNCTION("""COMPUTED_VALUE"""),"PM Belterra ")</f>
        <v>PM Belterra </v>
      </c>
      <c r="D144" s="7" t="str">
        <f>IFERROR(__xludf.DUMMYFUNCTION("""COMPUTED_VALUE"""),"Roberto Lima")</f>
        <v>Roberto Lima</v>
      </c>
      <c r="E144" s="7"/>
      <c r="F144" s="7"/>
      <c r="G144" s="7"/>
      <c r="H144" s="7" t="str">
        <f>IFERROR(__xludf.DUMMYFUNCTION("""COMPUTED_VALUE"""),"(93) 9 9121-1342 ")</f>
        <v>(93) 9 9121-1342 </v>
      </c>
      <c r="I144" s="16" t="str">
        <f>IFERROR(__xludf.DUMMYFUNCTION("""COMPUTED_VALUE"""),"tecnologia@belterra.pa.gov.br")</f>
        <v>tecnologia@belterra.pa.gov.br</v>
      </c>
      <c r="J144" s="7"/>
    </row>
    <row r="145">
      <c r="A145" s="7"/>
      <c r="B145" s="7" t="str">
        <f>IFERROR(__xludf.DUMMYFUNCTION("""COMPUTED_VALUE"""),"PM Belterra 2")</f>
        <v>PM Belterra 2</v>
      </c>
      <c r="C145" s="7" t="str">
        <f>IFERROR(__xludf.DUMMYFUNCTION("""COMPUTED_VALUE"""),"PM Belterra ")</f>
        <v>PM Belterra </v>
      </c>
      <c r="D145" s="7" t="str">
        <f>IFERROR(__xludf.DUMMYFUNCTION("""COMPUTED_VALUE"""),"Hamilton Feitosa Lima")</f>
        <v>Hamilton Feitosa Lima</v>
      </c>
      <c r="E145" s="7"/>
      <c r="F145" s="7"/>
      <c r="G145" s="7"/>
      <c r="H145" s="7" t="str">
        <f>IFERROR(__xludf.DUMMYFUNCTION("""COMPUTED_VALUE""")," (91) 98200-3838")</f>
        <v> (91) 98200-3838</v>
      </c>
      <c r="I145" s="16" t="str">
        <f>IFERROR(__xludf.DUMMYFUNCTION("""COMPUTED_VALUE"""),"hamilton.lima@prodepa.pa.gov.br")</f>
        <v>hamilton.lima@prodepa.pa.gov.br</v>
      </c>
      <c r="J145" s="7"/>
    </row>
    <row r="146">
      <c r="A146" s="7"/>
      <c r="B146" s="7" t="str">
        <f>IFERROR(__xludf.DUMMYFUNCTION("""COMPUTED_VALUE"""),"PM Belterra 3")</f>
        <v>PM Belterra 3</v>
      </c>
      <c r="C146" s="7" t="str">
        <f>IFERROR(__xludf.DUMMYFUNCTION("""COMPUTED_VALUE"""),"PM Belterra ")</f>
        <v>PM Belterra </v>
      </c>
      <c r="D146" s="7" t="str">
        <f>IFERROR(__xludf.DUMMYFUNCTION("""COMPUTED_VALUE"""),"Elisangela Correa")</f>
        <v>Elisangela Correa</v>
      </c>
      <c r="E146" s="7"/>
      <c r="F146" s="7"/>
      <c r="G146" s="7"/>
      <c r="H146" s="7" t="str">
        <f>IFERROR(__xludf.DUMMYFUNCTION("""COMPUTED_VALUE""")," (93)  9 9189-7815")</f>
        <v> (93)  9 9189-7815</v>
      </c>
      <c r="I146" s="16" t="str">
        <f>IFERROR(__xludf.DUMMYFUNCTION("""COMPUTED_VALUE"""),"gabinete@belterra.pa.gov.br")</f>
        <v>gabinete@belterra.pa.gov.br</v>
      </c>
      <c r="J146" s="7"/>
    </row>
    <row r="147">
      <c r="A147" s="7"/>
      <c r="B147" s="7" t="str">
        <f>IFERROR(__xludf.DUMMYFUNCTION("""COMPUTED_VALUE"""),"PM Belterra 4")</f>
        <v>PM Belterra 4</v>
      </c>
      <c r="C147" s="7" t="str">
        <f>IFERROR(__xludf.DUMMYFUNCTION("""COMPUTED_VALUE"""),"PM Belterra ")</f>
        <v>PM Belterra </v>
      </c>
      <c r="D147" s="7" t="str">
        <f>IFERROR(__xludf.DUMMYFUNCTION("""COMPUTED_VALUE"""),"Aleksandra dos Santos Bento")</f>
        <v>Aleksandra dos Santos Bento</v>
      </c>
      <c r="E147" s="7"/>
      <c r="F147" s="7" t="str">
        <f>IFERROR(__xludf.DUMMYFUNCTION("""COMPUTED_VALUE"""),"Identificação")</f>
        <v>Identificação</v>
      </c>
      <c r="G147" s="7"/>
      <c r="H147" s="7" t="str">
        <f>IFERROR(__xludf.DUMMYFUNCTION("""COMPUTED_VALUE"""),"(93)  99114-2287")</f>
        <v>(93)  99114-2287</v>
      </c>
      <c r="I147" s="16" t="str">
        <f>IFERROR(__xludf.DUMMYFUNCTION("""COMPUTED_VALUE"""),"setor.identificacaobelt@gmail.com")</f>
        <v>setor.identificacaobelt@gmail.com</v>
      </c>
      <c r="J147" s="7"/>
    </row>
    <row r="148">
      <c r="A148" s="7"/>
      <c r="B148" s="7" t="str">
        <f>IFERROR(__xludf.DUMMYFUNCTION("""COMPUTED_VALUE"""),"PM Cametá1")</f>
        <v>PM Cametá1</v>
      </c>
      <c r="C148" s="7" t="str">
        <f>IFERROR(__xludf.DUMMYFUNCTION("""COMPUTED_VALUE"""),"PM Cametá")</f>
        <v>PM Cametá</v>
      </c>
      <c r="D148" s="7" t="str">
        <f>IFERROR(__xludf.DUMMYFUNCTION("""COMPUTED_VALUE"""),"Odilon do Socorro Coelho Barra")</f>
        <v>Odilon do Socorro Coelho Barra</v>
      </c>
      <c r="E148" s="7"/>
      <c r="F148" s="7"/>
      <c r="G148" s="7" t="str">
        <f>IFERROR(__xludf.DUMMYFUNCTION("""COMPUTED_VALUE"""),"(91) 9 9139-6643")</f>
        <v>(91) 9 9139-6643</v>
      </c>
      <c r="H148" s="7"/>
      <c r="I148" s="16" t="str">
        <f>IFERROR(__xludf.DUMMYFUNCTION("""COMPUTED_VALUE"""),"semadcameta2021@gmail.com")</f>
        <v>semadcameta2021@gmail.com</v>
      </c>
      <c r="J148" s="7"/>
    </row>
    <row r="149">
      <c r="A149" s="7"/>
      <c r="B149" s="7" t="str">
        <f>IFERROR(__xludf.DUMMYFUNCTION("""COMPUTED_VALUE"""),"PM IRITUIA 1")</f>
        <v>PM IRITUIA 1</v>
      </c>
      <c r="C149" s="7" t="str">
        <f>IFERROR(__xludf.DUMMYFUNCTION("""COMPUTED_VALUE"""),"PM IRITUIA ")</f>
        <v>PM IRITUIA </v>
      </c>
      <c r="D149" s="7" t="str">
        <f>IFERROR(__xludf.DUMMYFUNCTION("""COMPUTED_VALUE"""),"Bento Vitório dos Reis Filho")</f>
        <v>Bento Vitório dos Reis Filho</v>
      </c>
      <c r="E149" s="7" t="str">
        <f>IFERROR(__xludf.DUMMYFUNCTION("""COMPUTED_VALUE"""),"Secretário Municipal de Finanças")</f>
        <v>Secretário Municipal de Finanças</v>
      </c>
      <c r="F149" s="7"/>
      <c r="G149" s="7"/>
      <c r="H149" s="7"/>
      <c r="I149" s="16" t="str">
        <f>IFERROR(__xludf.DUMMYFUNCTION("""COMPUTED_VALUE"""),"sefinirituia2025@gmail.com")</f>
        <v>sefinirituia2025@gmail.com</v>
      </c>
      <c r="J149" s="7"/>
    </row>
    <row r="150">
      <c r="A150" s="7"/>
      <c r="B150" s="7" t="str">
        <f>IFERROR(__xludf.DUMMYFUNCTION("""COMPUTED_VALUE"""),"PM MELGAÇO1")</f>
        <v>PM MELGAÇO1</v>
      </c>
      <c r="C150" s="7" t="str">
        <f>IFERROR(__xludf.DUMMYFUNCTION("""COMPUTED_VALUE"""),"PM MELGAÇO")</f>
        <v>PM MELGAÇO</v>
      </c>
      <c r="D150" s="7" t="str">
        <f>IFERROR(__xludf.DUMMYFUNCTION("""COMPUTED_VALUE"""),"Priscila")</f>
        <v>Priscila</v>
      </c>
      <c r="E150" s="7"/>
      <c r="F150" s="7"/>
      <c r="G150" s="7" t="str">
        <f>IFERROR(__xludf.DUMMYFUNCTION("""COMPUTED_VALUE"""),"(91) 3353-9529")</f>
        <v>(91) 3353-9529</v>
      </c>
      <c r="H150" s="7" t="str">
        <f>IFERROR(__xludf.DUMMYFUNCTION("""COMPUTED_VALUE"""),"(91)  98478-6764")</f>
        <v>(91)  98478-6764</v>
      </c>
      <c r="I150" s="7" t="str">
        <f>IFERROR(__xludf.DUMMYFUNCTION("""COMPUTED_VALUE"""),"cpc.2025pmm@gmail.com")</f>
        <v>cpc.2025pmm@gmail.com</v>
      </c>
      <c r="J150" s="7"/>
    </row>
    <row r="151">
      <c r="A151" s="7"/>
      <c r="B151" s="7" t="str">
        <f>IFERROR(__xludf.DUMMYFUNCTION("""COMPUTED_VALUE"""),"PM Monte Alegre1")</f>
        <v>PM Monte Alegre1</v>
      </c>
      <c r="C151" s="7" t="str">
        <f>IFERROR(__xludf.DUMMYFUNCTION("""COMPUTED_VALUE"""),"PM Monte Alegre")</f>
        <v>PM Monte Alegre</v>
      </c>
      <c r="D151" s="7" t="str">
        <f>IFERROR(__xludf.DUMMYFUNCTION("""COMPUTED_VALUE"""),"Alex Gean")</f>
        <v>Alex Gean</v>
      </c>
      <c r="E151" s="7" t="str">
        <f>IFERROR(__xludf.DUMMYFUNCTION("""COMPUTED_VALUE"""),"Pregoeiro")</f>
        <v>Pregoeiro</v>
      </c>
      <c r="F151" s="7"/>
      <c r="G151" s="7"/>
      <c r="H151" s="7"/>
      <c r="I151" s="16" t="str">
        <f>IFERROR(__xludf.DUMMYFUNCTION("""COMPUTED_VALUE"""),"alex.gean2574@gmail.com")</f>
        <v>alex.gean2574@gmail.com</v>
      </c>
      <c r="J151" s="7"/>
    </row>
    <row r="152">
      <c r="A152" s="7"/>
      <c r="B152" s="7" t="str">
        <f>IFERROR(__xludf.DUMMYFUNCTION("""COMPUTED_VALUE"""),"PM Monte Alegre2")</f>
        <v>PM Monte Alegre2</v>
      </c>
      <c r="C152" s="7" t="str">
        <f>IFERROR(__xludf.DUMMYFUNCTION("""COMPUTED_VALUE"""),"PM Monte Alegre")</f>
        <v>PM Monte Alegre</v>
      </c>
      <c r="D152" s="7" t="str">
        <f>IFERROR(__xludf.DUMMYFUNCTION("""COMPUTED_VALUE"""),"Josefina Helena de Aquino Carmo")</f>
        <v>Josefina Helena de Aquino Carmo</v>
      </c>
      <c r="E152" s="7"/>
      <c r="F152" s="7"/>
      <c r="G152" s="7" t="str">
        <f>IFERROR(__xludf.DUMMYFUNCTION("""COMPUTED_VALUE"""),"(91) 3242-2280")</f>
        <v>(91) 3242-2280</v>
      </c>
      <c r="H152" s="7"/>
      <c r="I152" s="16" t="str">
        <f>IFERROR(__xludf.DUMMYFUNCTION("""COMPUTED_VALUE"""),"josefinacarmo15@gmail.com")</f>
        <v>josefinacarmo15@gmail.com</v>
      </c>
      <c r="J152" s="16" t="str">
        <f>IFERROR(__xludf.DUMMYFUNCTION("""COMPUTED_VALUE"""),"semaf@montealegre.pa.gov.br")</f>
        <v>semaf@montealegre.pa.gov.br</v>
      </c>
    </row>
    <row r="153">
      <c r="A153" s="7"/>
      <c r="B153" s="7" t="str">
        <f>IFERROR(__xludf.DUMMYFUNCTION("""COMPUTED_VALUE"""),"PM Novo Repartimento1")</f>
        <v>PM Novo Repartimento1</v>
      </c>
      <c r="C153" s="7" t="str">
        <f>IFERROR(__xludf.DUMMYFUNCTION("""COMPUTED_VALUE"""),"PM Novo Repartimento")</f>
        <v>PM Novo Repartimento</v>
      </c>
      <c r="D153" s="7"/>
      <c r="E153" s="7"/>
      <c r="F153" s="7"/>
      <c r="G153" s="7" t="str">
        <f>IFERROR(__xludf.DUMMYFUNCTION("""COMPUTED_VALUE"""),"(94) 99299-5106")</f>
        <v>(94) 99299-5106</v>
      </c>
      <c r="H153" s="7"/>
      <c r="I153" s="7" t="str">
        <f>IFERROR(__xludf.DUMMYFUNCTION("""COMPUTED_VALUE"""),"acaosocialnovorepartimento@hotmail.com")</f>
        <v>acaosocialnovorepartimento@hotmail.com</v>
      </c>
      <c r="J153" s="7"/>
    </row>
    <row r="154">
      <c r="A154" s="7"/>
      <c r="B154" s="7" t="str">
        <f>IFERROR(__xludf.DUMMYFUNCTION("""COMPUTED_VALUE"""),"PM Palestina do Pará1")</f>
        <v>PM Palestina do Pará1</v>
      </c>
      <c r="C154" s="7" t="str">
        <f>IFERROR(__xludf.DUMMYFUNCTION("""COMPUTED_VALUE"""),"PM Palestina do Pará")</f>
        <v>PM Palestina do Pará</v>
      </c>
      <c r="D154" s="7" t="str">
        <f>IFERROR(__xludf.DUMMYFUNCTION("""COMPUTED_VALUE"""),"Euzianne Freitas")</f>
        <v>Euzianne Freitas</v>
      </c>
      <c r="E154" s="7" t="str">
        <f>IFERROR(__xludf.DUMMYFUNCTION("""COMPUTED_VALUE"""),"Oficial Administrativa")</f>
        <v>Oficial Administrativa</v>
      </c>
      <c r="F154" s="7" t="str">
        <f>IFERROR(__xludf.DUMMYFUNCTION("""COMPUTED_VALUE"""),"Administraçã Secretaria Municipal de Assistência Social")</f>
        <v>Administraçã Secretaria Municipal de Assistência Social</v>
      </c>
      <c r="G154" s="7" t="str">
        <f>IFERROR(__xludf.DUMMYFUNCTION("""COMPUTED_VALUE"""),"(94) 99183-2204")</f>
        <v>(94) 99183-2204</v>
      </c>
      <c r="H154" s="7"/>
      <c r="I154" s="16" t="str">
        <f>IFERROR(__xludf.DUMMYFUNCTION("""COMPUTED_VALUE"""),"cplpmpp@gmail.com")</f>
        <v>cplpmpp@gmail.com</v>
      </c>
      <c r="J154" s="16" t="str">
        <f>IFERROR(__xludf.DUMMYFUNCTION("""COMPUTED_VALUE"""),"euziannefreitas2019@gmail.com")</f>
        <v>euziannefreitas2019@gmail.com</v>
      </c>
    </row>
    <row r="155">
      <c r="A155" s="7"/>
      <c r="B155" s="7" t="str">
        <f>IFERROR(__xludf.DUMMYFUNCTION("""COMPUTED_VALUE"""),"PM Palestina do Pará2")</f>
        <v>PM Palestina do Pará2</v>
      </c>
      <c r="C155" s="7" t="str">
        <f>IFERROR(__xludf.DUMMYFUNCTION("""COMPUTED_VALUE"""),"PM Palestina do Pará")</f>
        <v>PM Palestina do Pará</v>
      </c>
      <c r="D155" s="7" t="str">
        <f>IFERROR(__xludf.DUMMYFUNCTION("""COMPUTED_VALUE"""),"Maykon David Costa Ferreira")</f>
        <v>Maykon David Costa Ferreira</v>
      </c>
      <c r="E155" s="7" t="str">
        <f>IFERROR(__xludf.DUMMYFUNCTION("""COMPUTED_VALUE"""),"Agende De Contratação")</f>
        <v>Agende De Contratação</v>
      </c>
      <c r="F155" s="7" t="str">
        <f>IFERROR(__xludf.DUMMYFUNCTION("""COMPUTED_VALUE"""),"Departamento de Licitação Palestina Do Pará")</f>
        <v>Departamento de Licitação Palestina Do Pará</v>
      </c>
      <c r="G155" s="7"/>
      <c r="H155" s="7" t="str">
        <f>IFERROR(__xludf.DUMMYFUNCTION("""COMPUTED_VALUE"""),"(94) 99261-4572")</f>
        <v>(94) 99261-4572</v>
      </c>
      <c r="I155" s="16" t="str">
        <f>IFERROR(__xludf.DUMMYFUNCTION("""COMPUTED_VALUE"""),"cplpmpp@gmail.com")</f>
        <v>cplpmpp@gmail.com</v>
      </c>
      <c r="J155" s="7"/>
    </row>
    <row r="156">
      <c r="A156" s="7"/>
      <c r="B156" s="7" t="str">
        <f>IFERROR(__xludf.DUMMYFUNCTION("""COMPUTED_VALUE"""),"PM Piçarra1")</f>
        <v>PM Piçarra1</v>
      </c>
      <c r="C156" s="7" t="str">
        <f>IFERROR(__xludf.DUMMYFUNCTION("""COMPUTED_VALUE"""),"PM Piçarra")</f>
        <v>PM Piçarra</v>
      </c>
      <c r="D156" s="7" t="str">
        <f>IFERROR(__xludf.DUMMYFUNCTION("""COMPUTED_VALUE"""),"Deusania")</f>
        <v>Deusania</v>
      </c>
      <c r="E156" s="7"/>
      <c r="F156" s="7"/>
      <c r="G156" s="7"/>
      <c r="H156" s="7" t="str">
        <f>IFERROR(__xludf.DUMMYFUNCTION("""COMPUTED_VALUE"""),"(94) 99170-6284")</f>
        <v>(94) 99170-6284</v>
      </c>
      <c r="I156" s="7"/>
      <c r="J156" s="7"/>
    </row>
    <row r="157">
      <c r="A157" s="7"/>
      <c r="B157" s="7" t="str">
        <f>IFERROR(__xludf.DUMMYFUNCTION("""COMPUTED_VALUE"""),"PM Placas1")</f>
        <v>PM Placas1</v>
      </c>
      <c r="C157" s="7" t="str">
        <f>IFERROR(__xludf.DUMMYFUNCTION("""COMPUTED_VALUE"""),"PM Placas")</f>
        <v>PM Placas</v>
      </c>
      <c r="D157" s="7" t="str">
        <f>IFERROR(__xludf.DUMMYFUNCTION("""COMPUTED_VALUE"""),"Shayane")</f>
        <v>Shayane</v>
      </c>
      <c r="E157" s="7" t="str">
        <f>IFERROR(__xludf.DUMMYFUNCTION("""COMPUTED_VALUE"""),"Coordenadora")</f>
        <v>Coordenadora</v>
      </c>
      <c r="F157" s="7" t="str">
        <f>IFERROR(__xludf.DUMMYFUNCTION("""COMPUTED_VALUE"""),"Núcleo de Contratos e Convênios - NCC")</f>
        <v>Núcleo de Contratos e Convênios - NCC</v>
      </c>
      <c r="G157" s="7" t="str">
        <f>IFERROR(__xludf.DUMMYFUNCTION("""COMPUTED_VALUE"""),"(93) 9 9156-6075")</f>
        <v>(93) 9 9156-6075</v>
      </c>
      <c r="H157" s="7"/>
      <c r="I157" s="16" t="str">
        <f>IFERROR(__xludf.DUMMYFUNCTION("""COMPUTED_VALUE"""),"gabinete@placas.pa.gov.br")</f>
        <v>gabinete@placas.pa.gov.br</v>
      </c>
      <c r="J157" s="7"/>
    </row>
    <row r="158">
      <c r="A158" s="7"/>
      <c r="B158" s="7" t="str">
        <f>IFERROR(__xludf.DUMMYFUNCTION("""COMPUTED_VALUE"""),"PM SANTANA DO ARAGUAIA1")</f>
        <v>PM SANTANA DO ARAGUAIA1</v>
      </c>
      <c r="C158" s="7" t="str">
        <f>IFERROR(__xludf.DUMMYFUNCTION("""COMPUTED_VALUE"""),"PM SANTANA DO ARAGUAIA")</f>
        <v>PM SANTANA DO ARAGUAIA</v>
      </c>
      <c r="D158" s="7" t="str">
        <f>IFERROR(__xludf.DUMMYFUNCTION("""COMPUTED_VALUE"""),"Raimundo Nonato")</f>
        <v>Raimundo Nonato</v>
      </c>
      <c r="E158" s="7"/>
      <c r="F158" s="7"/>
      <c r="G158" s="7" t="str">
        <f>IFERROR(__xludf.DUMMYFUNCTION("""COMPUTED_VALUE"""),"(94) 99110-3210")</f>
        <v>(94) 99110-3210</v>
      </c>
      <c r="H158" s="7"/>
      <c r="I158" s="16" t="str">
        <f>IFERROR(__xludf.DUMMYFUNCTION("""COMPUTED_VALUE"""),"semad@pmsaraguaia.pa.gov.br")</f>
        <v>semad@pmsaraguaia.pa.gov.br</v>
      </c>
      <c r="J158" s="7"/>
    </row>
    <row r="159">
      <c r="A159" s="7"/>
      <c r="B159" s="7" t="str">
        <f>IFERROR(__xludf.DUMMYFUNCTION("""COMPUTED_VALUE"""),"PM SÃO FRANCISCO DO PARÁ1")</f>
        <v>PM SÃO FRANCISCO DO PARÁ1</v>
      </c>
      <c r="C159" s="7" t="str">
        <f>IFERROR(__xludf.DUMMYFUNCTION("""COMPUTED_VALUE"""),"PM SÃO FRANCISCO DO PARÁ")</f>
        <v>PM SÃO FRANCISCO DO PARÁ</v>
      </c>
      <c r="D159" s="7" t="str">
        <f>IFERROR(__xludf.DUMMYFUNCTION("""COMPUTED_VALUE"""),"Gelson Teixeira")</f>
        <v>Gelson Teixeira</v>
      </c>
      <c r="E159" s="7" t="str">
        <f>IFERROR(__xludf.DUMMYFUNCTION("""COMPUTED_VALUE"""),"Diretor")</f>
        <v>Diretor</v>
      </c>
      <c r="F159" s="7"/>
      <c r="G159" s="7"/>
      <c r="H159" s="7" t="str">
        <f>IFERROR(__xludf.DUMMYFUNCTION("""COMPUTED_VALUE"""),"(91) 98447-3271")</f>
        <v>(91) 98447-3271</v>
      </c>
      <c r="I159" s="16" t="str">
        <f>IFERROR(__xludf.DUMMYFUNCTION("""COMPUTED_VALUE"""),"identificacao@saofranciscodopara.pa.gov.br")</f>
        <v>identificacao@saofranciscodopara.pa.gov.br</v>
      </c>
      <c r="J159" s="7"/>
    </row>
    <row r="160">
      <c r="A160" s="7"/>
      <c r="B160" s="7" t="str">
        <f>IFERROR(__xludf.DUMMYFUNCTION("""COMPUTED_VALUE"""),"PM Tucuruí1")</f>
        <v>PM Tucuruí1</v>
      </c>
      <c r="C160" s="7" t="str">
        <f>IFERROR(__xludf.DUMMYFUNCTION("""COMPUTED_VALUE"""),"PM Tucuruí")</f>
        <v>PM Tucuruí</v>
      </c>
      <c r="D160" s="7" t="str">
        <f>IFERROR(__xludf.DUMMYFUNCTION("""COMPUTED_VALUE"""),"Gunar Rodrigues Ranieri")</f>
        <v>Gunar Rodrigues Ranieri</v>
      </c>
      <c r="E160" s="7"/>
      <c r="F160" s="7" t="str">
        <f>IFERROR(__xludf.DUMMYFUNCTION("""COMPUTED_VALUE"""),"Núcleo de Tecnologia da Informação - NTI")</f>
        <v>Núcleo de Tecnologia da Informação - NTI</v>
      </c>
      <c r="G160" s="7"/>
      <c r="H160" s="7" t="str">
        <f>IFERROR(__xludf.DUMMYFUNCTION("""COMPUTED_VALUE"""),"(94) 98133-2885")</f>
        <v>(94) 98133-2885</v>
      </c>
      <c r="I160" s="16" t="str">
        <f>IFERROR(__xludf.DUMMYFUNCTION("""COMPUTED_VALUE"""),"informatica@tucurui.pa.gov.br")</f>
        <v>informatica@tucurui.pa.gov.br</v>
      </c>
      <c r="J160" s="7"/>
    </row>
    <row r="161">
      <c r="A161" s="7"/>
      <c r="B161" s="7" t="str">
        <f>IFERROR(__xludf.DUMMYFUNCTION("""COMPUTED_VALUE"""),"PM Vitoria do Xingú1")</f>
        <v>PM Vitoria do Xingú1</v>
      </c>
      <c r="C161" s="7" t="str">
        <f>IFERROR(__xludf.DUMMYFUNCTION("""COMPUTED_VALUE"""),"PM Vitoria do Xingú")</f>
        <v>PM Vitoria do Xingú</v>
      </c>
      <c r="D161" s="7" t="str">
        <f>IFERROR(__xludf.DUMMYFUNCTION("""COMPUTED_VALUE"""),"Benedito Saboia")</f>
        <v>Benedito Saboia</v>
      </c>
      <c r="E161" s="7" t="str">
        <f>IFERROR(__xludf.DUMMYFUNCTION("""COMPUTED_VALUE"""),"Identificador ")</f>
        <v>Identificador </v>
      </c>
      <c r="F161" s="7"/>
      <c r="G161" s="7"/>
      <c r="H161" s="7" t="str">
        <f>IFERROR(__xludf.DUMMYFUNCTION("""COMPUTED_VALUE""")," (93) 99131-6879")</f>
        <v> (93) 99131-6879</v>
      </c>
      <c r="I161" s="7" t="str">
        <f>IFERROR(__xludf.DUMMYFUNCTION("""COMPUTED_VALUE"""),"bmsaboia@gmail.com")</f>
        <v>bmsaboia@gmail.com</v>
      </c>
      <c r="J161" s="7"/>
    </row>
    <row r="162">
      <c r="A162" s="7"/>
      <c r="B162" s="7" t="str">
        <f>IFERROR(__xludf.DUMMYFUNCTION("""COMPUTED_VALUE"""),"SEAC1")</f>
        <v>SEAC1</v>
      </c>
      <c r="C162" s="7" t="str">
        <f>IFERROR(__xludf.DUMMYFUNCTION("""COMPUTED_VALUE"""),"SEAC")</f>
        <v>SEAC</v>
      </c>
      <c r="D162" s="7" t="str">
        <f>IFERROR(__xludf.DUMMYFUNCTION("""COMPUTED_VALUE"""),"Mario Abraham Azancot Gomes")</f>
        <v>Mario Abraham Azancot Gomes</v>
      </c>
      <c r="E162" s="7"/>
      <c r="F162" s="7" t="str">
        <f>IFERROR(__xludf.DUMMYFUNCTION("""COMPUTED_VALUE"""),"Gerência de Licitações e Contratos - GLIC")</f>
        <v>Gerência de Licitações e Contratos - GLIC</v>
      </c>
      <c r="G162" s="7" t="str">
        <f>IFERROR(__xludf.DUMMYFUNCTION("""COMPUTED_VALUE"""),"(91) 98541-3760")</f>
        <v>(91) 98541-3760</v>
      </c>
      <c r="H162" s="7" t="str">
        <f>IFERROR(__xludf.DUMMYFUNCTION("""COMPUTED_VALUE"""),"(91) 99158-9140")</f>
        <v>(91) 99158-9140</v>
      </c>
      <c r="I162" s="16" t="str">
        <f>IFERROR(__xludf.DUMMYFUNCTION("""COMPUTED_VALUE"""),"glicseac@gmail.com")</f>
        <v>glicseac@gmail.com</v>
      </c>
      <c r="J162" s="7"/>
    </row>
    <row r="163">
      <c r="A163" s="7"/>
      <c r="B163" s="7" t="str">
        <f>IFERROR(__xludf.DUMMYFUNCTION("""COMPUTED_VALUE"""),"SEAC2")</f>
        <v>SEAC2</v>
      </c>
      <c r="C163" s="7" t="str">
        <f>IFERROR(__xludf.DUMMYFUNCTION("""COMPUTED_VALUE"""),"SEAC")</f>
        <v>SEAC</v>
      </c>
      <c r="D163" s="7" t="str">
        <f>IFERROR(__xludf.DUMMYFUNCTION("""COMPUTED_VALUE"""),"Jorge Luis Marques Lopes")</f>
        <v>Jorge Luis Marques Lopes</v>
      </c>
      <c r="E163" s="7" t="str">
        <f>IFERROR(__xludf.DUMMYFUNCTION("""COMPUTED_VALUE"""),"Gerente de Informática")</f>
        <v>Gerente de Informática</v>
      </c>
      <c r="F163" s="7" t="str">
        <f>IFERROR(__xludf.DUMMYFUNCTION("""COMPUTED_VALUE"""),"TI")</f>
        <v>TI</v>
      </c>
      <c r="G163" s="7"/>
      <c r="H163" s="7" t="str">
        <f>IFERROR(__xludf.DUMMYFUNCTION("""COMPUTED_VALUE"""),"(91) 99611-5012")</f>
        <v>(91) 99611-5012</v>
      </c>
      <c r="I163" s="16" t="str">
        <f>IFERROR(__xludf.DUMMYFUNCTION("""COMPUTED_VALUE"""),"nif.seac@gmail.com")</f>
        <v>nif.seac@gmail.com</v>
      </c>
      <c r="J163" s="16" t="str">
        <f>IFERROR(__xludf.DUMMYFUNCTION("""COMPUTED_VALUE"""),"jorgelmlopes@gmail.com")</f>
        <v>jorgelmlopes@gmail.com</v>
      </c>
    </row>
    <row r="164">
      <c r="A164" s="7"/>
      <c r="B164" s="7" t="str">
        <f>IFERROR(__xludf.DUMMYFUNCTION("""COMPUTED_VALUE"""),"SEAF1")</f>
        <v>SEAF1</v>
      </c>
      <c r="C164" s="7" t="str">
        <f>IFERROR(__xludf.DUMMYFUNCTION("""COMPUTED_VALUE"""),"SEAF")</f>
        <v>SEAF</v>
      </c>
      <c r="D164" s="7" t="str">
        <f>IFERROR(__xludf.DUMMYFUNCTION("""COMPUTED_VALUE"""),"Ivanize dos Santos Carvalho")</f>
        <v>Ivanize dos Santos Carvalho</v>
      </c>
      <c r="E164" s="7"/>
      <c r="F164" s="7" t="str">
        <f>IFERROR(__xludf.DUMMYFUNCTION("""COMPUTED_VALUE"""),"Diretoria de Administração e Finanças - DAFI")</f>
        <v>Diretoria de Administração e Finanças - DAFI</v>
      </c>
      <c r="G164" s="7" t="str">
        <f>IFERROR(__xludf.DUMMYFUNCTION("""COMPUTED_VALUE"""),"(91) 3251-7961")</f>
        <v>(91) 3251-7961</v>
      </c>
      <c r="H164" s="7"/>
      <c r="I164" s="7" t="str">
        <f>IFERROR(__xludf.DUMMYFUNCTION("""COMPUTED_VALUE"""),"ivanize.carvalho@seaf.pa.gov.br")</f>
        <v>ivanize.carvalho@seaf.pa.gov.br</v>
      </c>
      <c r="J164" s="7" t="str">
        <f>IFERROR(__xludf.DUMMYFUNCTION("""COMPUTED_VALUE"""),"dafi@seaf.pa.gov.br")</f>
        <v>dafi@seaf.pa.gov.br</v>
      </c>
    </row>
    <row r="165">
      <c r="A165" s="7"/>
      <c r="B165" s="7" t="str">
        <f>IFERROR(__xludf.DUMMYFUNCTION("""COMPUTED_VALUE"""),"SEAF2")</f>
        <v>SEAF2</v>
      </c>
      <c r="C165" s="7" t="str">
        <f>IFERROR(__xludf.DUMMYFUNCTION("""COMPUTED_VALUE"""),"SEAF")</f>
        <v>SEAF</v>
      </c>
      <c r="D165" s="7" t="str">
        <f>IFERROR(__xludf.DUMMYFUNCTION("""COMPUTED_VALUE"""),"Lielson Farias")</f>
        <v>Lielson Farias</v>
      </c>
      <c r="E165" s="7" t="str">
        <f>IFERROR(__xludf.DUMMYFUNCTION("""COMPUTED_VALUE"""),"Gestor de contrato")</f>
        <v>Gestor de contrato</v>
      </c>
      <c r="F165" s="7"/>
      <c r="G165" s="7"/>
      <c r="H165" s="7" t="str">
        <f>IFERROR(__xludf.DUMMYFUNCTION("""COMPUTED_VALUE"""),"(91) 98237-6252")</f>
        <v>(91) 98237-6252</v>
      </c>
      <c r="I165" s="16" t="str">
        <f>IFERROR(__xludf.DUMMYFUNCTION("""COMPUTED_VALUE"""),"elielsonfarias@yahoo.com.br")</f>
        <v>elielsonfarias@yahoo.com.br</v>
      </c>
      <c r="J165" s="7" t="str">
        <f>IFERROR(__xludf.DUMMYFUNCTION("""COMPUTED_VALUE"""),"coplan@seaf.pa.gov.br")</f>
        <v>coplan@seaf.pa.gov.br</v>
      </c>
    </row>
    <row r="166">
      <c r="A166" s="7"/>
      <c r="B166" s="7" t="str">
        <f>IFERROR(__xludf.DUMMYFUNCTION("""COMPUTED_VALUE"""),"SEAF3")</f>
        <v>SEAF3</v>
      </c>
      <c r="C166" s="7" t="str">
        <f>IFERROR(__xludf.DUMMYFUNCTION("""COMPUTED_VALUE"""),"SEAF")</f>
        <v>SEAF</v>
      </c>
      <c r="D166" s="7" t="str">
        <f>IFERROR(__xludf.DUMMYFUNCTION("""COMPUTED_VALUE"""),"Silas Garcia")</f>
        <v>Silas Garcia</v>
      </c>
      <c r="E166" s="7" t="str">
        <f>IFERROR(__xludf.DUMMYFUNCTION("""COMPUTED_VALUE"""),"Contrato")</f>
        <v>Contrato</v>
      </c>
      <c r="F166" s="7"/>
      <c r="G166" s="7" t="str">
        <f>IFERROR(__xludf.DUMMYFUNCTION("""COMPUTED_VALUE"""),"(91) 3251-7963")</f>
        <v>(91) 3251-7963</v>
      </c>
      <c r="H166" s="7" t="str">
        <f>IFERROR(__xludf.DUMMYFUNCTION("""COMPUTED_VALUE"""),"(91) 99208-7434 / 8332-8961")</f>
        <v>(91) 99208-7434 / 8332-8961</v>
      </c>
      <c r="I166" s="7"/>
      <c r="J166" s="7"/>
    </row>
    <row r="167">
      <c r="A167" s="7"/>
      <c r="B167" s="7" t="str">
        <f>IFERROR(__xludf.DUMMYFUNCTION("""COMPUTED_VALUE"""),"SEAF4")</f>
        <v>SEAF4</v>
      </c>
      <c r="C167" s="7" t="str">
        <f>IFERROR(__xludf.DUMMYFUNCTION("""COMPUTED_VALUE"""),"SEAF")</f>
        <v>SEAF</v>
      </c>
      <c r="D167" s="7" t="str">
        <f>IFERROR(__xludf.DUMMYFUNCTION("""COMPUTED_VALUE"""),"Célia Pulga")</f>
        <v>Célia Pulga</v>
      </c>
      <c r="E167" s="7" t="str">
        <f>IFERROR(__xludf.DUMMYFUNCTION("""COMPUTED_VALUE"""),"Coordenadora")</f>
        <v>Coordenadora</v>
      </c>
      <c r="F167" s="7" t="str">
        <f>IFERROR(__xludf.DUMMYFUNCTION("""COMPUTED_VALUE"""),"Coordenação de Planejamento - COPLAN")</f>
        <v>Coordenação de Planejamento - COPLAN</v>
      </c>
      <c r="G167" s="7" t="str">
        <f>IFERROR(__xludf.DUMMYFUNCTION("""COMPUTED_VALUE"""),"(91) 98408-1707")</f>
        <v>(91) 98408-1707</v>
      </c>
      <c r="H167" s="7"/>
      <c r="I167" s="7" t="str">
        <f>IFERROR(__xludf.DUMMYFUNCTION("""COMPUTED_VALUE"""),"coplan@seaf.pa.gov.br")</f>
        <v>coplan@seaf.pa.gov.br</v>
      </c>
      <c r="J167" s="7"/>
    </row>
    <row r="168">
      <c r="A168" s="7"/>
      <c r="B168" s="7" t="str">
        <f>IFERROR(__xludf.DUMMYFUNCTION("""COMPUTED_VALUE"""),"SEAP1")</f>
        <v>SEAP1</v>
      </c>
      <c r="C168" s="7" t="str">
        <f>IFERROR(__xludf.DUMMYFUNCTION("""COMPUTED_VALUE"""),"SEAP")</f>
        <v>SEAP</v>
      </c>
      <c r="D168" s="7" t="str">
        <f>IFERROR(__xludf.DUMMYFUNCTION("""COMPUTED_VALUE"""),"Junior Amaral")</f>
        <v>Junior Amaral</v>
      </c>
      <c r="E168" s="7" t="str">
        <f>IFERROR(__xludf.DUMMYFUNCTION("""COMPUTED_VALUE"""),"Coordenador de T.I")</f>
        <v>Coordenador de T.I</v>
      </c>
      <c r="F168" s="7"/>
      <c r="G168" s="7"/>
      <c r="H168" s="7" t="str">
        <f>IFERROR(__xludf.DUMMYFUNCTION("""COMPUTED_VALUE"""),"(91) 98228-4136")</f>
        <v>(91) 98228-4136</v>
      </c>
      <c r="I168" s="7" t="str">
        <f>IFERROR(__xludf.DUMMYFUNCTION("""COMPUTED_VALUE"""),"junior.amaral@seap.pa.gov.br")</f>
        <v>junior.amaral@seap.pa.gov.br</v>
      </c>
      <c r="J168" s="7"/>
    </row>
    <row r="169">
      <c r="A169" s="7"/>
      <c r="B169" s="7" t="str">
        <f>IFERROR(__xludf.DUMMYFUNCTION("""COMPUTED_VALUE"""),"SEAP2")</f>
        <v>SEAP2</v>
      </c>
      <c r="C169" s="7" t="str">
        <f>IFERROR(__xludf.DUMMYFUNCTION("""COMPUTED_VALUE"""),"SEAP")</f>
        <v>SEAP</v>
      </c>
      <c r="D169" s="7" t="str">
        <f>IFERROR(__xludf.DUMMYFUNCTION("""COMPUTED_VALUE"""),"Marcelo Câmara")</f>
        <v>Marcelo Câmara</v>
      </c>
      <c r="E169" s="7"/>
      <c r="F169" s="7"/>
      <c r="G169" s="7"/>
      <c r="H169" s="7" t="str">
        <f>IFERROR(__xludf.DUMMYFUNCTION("""COMPUTED_VALUE"""),"(91) 982676131")</f>
        <v>(91) 982676131</v>
      </c>
      <c r="I169" s="7" t="str">
        <f>IFERROR(__xludf.DUMMYFUNCTION("""COMPUTED_VALUE"""),"nti@seap.pa.gov.br")</f>
        <v>nti@seap.pa.gov.br</v>
      </c>
      <c r="J169" s="16" t="str">
        <f>IFERROR(__xludf.DUMMYFUNCTION("""COMPUTED_VALUE"""),"ccont@seap.pa.gov.br")</f>
        <v>ccont@seap.pa.gov.br</v>
      </c>
    </row>
    <row r="170">
      <c r="A170" s="7"/>
      <c r="B170" s="7" t="str">
        <f>IFERROR(__xludf.DUMMYFUNCTION("""COMPUTED_VALUE"""),"SEAP3")</f>
        <v>SEAP3</v>
      </c>
      <c r="C170" s="7" t="str">
        <f>IFERROR(__xludf.DUMMYFUNCTION("""COMPUTED_VALUE"""),"SEAP")</f>
        <v>SEAP</v>
      </c>
      <c r="D170" s="7" t="str">
        <f>IFERROR(__xludf.DUMMYFUNCTION("""COMPUTED_VALUE"""),"Fabrício Cunha")</f>
        <v>Fabrício Cunha</v>
      </c>
      <c r="E170" s="7" t="str">
        <f>IFERROR(__xludf.DUMMYFUNCTION("""COMPUTED_VALUE"""),"Fiscal do contrato")</f>
        <v>Fiscal do contrato</v>
      </c>
      <c r="F170" s="7" t="str">
        <f>IFERROR(__xludf.DUMMYFUNCTION("""COMPUTED_VALUE"""),"Diretoria de execução criminal - DEC")</f>
        <v>Diretoria de execução criminal - DEC</v>
      </c>
      <c r="G170" s="7"/>
      <c r="H170" s="7" t="str">
        <f>IFERROR(__xludf.DUMMYFUNCTION("""COMPUTED_VALUE"""),"(91) 98218-6819")</f>
        <v>(91) 98218-6819</v>
      </c>
      <c r="I170" s="16" t="str">
        <f>IFERROR(__xludf.DUMMYFUNCTION("""COMPUTED_VALUE"""),"duvidasinfopen@seap.pa.gov.br")</f>
        <v>duvidasinfopen@seap.pa.gov.br</v>
      </c>
      <c r="J170" s="7"/>
    </row>
    <row r="171">
      <c r="A171" s="7"/>
      <c r="B171" s="7" t="str">
        <f>IFERROR(__xludf.DUMMYFUNCTION("""COMPUTED_VALUE"""),"SEAP4")</f>
        <v>SEAP4</v>
      </c>
      <c r="C171" s="7" t="str">
        <f>IFERROR(__xludf.DUMMYFUNCTION("""COMPUTED_VALUE"""),"SEAP")</f>
        <v>SEAP</v>
      </c>
      <c r="D171" s="7" t="str">
        <f>IFERROR(__xludf.DUMMYFUNCTION("""COMPUTED_VALUE"""),"Ana Paula")</f>
        <v>Ana Paula</v>
      </c>
      <c r="E171" s="7" t="str">
        <f>IFERROR(__xludf.DUMMYFUNCTION("""COMPUTED_VALUE"""),"Cordenadora de Procedimentos de Custódia")</f>
        <v>Cordenadora de Procedimentos de Custódia</v>
      </c>
      <c r="F171" s="7" t="str">
        <f>IFERROR(__xludf.DUMMYFUNCTION("""COMPUTED_VALUE"""),"Diretoria de execução criminal - DEC")</f>
        <v>Diretoria de execução criminal - DEC</v>
      </c>
      <c r="G171" s="7"/>
      <c r="H171" s="7" t="str">
        <f>IFERROR(__xludf.DUMMYFUNCTION("""COMPUTED_VALUE"""),"(91) 99303-2096")</f>
        <v>(91) 99303-2096</v>
      </c>
      <c r="I171" s="16" t="str">
        <f>IFERROR(__xludf.DUMMYFUNCTION("""COMPUTED_VALUE"""),"cpcustodia@seap.pa.gov.br")</f>
        <v>cpcustodia@seap.pa.gov.br</v>
      </c>
      <c r="J171" s="7"/>
    </row>
    <row r="172">
      <c r="A172" s="7"/>
      <c r="B172" s="7" t="str">
        <f>IFERROR(__xludf.DUMMYFUNCTION("""COMPUTED_VALUE"""),"SEASTER2")</f>
        <v>SEASTER2</v>
      </c>
      <c r="C172" s="7" t="str">
        <f>IFERROR(__xludf.DUMMYFUNCTION("""COMPUTED_VALUE"""),"SEASTER")</f>
        <v>SEASTER</v>
      </c>
      <c r="D172" s="7" t="str">
        <f>IFERROR(__xludf.DUMMYFUNCTION("""COMPUTED_VALUE"""),"Antonio J.Botelho Jr.")</f>
        <v>Antonio J.Botelho Jr.</v>
      </c>
      <c r="E172" s="7" t="str">
        <f>IFERROR(__xludf.DUMMYFUNCTION("""COMPUTED_VALUE"""),"Coordenador de informática")</f>
        <v>Coordenador de informática</v>
      </c>
      <c r="F172" s="7" t="str">
        <f>IFERROR(__xludf.DUMMYFUNCTION("""COMPUTED_VALUE"""),"Núcleo de Tecnologia da Informação - NTI")</f>
        <v>Núcleo de Tecnologia da Informação - NTI</v>
      </c>
      <c r="G172" s="7" t="str">
        <f>IFERROR(__xludf.DUMMYFUNCTION("""COMPUTED_VALUE"""),"(91) 3110-1810 / 3110-1809")</f>
        <v>(91) 3110-1810 / 3110-1809</v>
      </c>
      <c r="H172" s="7"/>
      <c r="I172" s="7" t="str">
        <f>IFERROR(__xludf.DUMMYFUNCTION("""COMPUTED_VALUE"""),"antonio.junior@seaster.pa.gov.br")</f>
        <v>antonio.junior@seaster.pa.gov.br</v>
      </c>
      <c r="J172" s="16" t="str">
        <f>IFERROR(__xludf.DUMMYFUNCTION("""COMPUTED_VALUE"""),"nti.seaster@gmail.com")</f>
        <v>nti.seaster@gmail.com</v>
      </c>
    </row>
    <row r="173">
      <c r="A173" s="7"/>
      <c r="B173" s="7" t="str">
        <f>IFERROR(__xludf.DUMMYFUNCTION("""COMPUTED_VALUE"""),"SEASTER2")</f>
        <v>SEASTER2</v>
      </c>
      <c r="C173" s="7" t="str">
        <f>IFERROR(__xludf.DUMMYFUNCTION("""COMPUTED_VALUE"""),"SEASTER")</f>
        <v>SEASTER</v>
      </c>
      <c r="D173" s="7" t="str">
        <f>IFERROR(__xludf.DUMMYFUNCTION("""COMPUTED_VALUE"""),"Keila")</f>
        <v>Keila</v>
      </c>
      <c r="E173" s="7"/>
      <c r="F173" s="7" t="str">
        <f>IFERROR(__xludf.DUMMYFUNCTION("""COMPUTED_VALUE"""),"Gerência de Contratos e Convênios - GECC")</f>
        <v>Gerência de Contratos e Convênios - GECC</v>
      </c>
      <c r="G173" s="7" t="str">
        <f>IFERROR(__xludf.DUMMYFUNCTION("""COMPUTED_VALUE"""),"(91) 3110-1813")</f>
        <v>(91) 3110-1813</v>
      </c>
      <c r="H173" s="7"/>
      <c r="I173" s="16" t="str">
        <f>IFERROR(__xludf.DUMMYFUNCTION("""COMPUTED_VALUE"""),"seastercontratos@gmail.com")</f>
        <v>seastercontratos@gmail.com</v>
      </c>
      <c r="J173" s="7"/>
    </row>
    <row r="174">
      <c r="A174" s="7"/>
      <c r="B174" s="7" t="str">
        <f>IFERROR(__xludf.DUMMYFUNCTION("""COMPUTED_VALUE"""),"SEBRAE1")</f>
        <v>SEBRAE1</v>
      </c>
      <c r="C174" s="7" t="str">
        <f>IFERROR(__xludf.DUMMYFUNCTION("""COMPUTED_VALUE"""),"SEBRAE")</f>
        <v>SEBRAE</v>
      </c>
      <c r="D174" s="7" t="str">
        <f>IFERROR(__xludf.DUMMYFUNCTION("""COMPUTED_VALUE"""),"Bruno Guedes de Siqueira Rodrigues")</f>
        <v>Bruno Guedes de Siqueira Rodrigues</v>
      </c>
      <c r="E174" s="7"/>
      <c r="F174" s="7" t="str">
        <f>IFERROR(__xludf.DUMMYFUNCTION("""COMPUTED_VALUE"""),"TIC")</f>
        <v>TIC</v>
      </c>
      <c r="G174" s="7"/>
      <c r="H174" s="7" t="str">
        <f>IFERROR(__xludf.DUMMYFUNCTION("""COMPUTED_VALUE"""),"(91) 98806-8440")</f>
        <v>(91) 98806-8440</v>
      </c>
      <c r="I174" s="16" t="str">
        <f>IFERROR(__xludf.DUMMYFUNCTION("""COMPUTED_VALUE"""),"bruno@pa.sebrae.com.br")</f>
        <v>bruno@pa.sebrae.com.br</v>
      </c>
      <c r="J174" s="7"/>
    </row>
    <row r="175">
      <c r="A175" s="7"/>
      <c r="B175" s="7" t="str">
        <f>IFERROR(__xludf.DUMMYFUNCTION("""COMPUTED_VALUE"""),"SECIR1")</f>
        <v>SECIR1</v>
      </c>
      <c r="C175" s="7" t="str">
        <f>IFERROR(__xludf.DUMMYFUNCTION("""COMPUTED_VALUE"""),"SECIR")</f>
        <v>SECIR</v>
      </c>
      <c r="D175" s="7" t="str">
        <f>IFERROR(__xludf.DUMMYFUNCTION("""COMPUTED_VALUE"""),"Benjamin Magno A. Silva")</f>
        <v>Benjamin Magno A. Silva</v>
      </c>
      <c r="E175" s="7" t="str">
        <f>IFERROR(__xludf.DUMMYFUNCTION("""COMPUTED_VALUE"""),"Gerente")</f>
        <v>Gerente</v>
      </c>
      <c r="F175" s="7" t="str">
        <f>IFERROR(__xludf.DUMMYFUNCTION("""COMPUTED_VALUE"""),"Núcleo de Tecnologia da Informação - NTI")</f>
        <v>Núcleo de Tecnologia da Informação - NTI</v>
      </c>
      <c r="G175" s="7"/>
      <c r="H175" s="7" t="str">
        <f>IFERROR(__xludf.DUMMYFUNCTION("""COMPUTED_VALUE""")," (91) 981656948")</f>
        <v> (91) 981656948</v>
      </c>
      <c r="I175" s="7" t="str">
        <f>IFERROR(__xludf.DUMMYFUNCTION("""COMPUTED_VALUE"""),"nti@secir.pa.gov.br")</f>
        <v>nti@secir.pa.gov.br</v>
      </c>
      <c r="J175" s="7"/>
    </row>
    <row r="176">
      <c r="A176" s="7"/>
      <c r="B176" s="7" t="str">
        <f>IFERROR(__xludf.DUMMYFUNCTION("""COMPUTED_VALUE"""),"SECULT1")</f>
        <v>SECULT1</v>
      </c>
      <c r="C176" s="7" t="str">
        <f>IFERROR(__xludf.DUMMYFUNCTION("""COMPUTED_VALUE"""),"SECULT")</f>
        <v>SECULT</v>
      </c>
      <c r="D176" s="7" t="str">
        <f>IFERROR(__xludf.DUMMYFUNCTION("""COMPUTED_VALUE"""),"Fernando Vilhena")</f>
        <v>Fernando Vilhena</v>
      </c>
      <c r="E176" s="7"/>
      <c r="F176" s="7" t="str">
        <f>IFERROR(__xludf.DUMMYFUNCTION("""COMPUTED_VALUE"""),"Gerência de Operação e Serviços")</f>
        <v>Gerência de Operação e Serviços</v>
      </c>
      <c r="G176" s="7" t="str">
        <f>IFERROR(__xludf.DUMMYFUNCTION("""COMPUTED_VALUE"""),"(91) 3252-8532 / 8533")</f>
        <v>(91) 3252-8532 / 8533</v>
      </c>
      <c r="H176" s="7" t="str">
        <f>IFERROR(__xludf.DUMMYFUNCTION("""COMPUTED_VALUE"""),"(91) 98098-7292")</f>
        <v>(91) 98098-7292</v>
      </c>
      <c r="I176" s="7" t="str">
        <f>IFERROR(__xludf.DUMMYFUNCTION("""COMPUTED_VALUE"""),"ti@secult.pa.gov.br")</f>
        <v>ti@secult.pa.gov.br</v>
      </c>
      <c r="J176" s="7"/>
    </row>
    <row r="177">
      <c r="A177" s="7"/>
      <c r="B177" s="7" t="str">
        <f>IFERROR(__xludf.DUMMYFUNCTION("""COMPUTED_VALUE"""),"SECULT2")</f>
        <v>SECULT2</v>
      </c>
      <c r="C177" s="7" t="str">
        <f>IFERROR(__xludf.DUMMYFUNCTION("""COMPUTED_VALUE"""),"SECULT")</f>
        <v>SECULT</v>
      </c>
      <c r="D177" s="7" t="str">
        <f>IFERROR(__xludf.DUMMYFUNCTION("""COMPUTED_VALUE"""),"Luís Fernando Oliveira")</f>
        <v>Luís Fernando Oliveira</v>
      </c>
      <c r="E177" s="7"/>
      <c r="F177" s="7"/>
      <c r="G177" s="7"/>
      <c r="H177" s="7" t="str">
        <f>IFERROR(__xludf.DUMMYFUNCTION("""COMPUTED_VALUE"""),"(91) 98376-2688")</f>
        <v>(91) 98376-2688</v>
      </c>
      <c r="I177" s="7"/>
      <c r="J177" s="7"/>
    </row>
    <row r="178">
      <c r="A178" s="7"/>
      <c r="B178" s="7" t="str">
        <f>IFERROR(__xludf.DUMMYFUNCTION("""COMPUTED_VALUE"""),"SEDAP1")</f>
        <v>SEDAP1</v>
      </c>
      <c r="C178" s="7" t="str">
        <f>IFERROR(__xludf.DUMMYFUNCTION("""COMPUTED_VALUE"""),"SEDAP")</f>
        <v>SEDAP</v>
      </c>
      <c r="D178" s="7" t="str">
        <f>IFERROR(__xludf.DUMMYFUNCTION("""COMPUTED_VALUE"""),"Hannah Godinho")</f>
        <v>Hannah Godinho</v>
      </c>
      <c r="E178" s="7"/>
      <c r="F178" s="7" t="str">
        <f>IFERROR(__xludf.DUMMYFUNCTION("""COMPUTED_VALUE"""),"Núcleo de Contratos e Convênios - NCC")</f>
        <v>Núcleo de Contratos e Convênios - NCC</v>
      </c>
      <c r="G178" s="7"/>
      <c r="H178" s="7"/>
      <c r="I178" s="16" t="str">
        <f>IFERROR(__xludf.DUMMYFUNCTION("""COMPUTED_VALUE"""),"nccsedap@gmail.com")</f>
        <v>nccsedap@gmail.com</v>
      </c>
      <c r="J178" s="7"/>
    </row>
    <row r="179">
      <c r="A179" s="7"/>
      <c r="B179" s="7" t="str">
        <f>IFERROR(__xludf.DUMMYFUNCTION("""COMPUTED_VALUE"""),"SEDAP2")</f>
        <v>SEDAP2</v>
      </c>
      <c r="C179" s="7" t="str">
        <f>IFERROR(__xludf.DUMMYFUNCTION("""COMPUTED_VALUE"""),"SEDAP")</f>
        <v>SEDAP</v>
      </c>
      <c r="D179" s="7" t="str">
        <f>IFERROR(__xludf.DUMMYFUNCTION("""COMPUTED_VALUE"""),"Augusto Masashigue Kanashiro Matsunaga")</f>
        <v>Augusto Masashigue Kanashiro Matsunaga</v>
      </c>
      <c r="E179" s="7" t="str">
        <f>IFERROR(__xludf.DUMMYFUNCTION("""COMPUTED_VALUE"""),"Fiscal do contrato")</f>
        <v>Fiscal do contrato</v>
      </c>
      <c r="F179" s="7"/>
      <c r="G179" s="7"/>
      <c r="H179" s="7" t="str">
        <f>IFERROR(__xludf.DUMMYFUNCTION("""COMPUTED_VALUE"""),"(91) 98192-8200")</f>
        <v>(91) 98192-8200</v>
      </c>
      <c r="I179" s="16" t="str">
        <f>IFERROR(__xludf.DUMMYFUNCTION("""COMPUTED_VALUE"""),"augusto.matsunaga@sedap.pa.gov.br")</f>
        <v>augusto.matsunaga@sedap.pa.gov.br</v>
      </c>
      <c r="J179" s="7"/>
    </row>
    <row r="180">
      <c r="A180" s="7"/>
      <c r="B180" s="7" t="str">
        <f>IFERROR(__xludf.DUMMYFUNCTION("""COMPUTED_VALUE"""),"SEDAP3")</f>
        <v>SEDAP3</v>
      </c>
      <c r="C180" s="7" t="str">
        <f>IFERROR(__xludf.DUMMYFUNCTION("""COMPUTED_VALUE"""),"SEDAP")</f>
        <v>SEDAP</v>
      </c>
      <c r="D180" s="7" t="str">
        <f>IFERROR(__xludf.DUMMYFUNCTION("""COMPUTED_VALUE"""),"Jorge Leal")</f>
        <v>Jorge Leal</v>
      </c>
      <c r="E180" s="7"/>
      <c r="F180" s="7" t="str">
        <f>IFERROR(__xludf.DUMMYFUNCTION("""COMPUTED_VALUE"""),"Núcleo de Tecnologia da Informação - NTI")</f>
        <v>Núcleo de Tecnologia da Informação - NTI</v>
      </c>
      <c r="G180" s="7"/>
      <c r="H180" s="7"/>
      <c r="I180" s="7" t="str">
        <f>IFERROR(__xludf.DUMMYFUNCTION("""COMPUTED_VALUE"""),"informatica@sedap.pa.gov.br")</f>
        <v>informatica@sedap.pa.gov.br</v>
      </c>
      <c r="J180" s="7"/>
    </row>
    <row r="181">
      <c r="A181" s="7"/>
      <c r="B181" s="7" t="str">
        <f>IFERROR(__xludf.DUMMYFUNCTION("""COMPUTED_VALUE"""),"SEDEME1")</f>
        <v>SEDEME1</v>
      </c>
      <c r="C181" s="7" t="str">
        <f>IFERROR(__xludf.DUMMYFUNCTION("""COMPUTED_VALUE"""),"SEDEME")</f>
        <v>SEDEME</v>
      </c>
      <c r="D181" s="7" t="str">
        <f>IFERROR(__xludf.DUMMYFUNCTION("""COMPUTED_VALUE"""),"Anderson Pimentel")</f>
        <v>Anderson Pimentel</v>
      </c>
      <c r="E181" s="7"/>
      <c r="F181" s="7"/>
      <c r="G181" s="7" t="str">
        <f>IFERROR(__xludf.DUMMYFUNCTION("""COMPUTED_VALUE"""),"(91) 98466-1200")</f>
        <v>(91) 98466-1200</v>
      </c>
      <c r="H181" s="7"/>
      <c r="I181" s="7" t="str">
        <f>IFERROR(__xludf.DUMMYFUNCTION("""COMPUTED_VALUE"""),"anderson.pimentel@sedeme.pa.gov")</f>
        <v>anderson.pimentel@sedeme.pa.gov</v>
      </c>
      <c r="J181" s="7"/>
    </row>
    <row r="182">
      <c r="A182" s="7"/>
      <c r="B182" s="7" t="str">
        <f>IFERROR(__xludf.DUMMYFUNCTION("""COMPUTED_VALUE"""),"SEDUC1")</f>
        <v>SEDUC1</v>
      </c>
      <c r="C182" s="7" t="str">
        <f>IFERROR(__xludf.DUMMYFUNCTION("""COMPUTED_VALUE"""),"SEDUC")</f>
        <v>SEDUC</v>
      </c>
      <c r="D182" s="7" t="str">
        <f>IFERROR(__xludf.DUMMYFUNCTION("""COMPUTED_VALUE"""),"Jô Elder")</f>
        <v>Jô Elder</v>
      </c>
      <c r="E182" s="7" t="str">
        <f>IFERROR(__xludf.DUMMYFUNCTION("""COMPUTED_VALUE"""),"Diretor")</f>
        <v>Diretor</v>
      </c>
      <c r="F182" s="7"/>
      <c r="G182" s="7"/>
      <c r="H182" s="7" t="str">
        <f>IFERROR(__xludf.DUMMYFUNCTION("""COMPUTED_VALUE"""),"99258-3582")</f>
        <v>99258-3582</v>
      </c>
      <c r="I182" s="16" t="str">
        <f>IFERROR(__xludf.DUMMYFUNCTION("""COMPUTED_VALUE"""),"jo.vasconcelos@seduc.pa.gov.br")</f>
        <v>jo.vasconcelos@seduc.pa.gov.br</v>
      </c>
      <c r="J182" s="7"/>
    </row>
    <row r="183">
      <c r="A183" s="7"/>
      <c r="B183" s="7" t="str">
        <f>IFERROR(__xludf.DUMMYFUNCTION("""COMPUTED_VALUE"""),"SEDUC2")</f>
        <v>SEDUC2</v>
      </c>
      <c r="C183" s="7" t="str">
        <f>IFERROR(__xludf.DUMMYFUNCTION("""COMPUTED_VALUE"""),"SEDUC")</f>
        <v>SEDUC</v>
      </c>
      <c r="D183" s="7" t="str">
        <f>IFERROR(__xludf.DUMMYFUNCTION("""COMPUTED_VALUE"""),"Argemiro")</f>
        <v>Argemiro</v>
      </c>
      <c r="E183" s="7" t="str">
        <f>IFERROR(__xludf.DUMMYFUNCTION("""COMPUTED_VALUE"""),"Acesso de T.I")</f>
        <v>Acesso de T.I</v>
      </c>
      <c r="F183" s="7"/>
      <c r="G183" s="7"/>
      <c r="H183" s="7" t="str">
        <f>IFERROR(__xludf.DUMMYFUNCTION("""COMPUTED_VALUE"""),"98305-3824")</f>
        <v>98305-3824</v>
      </c>
      <c r="I183" s="16" t="str">
        <f>IFERROR(__xludf.DUMMYFUNCTION("""COMPUTED_VALUE"""),"argemiro.ataide@seduc.pa.gov.br")</f>
        <v>argemiro.ataide@seduc.pa.gov.br</v>
      </c>
      <c r="J183" s="7"/>
    </row>
    <row r="184">
      <c r="A184" s="7"/>
      <c r="B184" s="7" t="str">
        <f>IFERROR(__xludf.DUMMYFUNCTION("""COMPUTED_VALUE"""),"SEDUC3")</f>
        <v>SEDUC3</v>
      </c>
      <c r="C184" s="7" t="str">
        <f>IFERROR(__xludf.DUMMYFUNCTION("""COMPUTED_VALUE"""),"SEDUC")</f>
        <v>SEDUC</v>
      </c>
      <c r="D184" s="7" t="str">
        <f>IFERROR(__xludf.DUMMYFUNCTION("""COMPUTED_VALUE"""),"Agnaldo Santos")</f>
        <v>Agnaldo Santos</v>
      </c>
      <c r="E184" s="7" t="str">
        <f>IFERROR(__xludf.DUMMYFUNCTION("""COMPUTED_VALUE"""),"C.I.T")</f>
        <v>C.I.T</v>
      </c>
      <c r="F184" s="7"/>
      <c r="G184" s="7"/>
      <c r="H184" s="7" t="str">
        <f>IFERROR(__xludf.DUMMYFUNCTION("""COMPUTED_VALUE"""),"98891-1530")</f>
        <v>98891-1530</v>
      </c>
      <c r="I184" s="16" t="str">
        <f>IFERROR(__xludf.DUMMYFUNCTION("""COMPUTED_VALUE"""),"agnaldo.santos@seduc.pa.gov.br")</f>
        <v>agnaldo.santos@seduc.pa.gov.br</v>
      </c>
      <c r="J184" s="7"/>
    </row>
    <row r="185">
      <c r="A185" s="7"/>
      <c r="B185" s="7" t="str">
        <f>IFERROR(__xludf.DUMMYFUNCTION("""COMPUTED_VALUE"""),"SEEL1")</f>
        <v>SEEL1</v>
      </c>
      <c r="C185" s="7" t="str">
        <f>IFERROR(__xludf.DUMMYFUNCTION("""COMPUTED_VALUE"""),"SEEL")</f>
        <v>SEEL</v>
      </c>
      <c r="D185" s="7" t="str">
        <f>IFERROR(__xludf.DUMMYFUNCTION("""COMPUTED_VALUE"""),"Tamara Lucia Santos e Silva")</f>
        <v>Tamara Lucia Santos e Silva</v>
      </c>
      <c r="E185" s="7" t="str">
        <f>IFERROR(__xludf.DUMMYFUNCTION("""COMPUTED_VALUE"""),"Coordenadora de TI")</f>
        <v>Coordenadora de TI</v>
      </c>
      <c r="F185" s="7" t="str">
        <f>IFERROR(__xludf.DUMMYFUNCTION("""COMPUTED_VALUE"""),"Coordenação de Informática")</f>
        <v>Coordenação de Informática</v>
      </c>
      <c r="G185" s="7" t="str">
        <f>IFERROR(__xludf.DUMMYFUNCTION("""COMPUTED_VALUE"""),"(91) 3201-2336")</f>
        <v>(91) 3201-2336</v>
      </c>
      <c r="H185" s="7" t="str">
        <f>IFERROR(__xludf.DUMMYFUNCTION("""COMPUTED_VALUE"""),"(91) 98384-6836")</f>
        <v>(91) 98384-6836</v>
      </c>
      <c r="I185" s="7" t="str">
        <f>IFERROR(__xludf.DUMMYFUNCTION("""COMPUTED_VALUE"""),"informatica@seel.pa.gov.br")</f>
        <v>informatica@seel.pa.gov.br</v>
      </c>
      <c r="J185" s="7"/>
    </row>
    <row r="186">
      <c r="A186" s="7"/>
      <c r="B186" s="7" t="str">
        <f>IFERROR(__xludf.DUMMYFUNCTION("""COMPUTED_VALUE"""),"SEEL2")</f>
        <v>SEEL2</v>
      </c>
      <c r="C186" s="7" t="str">
        <f>IFERROR(__xludf.DUMMYFUNCTION("""COMPUTED_VALUE"""),"SEEL")</f>
        <v>SEEL</v>
      </c>
      <c r="D186" s="7" t="str">
        <f>IFERROR(__xludf.DUMMYFUNCTION("""COMPUTED_VALUE"""),"Leandro Silva Gomes")</f>
        <v>Leandro Silva Gomes</v>
      </c>
      <c r="E186" s="7" t="str">
        <f>IFERROR(__xludf.DUMMYFUNCTION("""COMPUTED_VALUE"""),"Assessor Especial 2 ")</f>
        <v>Assessor Especial 2 </v>
      </c>
      <c r="F186" s="7" t="str">
        <f>IFERROR(__xludf.DUMMYFUNCTION("""COMPUTED_VALUE"""),"Coordenação de Informática")</f>
        <v>Coordenação de Informática</v>
      </c>
      <c r="G186" s="7"/>
      <c r="H186" s="7" t="str">
        <f>IFERROR(__xludf.DUMMYFUNCTION("""COMPUTED_VALUE"""),"(91) 99131-8521")</f>
        <v>(91) 99131-8521</v>
      </c>
      <c r="I186" s="7" t="str">
        <f>IFERROR(__xludf.DUMMYFUNCTION("""COMPUTED_VALUE"""),"informatica@seel.pa.gov.br")</f>
        <v>informatica@seel.pa.gov.br</v>
      </c>
      <c r="J186" s="7"/>
    </row>
    <row r="187">
      <c r="A187" s="7"/>
      <c r="B187" s="7" t="str">
        <f>IFERROR(__xludf.DUMMYFUNCTION("""COMPUTED_VALUE"""),"SEGBEL1")</f>
        <v>SEGBEL1</v>
      </c>
      <c r="C187" s="7" t="str">
        <f>IFERROR(__xludf.DUMMYFUNCTION("""COMPUTED_VALUE"""),"SEGBEL")</f>
        <v>SEGBEL</v>
      </c>
      <c r="D187" s="7" t="str">
        <f>IFERROR(__xludf.DUMMYFUNCTION("""COMPUTED_VALUE"""),"David Oliveira")</f>
        <v>David Oliveira</v>
      </c>
      <c r="E187" s="7" t="str">
        <f>IFERROR(__xludf.DUMMYFUNCTION("""COMPUTED_VALUE"""),"Coordenador")</f>
        <v>Coordenador</v>
      </c>
      <c r="F187" s="7" t="str">
        <f>IFERROR(__xludf.DUMMYFUNCTION("""COMPUTED_VALUE"""),"NTI")</f>
        <v>NTI</v>
      </c>
      <c r="G187" s="7"/>
      <c r="H187" s="7"/>
      <c r="I187" s="16" t="str">
        <f>IFERROR(__xludf.DUMMYFUNCTION("""COMPUTED_VALUE"""),"nti@segbel.pmb.pa.gov.br")</f>
        <v>nti@segbel.pmb.pa.gov.br</v>
      </c>
      <c r="J187" s="7"/>
    </row>
    <row r="188">
      <c r="A188" s="7"/>
      <c r="B188" s="7" t="str">
        <f>IFERROR(__xludf.DUMMYFUNCTION("""COMPUTED_VALUE"""),"SEGUP1")</f>
        <v>SEGUP1</v>
      </c>
      <c r="C188" s="7" t="str">
        <f>IFERROR(__xludf.DUMMYFUNCTION("""COMPUTED_VALUE"""),"SEGUP")</f>
        <v>SEGUP</v>
      </c>
      <c r="D188" s="7" t="str">
        <f>IFERROR(__xludf.DUMMYFUNCTION("""COMPUTED_VALUE"""),"Rhuan Eleres")</f>
        <v>Rhuan Eleres</v>
      </c>
      <c r="E188" s="7" t="str">
        <f>IFERROR(__xludf.DUMMYFUNCTION("""COMPUTED_VALUE"""),"Coordenador")</f>
        <v>Coordenador</v>
      </c>
      <c r="F188" s="7" t="str">
        <f>IFERROR(__xludf.DUMMYFUNCTION("""COMPUTED_VALUE"""),"Diretoria de Tecnologia da Informação - DTI")</f>
        <v>Diretoria de Tecnologia da Informação - DTI</v>
      </c>
      <c r="G188" s="7"/>
      <c r="H188" s="7" t="str">
        <f>IFERROR(__xludf.DUMMYFUNCTION("""COMPUTED_VALUE"""),"(91) 98231-7068")</f>
        <v>(91) 98231-7068</v>
      </c>
      <c r="I188" s="16" t="str">
        <f>IFERROR(__xludf.DUMMYFUNCTION("""COMPUTED_VALUE"""),"coinfo.nt@sefup.pa.gov.br")</f>
        <v>coinfo.nt@sefup.pa.gov.br</v>
      </c>
      <c r="J188" s="7"/>
    </row>
    <row r="189">
      <c r="A189" s="7"/>
      <c r="B189" s="7" t="str">
        <f>IFERROR(__xludf.DUMMYFUNCTION("""COMPUTED_VALUE"""),"SEGUP2")</f>
        <v>SEGUP2</v>
      </c>
      <c r="C189" s="7" t="str">
        <f>IFERROR(__xludf.DUMMYFUNCTION("""COMPUTED_VALUE"""),"SEGUP")</f>
        <v>SEGUP</v>
      </c>
      <c r="D189" s="7" t="str">
        <f>IFERROR(__xludf.DUMMYFUNCTION("""COMPUTED_VALUE"""),"Rafaella Costa")</f>
        <v>Rafaella Costa</v>
      </c>
      <c r="E189" s="7" t="str">
        <f>IFERROR(__xludf.DUMMYFUNCTION("""COMPUTED_VALUE"""),"Gerente de Contratos")</f>
        <v>Gerente de Contratos</v>
      </c>
      <c r="F189" s="7" t="str">
        <f>IFERROR(__xludf.DUMMYFUNCTION("""COMPUTED_VALUE"""),"Gerência de Contratos e Convênios - GECC")</f>
        <v>Gerência de Contratos e Convênios - GECC</v>
      </c>
      <c r="G189" s="7" t="str">
        <f>IFERROR(__xludf.DUMMYFUNCTION("""COMPUTED_VALUE"""),"(91) 3184-2562")</f>
        <v>(91) 3184-2562</v>
      </c>
      <c r="H189" s="7"/>
      <c r="I189" s="16" t="str">
        <f>IFERROR(__xludf.DUMMYFUNCTION("""COMPUTED_VALUE"""),"contratosegup@gmail.com")</f>
        <v>contratosegup@gmail.com</v>
      </c>
      <c r="J189" s="7"/>
    </row>
    <row r="190">
      <c r="A190" s="7"/>
      <c r="B190" s="7" t="str">
        <f>IFERROR(__xludf.DUMMYFUNCTION("""COMPUTED_VALUE"""),"SEINFRA1")</f>
        <v>SEINFRA1</v>
      </c>
      <c r="C190" s="7" t="str">
        <f>IFERROR(__xludf.DUMMYFUNCTION("""COMPUTED_VALUE"""),"SEINFRA")</f>
        <v>SEINFRA</v>
      </c>
      <c r="D190" s="7" t="str">
        <f>IFERROR(__xludf.DUMMYFUNCTION("""COMPUTED_VALUE"""),"Ana Carolina")</f>
        <v>Ana Carolina</v>
      </c>
      <c r="E190" s="7" t="str">
        <f>IFERROR(__xludf.DUMMYFUNCTION("""COMPUTED_VALUE"""),"Coordenador")</f>
        <v>Coordenador</v>
      </c>
      <c r="F190" s="7" t="str">
        <f>IFERROR(__xludf.DUMMYFUNCTION("""COMPUTED_VALUE"""),"Coordenadora Financeira")</f>
        <v>Coordenadora Financeira</v>
      </c>
      <c r="G190" s="7"/>
      <c r="H190" s="7" t="str">
        <f>IFERROR(__xludf.DUMMYFUNCTION("""COMPUTED_VALUE"""),"(94) 99258-7574")</f>
        <v>(94) 99258-7574</v>
      </c>
      <c r="I190" s="7"/>
      <c r="J190" s="7"/>
    </row>
    <row r="191">
      <c r="A191" s="7"/>
      <c r="B191" s="7" t="str">
        <f>IFERROR(__xludf.DUMMYFUNCTION("""COMPUTED_VALUE"""),"SEINFRA2")</f>
        <v>SEINFRA2</v>
      </c>
      <c r="C191" s="7" t="str">
        <f>IFERROR(__xludf.DUMMYFUNCTION("""COMPUTED_VALUE"""),"SEINFRA")</f>
        <v>SEINFRA</v>
      </c>
      <c r="D191" s="7" t="str">
        <f>IFERROR(__xludf.DUMMYFUNCTION("""COMPUTED_VALUE"""),"Alexandre Rodrigues Vilela")</f>
        <v>Alexandre Rodrigues Vilela</v>
      </c>
      <c r="E191" s="7" t="str">
        <f>IFERROR(__xludf.DUMMYFUNCTION("""COMPUTED_VALUE"""),"Coordenação do Núcleo de Tecnologia")</f>
        <v>Coordenação do Núcleo de Tecnologia</v>
      </c>
      <c r="F191" s="7" t="str">
        <f>IFERROR(__xludf.DUMMYFUNCTION("""COMPUTED_VALUE"""),"NTI")</f>
        <v>NTI</v>
      </c>
      <c r="G191" s="7" t="str">
        <f>IFERROR(__xludf.DUMMYFUNCTION("""COMPUTED_VALUE"""),"(91) 984885747")</f>
        <v>(91) 984885747</v>
      </c>
      <c r="H191" s="7" t="str">
        <f>IFERROR(__xludf.DUMMYFUNCTION("""COMPUTED_VALUE"""),"(91) 4009-3807")</f>
        <v>(91) 4009-3807</v>
      </c>
      <c r="I191" s="7" t="str">
        <f>IFERROR(__xludf.DUMMYFUNCTION("""COMPUTED_VALUE"""),"alexandre.vilela@seinfra.pa.gov.br")</f>
        <v>alexandre.vilela@seinfra.pa.gov.br</v>
      </c>
      <c r="J191" s="7"/>
    </row>
    <row r="192">
      <c r="A192" s="7"/>
      <c r="B192" s="7" t="str">
        <f>IFERROR(__xludf.DUMMYFUNCTION("""COMPUTED_VALUE"""),"SEMAS1")</f>
        <v>SEMAS1</v>
      </c>
      <c r="C192" s="7" t="str">
        <f>IFERROR(__xludf.DUMMYFUNCTION("""COMPUTED_VALUE"""),"SEMAS")</f>
        <v>SEMAS</v>
      </c>
      <c r="D192" s="7" t="str">
        <f>IFERROR(__xludf.DUMMYFUNCTION("""COMPUTED_VALUE"""),"Jorge Luiz da Silva Lopes")</f>
        <v>Jorge Luiz da Silva Lopes</v>
      </c>
      <c r="E192" s="7" t="str">
        <f>IFERROR(__xludf.DUMMYFUNCTION("""COMPUTED_VALUE"""),"Assistente de Informática / Fiscal do contrato")</f>
        <v>Assistente de Informática / Fiscal do contrato</v>
      </c>
      <c r="F192" s="7" t="str">
        <f>IFERROR(__xludf.DUMMYFUNCTION("""COMPUTED_VALUE"""),"Gerência de Redes e Comunicação - GRECO")</f>
        <v>Gerência de Redes e Comunicação - GRECO</v>
      </c>
      <c r="G192" s="7" t="str">
        <f>IFERROR(__xludf.DUMMYFUNCTION("""COMPUTED_VALUE"""),"(91) 3284-9140")</f>
        <v>(91) 3284-9140</v>
      </c>
      <c r="H192" s="7" t="str">
        <f>IFERROR(__xludf.DUMMYFUNCTION("""COMPUTED_VALUE"""),"(91) 99375-0010")</f>
        <v>(91) 99375-0010</v>
      </c>
      <c r="I192" s="16" t="str">
        <f>IFERROR(__xludf.DUMMYFUNCTION("""COMPUTED_VALUE"""),"jorge.lopes@semas.pa.gov.br")</f>
        <v>jorge.lopes@semas.pa.gov.br</v>
      </c>
      <c r="J192" s="7"/>
    </row>
    <row r="193">
      <c r="A193" s="7"/>
      <c r="B193" s="7" t="str">
        <f>IFERROR(__xludf.DUMMYFUNCTION("""COMPUTED_VALUE"""),"SEMAS2")</f>
        <v>SEMAS2</v>
      </c>
      <c r="C193" s="7" t="str">
        <f>IFERROR(__xludf.DUMMYFUNCTION("""COMPUTED_VALUE"""),"SEMAS")</f>
        <v>SEMAS</v>
      </c>
      <c r="D193" s="7" t="str">
        <f>IFERROR(__xludf.DUMMYFUNCTION("""COMPUTED_VALUE"""),"Henrique Guedes")</f>
        <v>Henrique Guedes</v>
      </c>
      <c r="E193" s="7" t="str">
        <f>IFERROR(__xludf.DUMMYFUNCTION("""COMPUTED_VALUE"""),"Assistente Administrativo")</f>
        <v>Assistente Administrativo</v>
      </c>
      <c r="F193" s="7" t="str">
        <f>IFERROR(__xludf.DUMMYFUNCTION("""COMPUTED_VALUE"""),"Gerência de Contratos e Convênios")</f>
        <v>Gerência de Contratos e Convênios</v>
      </c>
      <c r="G193" s="7" t="str">
        <f>IFERROR(__xludf.DUMMYFUNCTION("""COMPUTED_VALUE"""),"(91)3284 - 9208")</f>
        <v>(91)3284 - 9208</v>
      </c>
      <c r="H193" s="7"/>
      <c r="I193" s="16" t="str">
        <f>IFERROR(__xludf.DUMMYFUNCTION("""COMPUTED_VALUE"""),"gecon.semas@gmail.com")</f>
        <v>gecon.semas@gmail.com</v>
      </c>
      <c r="J193" s="7"/>
    </row>
    <row r="194">
      <c r="A194" s="7"/>
      <c r="B194" s="7" t="str">
        <f>IFERROR(__xludf.DUMMYFUNCTION("""COMPUTED_VALUE"""),"SEMAS3")</f>
        <v>SEMAS3</v>
      </c>
      <c r="C194" s="7" t="str">
        <f>IFERROR(__xludf.DUMMYFUNCTION("""COMPUTED_VALUE"""),"SEMAS")</f>
        <v>SEMAS</v>
      </c>
      <c r="D194" s="7" t="str">
        <f>IFERROR(__xludf.DUMMYFUNCTION("""COMPUTED_VALUE"""),"Amanda Nobre")</f>
        <v>Amanda Nobre</v>
      </c>
      <c r="E194" s="7" t="str">
        <f>IFERROR(__xludf.DUMMYFUNCTION("""COMPUTED_VALUE"""),"Técnico(a) em Gestão de Informática")</f>
        <v>Técnico(a) em Gestão de Informática</v>
      </c>
      <c r="F194" s="7" t="str">
        <f>IFERROR(__xludf.DUMMYFUNCTION("""COMPUTED_VALUE"""),"Gerência de Redes e Comunicação - GRECO")</f>
        <v>Gerência de Redes e Comunicação - GRECO</v>
      </c>
      <c r="G194" s="7"/>
      <c r="H194" s="7" t="str">
        <f>IFERROR(__xludf.DUMMYFUNCTION("""COMPUTED_VALUE"""),"(91) 98398-1481")</f>
        <v>(91) 98398-1481</v>
      </c>
      <c r="I194" s="16" t="str">
        <f>IFERROR(__xludf.DUMMYFUNCTION("""COMPUTED_VALUE"""),"amanda.nobre@semas.pa.gov.br")</f>
        <v>amanda.nobre@semas.pa.gov.br</v>
      </c>
      <c r="J194" s="7"/>
    </row>
    <row r="195">
      <c r="A195" s="7"/>
      <c r="B195" s="7" t="str">
        <f>IFERROR(__xludf.DUMMYFUNCTION("""COMPUTED_VALUE"""),"SEMU1")</f>
        <v>SEMU1</v>
      </c>
      <c r="C195" s="7" t="str">
        <f>IFERROR(__xludf.DUMMYFUNCTION("""COMPUTED_VALUE"""),"SEMU")</f>
        <v>SEMU</v>
      </c>
      <c r="D195" s="7" t="str">
        <f>IFERROR(__xludf.DUMMYFUNCTION("""COMPUTED_VALUE"""),"Fernando Folha")</f>
        <v>Fernando Folha</v>
      </c>
      <c r="E195" s="7" t="str">
        <f>IFERROR(__xludf.DUMMYFUNCTION("""COMPUTED_VALUE"""),"Coordenador de Tecnologia da Informação")</f>
        <v>Coordenador de Tecnologia da Informação</v>
      </c>
      <c r="F195" s="7" t="str">
        <f>IFERROR(__xludf.DUMMYFUNCTION("""COMPUTED_VALUE"""),"Núcleo de Tecnologia da Informação - NTI")</f>
        <v>Núcleo de Tecnologia da Informação - NTI</v>
      </c>
      <c r="G195" s="7"/>
      <c r="H195" s="7" t="str">
        <f>IFERROR(__xludf.DUMMYFUNCTION("""COMPUTED_VALUE"""),"(91) 99994-9095")</f>
        <v>(91) 99994-9095</v>
      </c>
      <c r="I195" s="16" t="str">
        <f>IFERROR(__xludf.DUMMYFUNCTION("""COMPUTED_VALUE"""),"fernando.folha@prodepa.pa.gov.br")</f>
        <v>fernando.folha@prodepa.pa.gov.br</v>
      </c>
      <c r="J195" s="7"/>
    </row>
    <row r="196">
      <c r="A196" s="7"/>
      <c r="B196" s="7" t="str">
        <f>IFERROR(__xludf.DUMMYFUNCTION("""COMPUTED_VALUE"""),"SEPLAD1")</f>
        <v>SEPLAD1</v>
      </c>
      <c r="C196" s="7" t="str">
        <f>IFERROR(__xludf.DUMMYFUNCTION("""COMPUTED_VALUE"""),"SEPLAD")</f>
        <v>SEPLAD</v>
      </c>
      <c r="D196" s="7" t="str">
        <f>IFERROR(__xludf.DUMMYFUNCTION("""COMPUTED_VALUE"""),"Thiago Barauna da Silva")</f>
        <v>Thiago Barauna da Silva</v>
      </c>
      <c r="E196" s="7" t="str">
        <f>IFERROR(__xludf.DUMMYFUNCTION("""COMPUTED_VALUE"""),"Coordenador")</f>
        <v>Coordenador</v>
      </c>
      <c r="F196" s="7" t="str">
        <f>IFERROR(__xludf.DUMMYFUNCTION("""COMPUTED_VALUE"""),"Coordenadoria de Redes Internas - CORI")</f>
        <v>Coordenadoria de Redes Internas - CORI</v>
      </c>
      <c r="G196" s="7" t="str">
        <f>IFERROR(__xludf.DUMMYFUNCTION("""COMPUTED_VALUE"""),"(91) 3251-2790")</f>
        <v>(91) 3251-2790</v>
      </c>
      <c r="H196" s="7" t="str">
        <f>IFERROR(__xludf.DUMMYFUNCTION("""COMPUTED_VALUE"""),"(91)  98841-5830")</f>
        <v>(91)  98841-5830</v>
      </c>
      <c r="I196" s="16" t="str">
        <f>IFERROR(__xludf.DUMMYFUNCTION("""COMPUTED_VALUE"""),"thiago.barauna@seplad.pa.gov.br")</f>
        <v>thiago.barauna@seplad.pa.gov.br</v>
      </c>
      <c r="J196" s="16" t="str">
        <f>IFERROR(__xludf.DUMMYFUNCTION("""COMPUTED_VALUE"""),"cori@seplad.pa.gov.br")</f>
        <v>cori@seplad.pa.gov.br</v>
      </c>
    </row>
    <row r="197">
      <c r="A197" s="7"/>
      <c r="B197" s="7" t="str">
        <f>IFERROR(__xludf.DUMMYFUNCTION("""COMPUTED_VALUE"""),"SEPLAD2")</f>
        <v>SEPLAD2</v>
      </c>
      <c r="C197" s="7" t="str">
        <f>IFERROR(__xludf.DUMMYFUNCTION("""COMPUTED_VALUE"""),"SEPLAD")</f>
        <v>SEPLAD</v>
      </c>
      <c r="D197" s="7" t="str">
        <f>IFERROR(__xludf.DUMMYFUNCTION("""COMPUTED_VALUE"""),"Roberto Lopes Ferreira")</f>
        <v>Roberto Lopes Ferreira</v>
      </c>
      <c r="E197" s="7"/>
      <c r="F197" s="7" t="str">
        <f>IFERROR(__xludf.DUMMYFUNCTION("""COMPUTED_VALUE"""),"Coordenadoria de Redes Internas - CORI")</f>
        <v>Coordenadoria de Redes Internas - CORI</v>
      </c>
      <c r="G197" s="7" t="str">
        <f>IFERROR(__xludf.DUMMYFUNCTION("""COMPUTED_VALUE"""),"(91) 3251-2790")</f>
        <v>(91) 3251-2790</v>
      </c>
      <c r="H197" s="7" t="str">
        <f>IFERROR(__xludf.DUMMYFUNCTION("""COMPUTED_VALUE"""),"(91) 98165-3899")</f>
        <v>(91) 98165-3899</v>
      </c>
      <c r="I197" s="16" t="str">
        <f>IFERROR(__xludf.DUMMYFUNCTION("""COMPUTED_VALUE"""),"roberto.ferreira@seplad.pa.gov.br")</f>
        <v>roberto.ferreira@seplad.pa.gov.br</v>
      </c>
      <c r="J197" s="16" t="str">
        <f>IFERROR(__xludf.DUMMYFUNCTION("""COMPUTED_VALUE"""),"cori@seplad.pa.gov.br")</f>
        <v>cori@seplad.pa.gov.br</v>
      </c>
    </row>
    <row r="198">
      <c r="A198" s="7"/>
      <c r="B198" s="7" t="str">
        <f>IFERROR(__xludf.DUMMYFUNCTION("""COMPUTED_VALUE"""),"SETUR1")</f>
        <v>SETUR1</v>
      </c>
      <c r="C198" s="7" t="str">
        <f>IFERROR(__xludf.DUMMYFUNCTION("""COMPUTED_VALUE"""),"SETUR")</f>
        <v>SETUR</v>
      </c>
      <c r="D198" s="7" t="str">
        <f>IFERROR(__xludf.DUMMYFUNCTION("""COMPUTED_VALUE"""),"Anderson Lorhan dos Santos Almeida")</f>
        <v>Anderson Lorhan dos Santos Almeida</v>
      </c>
      <c r="E198" s="7"/>
      <c r="F198" s="7"/>
      <c r="G198" s="7"/>
      <c r="H198" s="7"/>
      <c r="I198" s="7" t="str">
        <f>IFERROR(__xludf.DUMMYFUNCTION("""COMPUTED_VALUE"""),"anderson.almeida@setur.pa.gov.br")</f>
        <v>anderson.almeida@setur.pa.gov.br</v>
      </c>
      <c r="J198" s="7"/>
    </row>
    <row r="199">
      <c r="A199" s="7"/>
      <c r="B199" s="7" t="str">
        <f>IFERROR(__xludf.DUMMYFUNCTION("""COMPUTED_VALUE"""),"SETUR2")</f>
        <v>SETUR2</v>
      </c>
      <c r="C199" s="7" t="str">
        <f>IFERROR(__xludf.DUMMYFUNCTION("""COMPUTED_VALUE"""),"SETUR")</f>
        <v>SETUR</v>
      </c>
      <c r="D199" s="7" t="str">
        <f>IFERROR(__xludf.DUMMYFUNCTION("""COMPUTED_VALUE"""),"Brenda Ferreira")</f>
        <v>Brenda Ferreira</v>
      </c>
      <c r="E199" s="7" t="str">
        <f>IFERROR(__xludf.DUMMYFUNCTION("""COMPUTED_VALUE"""),"Coordenadora de documentação e arquivo")</f>
        <v>Coordenadora de documentação e arquivo</v>
      </c>
      <c r="F199" s="7" t="str">
        <f>IFERROR(__xludf.DUMMYFUNCTION("""COMPUTED_VALUE"""),"Protocolo")</f>
        <v>Protocolo</v>
      </c>
      <c r="G199" s="7" t="str">
        <f>IFERROR(__xludf.DUMMYFUNCTION("""COMPUTED_VALUE"""),"(91) 3197-2848/ 3127/ 2841")</f>
        <v>(91) 3197-2848/ 3127/ 2841</v>
      </c>
      <c r="H199" s="7"/>
      <c r="I199" s="7" t="str">
        <f>IFERROR(__xludf.DUMMYFUNCTION("""COMPUTED_VALUE"""),"cdar.setur@setur.pa.gov.br")</f>
        <v>cdar.setur@setur.pa.gov.br</v>
      </c>
      <c r="J199" s="7"/>
    </row>
    <row r="200">
      <c r="A200" s="7"/>
      <c r="B200" s="7" t="str">
        <f>IFERROR(__xludf.DUMMYFUNCTION("""COMPUTED_VALUE"""),"TCE1")</f>
        <v>TCE1</v>
      </c>
      <c r="C200" s="7" t="str">
        <f>IFERROR(__xludf.DUMMYFUNCTION("""COMPUTED_VALUE"""),"TCE")</f>
        <v>TCE</v>
      </c>
      <c r="D200" s="7" t="str">
        <f>IFERROR(__xludf.DUMMYFUNCTION("""COMPUTED_VALUE"""),"Thyago Souza de Andrade")</f>
        <v>Thyago Souza de Andrade</v>
      </c>
      <c r="E200" s="7"/>
      <c r="F200" s="7" t="str">
        <f>IFERROR(__xludf.DUMMYFUNCTION("""COMPUTED_VALUE"""),"Coordenadoria de Infraestrutura e Segurança - Secretaria de Tecnologia da Informação")</f>
        <v>Coordenadoria de Infraestrutura e Segurança - Secretaria de Tecnologia da Informação</v>
      </c>
      <c r="G200" s="7" t="str">
        <f>IFERROR(__xludf.DUMMYFUNCTION("""COMPUTED_VALUE"""),"(91) 3210-0530")</f>
        <v>(91) 3210-0530</v>
      </c>
      <c r="H200" s="7"/>
      <c r="I200" s="16" t="str">
        <f>IFERROR(__xludf.DUMMYFUNCTION("""COMPUTED_VALUE"""),"thyago.andrade@tcepa.tc.br")</f>
        <v>thyago.andrade@tcepa.tc.br</v>
      </c>
      <c r="J200" s="7"/>
    </row>
    <row r="201">
      <c r="A201" s="7"/>
      <c r="B201" s="7" t="str">
        <f>IFERROR(__xludf.DUMMYFUNCTION("""COMPUTED_VALUE"""),"TCE2")</f>
        <v>TCE2</v>
      </c>
      <c r="C201" s="7" t="str">
        <f>IFERROR(__xludf.DUMMYFUNCTION("""COMPUTED_VALUE"""),"TCE")</f>
        <v>TCE</v>
      </c>
      <c r="D201" s="7" t="str">
        <f>IFERROR(__xludf.DUMMYFUNCTION("""COMPUTED_VALUE"""),"Mônica Regina Câmara")</f>
        <v>Mônica Regina Câmara</v>
      </c>
      <c r="E201" s="7"/>
      <c r="F201" s="7" t="str">
        <f>IFERROR(__xludf.DUMMYFUNCTION("""COMPUTED_VALUE"""),"Coordenadoria de Informação e Documentação/CID-SEGER")</f>
        <v>Coordenadoria de Informação e Documentação/CID-SEGER</v>
      </c>
      <c r="G201" s="7" t="str">
        <f>IFERROR(__xludf.DUMMYFUNCTION("""COMPUTED_VALUE"""),"(91) 3210-0680")</f>
        <v>(91) 3210-0680</v>
      </c>
      <c r="H201" s="7"/>
      <c r="I201" s="16" t="str">
        <f>IFERROR(__xludf.DUMMYFUNCTION("""COMPUTED_VALUE"""),"monica.camara@tcepa.tc.br")</f>
        <v>monica.camara@tcepa.tc.br</v>
      </c>
      <c r="J201" s="7"/>
    </row>
    <row r="202">
      <c r="A202" s="7"/>
      <c r="B202" s="7" t="str">
        <f>IFERROR(__xludf.DUMMYFUNCTION("""COMPUTED_VALUE"""),"TCM1")</f>
        <v>TCM1</v>
      </c>
      <c r="C202" s="7" t="str">
        <f>IFERROR(__xludf.DUMMYFUNCTION("""COMPUTED_VALUE"""),"TCM")</f>
        <v>TCM</v>
      </c>
      <c r="D202" s="7" t="str">
        <f>IFERROR(__xludf.DUMMYFUNCTION("""COMPUTED_VALUE"""),"Erica")</f>
        <v>Erica</v>
      </c>
      <c r="E202" s="7"/>
      <c r="F202" s="7" t="str">
        <f>IFERROR(__xludf.DUMMYFUNCTION("""COMPUTED_VALUE"""),"Departamento de Tecnologia da Informação")</f>
        <v>Departamento de Tecnologia da Informação</v>
      </c>
      <c r="G202" s="7" t="str">
        <f>IFERROR(__xludf.DUMMYFUNCTION("""COMPUTED_VALUE"""),"(91) 3210-7573")</f>
        <v>(91) 3210-7573</v>
      </c>
      <c r="H202" s="7"/>
      <c r="I202" s="7" t="str">
        <f>IFERROR(__xludf.DUMMYFUNCTION("""COMPUTED_VALUE"""),"dti.contratos@tcm.pa.gov.br")</f>
        <v>dti.contratos@tcm.pa.gov.br</v>
      </c>
      <c r="J202" s="7"/>
    </row>
    <row r="203">
      <c r="A203" s="7"/>
      <c r="B203" s="7" t="str">
        <f>IFERROR(__xludf.DUMMYFUNCTION("""COMPUTED_VALUE"""),"TRE1")</f>
        <v>TRE1</v>
      </c>
      <c r="C203" s="7" t="str">
        <f>IFERROR(__xludf.DUMMYFUNCTION("""COMPUTED_VALUE"""),"TRE")</f>
        <v>TRE</v>
      </c>
      <c r="D203" s="7" t="str">
        <f>IFERROR(__xludf.DUMMYFUNCTION("""COMPUTED_VALUE"""),"Laila Prado")</f>
        <v>Laila Prado</v>
      </c>
      <c r="E203" s="7"/>
      <c r="F203" s="7" t="str">
        <f>IFERROR(__xludf.DUMMYFUNCTION("""COMPUTED_VALUE"""),"SEREDE/CORSUP/STI")</f>
        <v>SEREDE/CORSUP/STI</v>
      </c>
      <c r="G203" s="7"/>
      <c r="H203" s="7"/>
      <c r="I203" s="16" t="str">
        <f>IFERROR(__xludf.DUMMYFUNCTION("""COMPUTED_VALUE"""),"serede@tre-pa.jus.br")</f>
        <v>serede@tre-pa.jus.br</v>
      </c>
      <c r="J203" s="7"/>
    </row>
    <row r="204">
      <c r="A204" s="7"/>
      <c r="B204" s="7" t="str">
        <f>IFERROR(__xludf.DUMMYFUNCTION("""COMPUTED_VALUE"""),"TRE2")</f>
        <v>TRE2</v>
      </c>
      <c r="C204" s="7" t="str">
        <f>IFERROR(__xludf.DUMMYFUNCTION("""COMPUTED_VALUE"""),"TRE")</f>
        <v>TRE</v>
      </c>
      <c r="D204" s="7" t="str">
        <f>IFERROR(__xludf.DUMMYFUNCTION("""COMPUTED_VALUE"""),"Daniel Nelo Soares")</f>
        <v>Daniel Nelo Soares</v>
      </c>
      <c r="E204" s="7" t="str">
        <f>IFERROR(__xludf.DUMMYFUNCTION("""COMPUTED_VALUE"""),"Chefe da Seção de Redes")</f>
        <v>Chefe da Seção de Redes</v>
      </c>
      <c r="F204" s="7" t="str">
        <f>IFERROR(__xludf.DUMMYFUNCTION("""COMPUTED_VALUE"""),"SEREDE/CORSUP/STI")</f>
        <v>SEREDE/CORSUP/STI</v>
      </c>
      <c r="G204" s="7" t="str">
        <f>IFERROR(__xludf.DUMMYFUNCTION("""COMPUTED_VALUE"""),"(91) 3346-8870")</f>
        <v>(91) 3346-8870</v>
      </c>
      <c r="H204" s="7"/>
      <c r="I204" s="7"/>
      <c r="J204" s="7"/>
    </row>
    <row r="205">
      <c r="A205" s="7"/>
      <c r="B205" s="7" t="str">
        <f>IFERROR(__xludf.DUMMYFUNCTION("""COMPUTED_VALUE"""),"TRT 81")</f>
        <v>TRT 81</v>
      </c>
      <c r="C205" s="7" t="str">
        <f>IFERROR(__xludf.DUMMYFUNCTION("""COMPUTED_VALUE"""),"TRT 8")</f>
        <v>TRT 8</v>
      </c>
      <c r="D205" s="7" t="str">
        <f>IFERROR(__xludf.DUMMYFUNCTION("""COMPUTED_VALUE"""),"Ruan Gabriel Araújo Ferreira")</f>
        <v>Ruan Gabriel Araújo Ferreira</v>
      </c>
      <c r="E205" s="7"/>
      <c r="F205" s="7" t="str">
        <f>IFERROR(__xludf.DUMMYFUNCTION("""COMPUTED_VALUE"""),"Secretaria de Tecnologia da Informação")</f>
        <v>Secretaria de Tecnologia da Informação</v>
      </c>
      <c r="G205" s="7" t="str">
        <f>IFERROR(__xludf.DUMMYFUNCTION("""COMPUTED_VALUE"""),"(91) 4008-1703")</f>
        <v>(91) 4008-1703</v>
      </c>
      <c r="H205" s="7"/>
      <c r="I205" s="7" t="str">
        <f>IFERROR(__xludf.DUMMYFUNCTION("""COMPUTED_VALUE"""),"ruan.ferreira@trt8.jus.br")</f>
        <v>ruan.ferreira@trt8.jus.br</v>
      </c>
      <c r="J205" s="7"/>
    </row>
    <row r="206">
      <c r="A206" s="7"/>
      <c r="B206" s="7" t="str">
        <f>IFERROR(__xludf.DUMMYFUNCTION("""COMPUTED_VALUE"""),"TRT 82")</f>
        <v>TRT 82</v>
      </c>
      <c r="C206" s="7" t="str">
        <f>IFERROR(__xludf.DUMMYFUNCTION("""COMPUTED_VALUE"""),"TRT 8")</f>
        <v>TRT 8</v>
      </c>
      <c r="D206" s="7" t="str">
        <f>IFERROR(__xludf.DUMMYFUNCTION("""COMPUTED_VALUE"""),"Jadiel Carlos Rocha Mota")</f>
        <v>Jadiel Carlos Rocha Mota</v>
      </c>
      <c r="E206" s="7" t="str">
        <f>IFERROR(__xludf.DUMMYFUNCTION("""COMPUTED_VALUE"""),"Analista judiciário - Tecnologia da Informação")</f>
        <v>Analista judiciário - Tecnologia da Informação</v>
      </c>
      <c r="F206" s="7" t="str">
        <f>IFERROR(__xludf.DUMMYFUNCTION("""COMPUTED_VALUE"""),"Secretaria de Tecnologia da Informação")</f>
        <v>Secretaria de Tecnologia da Informação</v>
      </c>
      <c r="G206" s="7" t="str">
        <f>IFERROR(__xludf.DUMMYFUNCTION("""COMPUTED_VALUE"""),"(91) 4008-1703 / 7021")</f>
        <v>(91) 4008-1703 / 7021</v>
      </c>
      <c r="H206" s="7"/>
      <c r="I206" s="7" t="str">
        <f>IFERROR(__xludf.DUMMYFUNCTION("""COMPUTED_VALUE"""),"jadiel.mota@trt8.jus.br")</f>
        <v>jadiel.mota@trt8.jus.br</v>
      </c>
      <c r="J206" s="7"/>
    </row>
    <row r="207">
      <c r="A207" s="7"/>
      <c r="B207" s="7" t="str">
        <f>IFERROR(__xludf.DUMMYFUNCTION("""COMPUTED_VALUE"""),"UEPA1")</f>
        <v>UEPA1</v>
      </c>
      <c r="C207" s="7" t="str">
        <f>IFERROR(__xludf.DUMMYFUNCTION("""COMPUTED_VALUE"""),"UEPA")</f>
        <v>UEPA</v>
      </c>
      <c r="D207" s="7" t="str">
        <f>IFERROR(__xludf.DUMMYFUNCTION("""COMPUTED_VALUE"""),"Thiago Conte")</f>
        <v>Thiago Conte</v>
      </c>
      <c r="E207" s="7"/>
      <c r="F207" s="7"/>
      <c r="G207" s="7"/>
      <c r="H207" s="7"/>
      <c r="I207" s="7" t="str">
        <f>IFERROR(__xludf.DUMMYFUNCTION("""COMPUTED_VALUE"""),"thiagoconte@uepa.br")</f>
        <v>thiagoconte@uepa.br</v>
      </c>
      <c r="J207" s="7"/>
    </row>
  </sheetData>
  <hyperlinks>
    <hyperlink r:id="rId1" ref="H78"/>
    <hyperlink r:id="rId2" ref="H79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5"/>
  </cols>
  <sheetData>
    <row r="1">
      <c r="A1" s="1" t="str">
        <f>IFERROR(__xludf.DUMMYFUNCTION("IMPORTRANGE(""https://docs.google.com/spreadsheets/d/1kIuUqm0AXYpUVVrwUFeIT9R0bdEhsTsg1_qUamlkdW8/edit?usp=sharing"",""municipios"")"),"MUNICÍPIO")</f>
        <v>MUNICÍPIO</v>
      </c>
    </row>
    <row r="2">
      <c r="A2" s="7" t="str">
        <f>IFERROR(__xludf.DUMMYFUNCTION("""COMPUTED_VALUE"""),"ABAETETUBA")</f>
        <v>ABAETETUBA</v>
      </c>
    </row>
    <row r="3">
      <c r="A3" s="7" t="str">
        <f>IFERROR(__xludf.DUMMYFUNCTION("""COMPUTED_VALUE"""),"ABEL FIGUEIREDO")</f>
        <v>ABEL FIGUEIREDO</v>
      </c>
    </row>
    <row r="4">
      <c r="A4" s="7" t="str">
        <f>IFERROR(__xludf.DUMMYFUNCTION("""COMPUTED_VALUE"""),"ACARA")</f>
        <v>ACARA</v>
      </c>
    </row>
    <row r="5">
      <c r="A5" s="7" t="str">
        <f>IFERROR(__xludf.DUMMYFUNCTION("""COMPUTED_VALUE"""),"AFUA")</f>
        <v>AFUA</v>
      </c>
    </row>
    <row r="6">
      <c r="A6" s="7" t="str">
        <f>IFERROR(__xludf.DUMMYFUNCTION("""COMPUTED_VALUE"""),"AGUA AZUL DO NORTE")</f>
        <v>AGUA AZUL DO NORTE</v>
      </c>
    </row>
    <row r="7">
      <c r="A7" s="7" t="str">
        <f>IFERROR(__xludf.DUMMYFUNCTION("""COMPUTED_VALUE"""),"ALENQUER")</f>
        <v>ALENQUER</v>
      </c>
    </row>
    <row r="8">
      <c r="A8" s="7" t="str">
        <f>IFERROR(__xludf.DUMMYFUNCTION("""COMPUTED_VALUE"""),"ALMEIRIM")</f>
        <v>ALMEIRIM</v>
      </c>
    </row>
    <row r="9">
      <c r="A9" s="7" t="str">
        <f>IFERROR(__xludf.DUMMYFUNCTION("""COMPUTED_VALUE"""),"ALTAMIRA")</f>
        <v>ALTAMIRA</v>
      </c>
    </row>
    <row r="10">
      <c r="A10" s="7" t="str">
        <f>IFERROR(__xludf.DUMMYFUNCTION("""COMPUTED_VALUE"""),"ANAJAS")</f>
        <v>ANAJAS</v>
      </c>
    </row>
    <row r="11">
      <c r="A11" s="7" t="str">
        <f>IFERROR(__xludf.DUMMYFUNCTION("""COMPUTED_VALUE"""),"ANANINDEUA")</f>
        <v>ANANINDEUA</v>
      </c>
    </row>
    <row r="12">
      <c r="A12" s="7" t="str">
        <f>IFERROR(__xludf.DUMMYFUNCTION("""COMPUTED_VALUE"""),"ANAPU")</f>
        <v>ANAPU</v>
      </c>
    </row>
    <row r="13">
      <c r="A13" s="7" t="str">
        <f>IFERROR(__xludf.DUMMYFUNCTION("""COMPUTED_VALUE"""),"AUGUSTO CORREA")</f>
        <v>AUGUSTO CORREA</v>
      </c>
    </row>
    <row r="14">
      <c r="A14" s="7" t="str">
        <f>IFERROR(__xludf.DUMMYFUNCTION("""COMPUTED_VALUE"""),"AURORA DO PARA")</f>
        <v>AURORA DO PARA</v>
      </c>
    </row>
    <row r="15">
      <c r="A15" s="7" t="str">
        <f>IFERROR(__xludf.DUMMYFUNCTION("""COMPUTED_VALUE"""),"AVEIRO")</f>
        <v>AVEIRO</v>
      </c>
    </row>
    <row r="16">
      <c r="A16" s="7" t="str">
        <f>IFERROR(__xludf.DUMMYFUNCTION("""COMPUTED_VALUE"""),"BAGRE")</f>
        <v>BAGRE</v>
      </c>
    </row>
    <row r="17">
      <c r="A17" s="7" t="str">
        <f>IFERROR(__xludf.DUMMYFUNCTION("""COMPUTED_VALUE"""),"BAIAO")</f>
        <v>BAIAO</v>
      </c>
    </row>
    <row r="18">
      <c r="A18" s="7" t="str">
        <f>IFERROR(__xludf.DUMMYFUNCTION("""COMPUTED_VALUE"""),"BANNACH")</f>
        <v>BANNACH</v>
      </c>
    </row>
    <row r="19">
      <c r="A19" s="7" t="str">
        <f>IFERROR(__xludf.DUMMYFUNCTION("""COMPUTED_VALUE"""),"BARCARENA")</f>
        <v>BARCARENA</v>
      </c>
    </row>
    <row r="20">
      <c r="A20" s="7" t="str">
        <f>IFERROR(__xludf.DUMMYFUNCTION("""COMPUTED_VALUE"""),"BELEM")</f>
        <v>BELEM</v>
      </c>
    </row>
    <row r="21">
      <c r="A21" s="7" t="str">
        <f>IFERROR(__xludf.DUMMYFUNCTION("""COMPUTED_VALUE"""),"BELTERRA")</f>
        <v>BELTERRA</v>
      </c>
    </row>
    <row r="22">
      <c r="A22" s="7" t="str">
        <f>IFERROR(__xludf.DUMMYFUNCTION("""COMPUTED_VALUE"""),"BENEVIDES")</f>
        <v>BENEVIDES</v>
      </c>
    </row>
    <row r="23">
      <c r="A23" s="7" t="str">
        <f>IFERROR(__xludf.DUMMYFUNCTION("""COMPUTED_VALUE"""),"BOM JESUS DO TOCANTINS")</f>
        <v>BOM JESUS DO TOCANTINS</v>
      </c>
    </row>
    <row r="24">
      <c r="A24" s="7" t="str">
        <f>IFERROR(__xludf.DUMMYFUNCTION("""COMPUTED_VALUE"""),"BONITO")</f>
        <v>BONITO</v>
      </c>
    </row>
    <row r="25">
      <c r="A25" s="7" t="str">
        <f>IFERROR(__xludf.DUMMYFUNCTION("""COMPUTED_VALUE"""),"BRAGANCA")</f>
        <v>BRAGANCA</v>
      </c>
    </row>
    <row r="26">
      <c r="A26" s="7" t="str">
        <f>IFERROR(__xludf.DUMMYFUNCTION("""COMPUTED_VALUE"""),"BRASIL NOVO")</f>
        <v>BRASIL NOVO</v>
      </c>
    </row>
    <row r="27">
      <c r="A27" s="7" t="str">
        <f>IFERROR(__xludf.DUMMYFUNCTION("""COMPUTED_VALUE"""),"BREJO GRANDE DO ARAGUAIA")</f>
        <v>BREJO GRANDE DO ARAGUAIA</v>
      </c>
    </row>
    <row r="28">
      <c r="A28" s="7" t="str">
        <f>IFERROR(__xludf.DUMMYFUNCTION("""COMPUTED_VALUE"""),"BREU BRANCO")</f>
        <v>BREU BRANCO</v>
      </c>
    </row>
    <row r="29">
      <c r="A29" s="7" t="str">
        <f>IFERROR(__xludf.DUMMYFUNCTION("""COMPUTED_VALUE"""),"BREVES")</f>
        <v>BREVES</v>
      </c>
    </row>
    <row r="30">
      <c r="A30" s="7" t="str">
        <f>IFERROR(__xludf.DUMMYFUNCTION("""COMPUTED_VALUE"""),"BUJARU")</f>
        <v>BUJARU</v>
      </c>
    </row>
    <row r="31">
      <c r="A31" s="7" t="str">
        <f>IFERROR(__xludf.DUMMYFUNCTION("""COMPUTED_VALUE"""),"CACHOEIRA DO ARARI")</f>
        <v>CACHOEIRA DO ARARI</v>
      </c>
    </row>
    <row r="32">
      <c r="A32" s="7" t="str">
        <f>IFERROR(__xludf.DUMMYFUNCTION("""COMPUTED_VALUE"""),"CACHOEIRA DO PIRIA")</f>
        <v>CACHOEIRA DO PIRIA</v>
      </c>
    </row>
    <row r="33">
      <c r="A33" s="7" t="str">
        <f>IFERROR(__xludf.DUMMYFUNCTION("""COMPUTED_VALUE"""),"CAMETA")</f>
        <v>CAMETA</v>
      </c>
    </row>
    <row r="34">
      <c r="A34" s="7" t="str">
        <f>IFERROR(__xludf.DUMMYFUNCTION("""COMPUTED_VALUE"""),"CANAA DOS CARAJAS")</f>
        <v>CANAA DOS CARAJAS</v>
      </c>
    </row>
    <row r="35">
      <c r="A35" s="7" t="str">
        <f>IFERROR(__xludf.DUMMYFUNCTION("""COMPUTED_VALUE"""),"CAPANEMA")</f>
        <v>CAPANEMA</v>
      </c>
    </row>
    <row r="36">
      <c r="A36" s="7" t="str">
        <f>IFERROR(__xludf.DUMMYFUNCTION("""COMPUTED_VALUE"""),"CAPITAO POCO")</f>
        <v>CAPITAO POCO</v>
      </c>
    </row>
    <row r="37">
      <c r="A37" s="7" t="str">
        <f>IFERROR(__xludf.DUMMYFUNCTION("""COMPUTED_VALUE"""),"CASTANHAL")</f>
        <v>CASTANHAL</v>
      </c>
    </row>
    <row r="38">
      <c r="A38" s="7" t="str">
        <f>IFERROR(__xludf.DUMMYFUNCTION("""COMPUTED_VALUE"""),"CHAVES")</f>
        <v>CHAVES</v>
      </c>
    </row>
    <row r="39">
      <c r="A39" s="7" t="str">
        <f>IFERROR(__xludf.DUMMYFUNCTION("""COMPUTED_VALUE"""),"COLARES")</f>
        <v>COLARES</v>
      </c>
    </row>
    <row r="40">
      <c r="A40" s="7" t="str">
        <f>IFERROR(__xludf.DUMMYFUNCTION("""COMPUTED_VALUE"""),"CONCEICAO DO ARAGUAIA")</f>
        <v>CONCEICAO DO ARAGUAIA</v>
      </c>
    </row>
    <row r="41">
      <c r="A41" s="7" t="str">
        <f>IFERROR(__xludf.DUMMYFUNCTION("""COMPUTED_VALUE"""),"CONCORDIA DO PARA")</f>
        <v>CONCORDIA DO PARA</v>
      </c>
    </row>
    <row r="42">
      <c r="A42" s="7" t="str">
        <f>IFERROR(__xludf.DUMMYFUNCTION("""COMPUTED_VALUE"""),"CUMARU DO NORTE")</f>
        <v>CUMARU DO NORTE</v>
      </c>
    </row>
    <row r="43">
      <c r="A43" s="7" t="str">
        <f>IFERROR(__xludf.DUMMYFUNCTION("""COMPUTED_VALUE"""),"CURIONOPOLIS")</f>
        <v>CURIONOPOLIS</v>
      </c>
    </row>
    <row r="44">
      <c r="A44" s="7" t="str">
        <f>IFERROR(__xludf.DUMMYFUNCTION("""COMPUTED_VALUE"""),"CURRALINHO")</f>
        <v>CURRALINHO</v>
      </c>
    </row>
    <row r="45">
      <c r="A45" s="7" t="str">
        <f>IFERROR(__xludf.DUMMYFUNCTION("""COMPUTED_VALUE"""),"CURUA")</f>
        <v>CURUA</v>
      </c>
    </row>
    <row r="46">
      <c r="A46" s="7" t="str">
        <f>IFERROR(__xludf.DUMMYFUNCTION("""COMPUTED_VALUE"""),"CURUCA")</f>
        <v>CURUCA</v>
      </c>
    </row>
    <row r="47">
      <c r="A47" s="7" t="str">
        <f>IFERROR(__xludf.DUMMYFUNCTION("""COMPUTED_VALUE"""),"DOM ELISEU")</f>
        <v>DOM ELISEU</v>
      </c>
    </row>
    <row r="48">
      <c r="A48" s="7" t="str">
        <f>IFERROR(__xludf.DUMMYFUNCTION("""COMPUTED_VALUE"""),"ELDORADO DOS CARAJAS")</f>
        <v>ELDORADO DOS CARAJAS</v>
      </c>
    </row>
    <row r="49">
      <c r="A49" s="7" t="str">
        <f>IFERROR(__xludf.DUMMYFUNCTION("""COMPUTED_VALUE"""),"FARO")</f>
        <v>FARO</v>
      </c>
    </row>
    <row r="50">
      <c r="A50" s="7" t="str">
        <f>IFERROR(__xludf.DUMMYFUNCTION("""COMPUTED_VALUE"""),"FLORESTA DO ARAGUAIA")</f>
        <v>FLORESTA DO ARAGUAIA</v>
      </c>
    </row>
    <row r="51">
      <c r="A51" s="7" t="str">
        <f>IFERROR(__xludf.DUMMYFUNCTION("""COMPUTED_VALUE"""),"GARRAFAO DO NORTE")</f>
        <v>GARRAFAO DO NORTE</v>
      </c>
    </row>
    <row r="52">
      <c r="A52" s="7" t="str">
        <f>IFERROR(__xludf.DUMMYFUNCTION("""COMPUTED_VALUE"""),"GOIANESIA DO PARA")</f>
        <v>GOIANESIA DO PARA</v>
      </c>
    </row>
    <row r="53">
      <c r="A53" s="7" t="str">
        <f>IFERROR(__xludf.DUMMYFUNCTION("""COMPUTED_VALUE"""),"GURUPA")</f>
        <v>GURUPA</v>
      </c>
    </row>
    <row r="54">
      <c r="A54" s="7" t="str">
        <f>IFERROR(__xludf.DUMMYFUNCTION("""COMPUTED_VALUE"""),"IGARAPE-ACU")</f>
        <v>IGARAPE-ACU</v>
      </c>
    </row>
    <row r="55">
      <c r="A55" s="7" t="str">
        <f>IFERROR(__xludf.DUMMYFUNCTION("""COMPUTED_VALUE"""),"IGARAPE-MIRI")</f>
        <v>IGARAPE-MIRI</v>
      </c>
    </row>
    <row r="56">
      <c r="A56" s="7" t="str">
        <f>IFERROR(__xludf.DUMMYFUNCTION("""COMPUTED_VALUE"""),"INHANGAPI")</f>
        <v>INHANGAPI</v>
      </c>
    </row>
    <row r="57">
      <c r="A57" s="7" t="str">
        <f>IFERROR(__xludf.DUMMYFUNCTION("""COMPUTED_VALUE"""),"IPIXUNA DO PARA")</f>
        <v>IPIXUNA DO PARA</v>
      </c>
    </row>
    <row r="58">
      <c r="A58" s="7" t="str">
        <f>IFERROR(__xludf.DUMMYFUNCTION("""COMPUTED_VALUE"""),"IRITUIA")</f>
        <v>IRITUIA</v>
      </c>
    </row>
    <row r="59">
      <c r="A59" s="7" t="str">
        <f>IFERROR(__xludf.DUMMYFUNCTION("""COMPUTED_VALUE"""),"ITAITUBA")</f>
        <v>ITAITUBA</v>
      </c>
    </row>
    <row r="60">
      <c r="A60" s="7" t="str">
        <f>IFERROR(__xludf.DUMMYFUNCTION("""COMPUTED_VALUE"""),"ITUPIRANGA")</f>
        <v>ITUPIRANGA</v>
      </c>
    </row>
    <row r="61">
      <c r="A61" s="7" t="str">
        <f>IFERROR(__xludf.DUMMYFUNCTION("""COMPUTED_VALUE"""),"JACAREACANGA")</f>
        <v>JACAREACANGA</v>
      </c>
    </row>
    <row r="62">
      <c r="A62" s="7" t="str">
        <f>IFERROR(__xludf.DUMMYFUNCTION("""COMPUTED_VALUE"""),"JACUNDA")</f>
        <v>JACUNDA</v>
      </c>
    </row>
    <row r="63">
      <c r="A63" s="7" t="str">
        <f>IFERROR(__xludf.DUMMYFUNCTION("""COMPUTED_VALUE"""),"JURUTI")</f>
        <v>JURUTI</v>
      </c>
    </row>
    <row r="64">
      <c r="A64" s="7" t="str">
        <f>IFERROR(__xludf.DUMMYFUNCTION("""COMPUTED_VALUE"""),"LIMOEIRO DO AJURU")</f>
        <v>LIMOEIRO DO AJURU</v>
      </c>
    </row>
    <row r="65">
      <c r="A65" s="7" t="str">
        <f>IFERROR(__xludf.DUMMYFUNCTION("""COMPUTED_VALUE"""),"MAE DO RIO")</f>
        <v>MAE DO RIO</v>
      </c>
    </row>
    <row r="66">
      <c r="A66" s="7" t="str">
        <f>IFERROR(__xludf.DUMMYFUNCTION("""COMPUTED_VALUE"""),"MAGALHAES BARATA")</f>
        <v>MAGALHAES BARATA</v>
      </c>
    </row>
    <row r="67">
      <c r="A67" s="7" t="str">
        <f>IFERROR(__xludf.DUMMYFUNCTION("""COMPUTED_VALUE"""),"MARABA")</f>
        <v>MARABA</v>
      </c>
    </row>
    <row r="68">
      <c r="A68" s="7" t="str">
        <f>IFERROR(__xludf.DUMMYFUNCTION("""COMPUTED_VALUE"""),"MARACANA")</f>
        <v>MARACANA</v>
      </c>
    </row>
    <row r="69">
      <c r="A69" s="7" t="str">
        <f>IFERROR(__xludf.DUMMYFUNCTION("""COMPUTED_VALUE"""),"MARAPANIM")</f>
        <v>MARAPANIM</v>
      </c>
    </row>
    <row r="70">
      <c r="A70" s="7" t="str">
        <f>IFERROR(__xludf.DUMMYFUNCTION("""COMPUTED_VALUE"""),"MARITUBA")</f>
        <v>MARITUBA</v>
      </c>
    </row>
    <row r="71">
      <c r="A71" s="7" t="str">
        <f>IFERROR(__xludf.DUMMYFUNCTION("""COMPUTED_VALUE"""),"MEDICILANDIA")</f>
        <v>MEDICILANDIA</v>
      </c>
    </row>
    <row r="72">
      <c r="A72" s="7" t="str">
        <f>IFERROR(__xludf.DUMMYFUNCTION("""COMPUTED_VALUE"""),"MELGACO")</f>
        <v>MELGACO</v>
      </c>
    </row>
    <row r="73">
      <c r="A73" s="7" t="str">
        <f>IFERROR(__xludf.DUMMYFUNCTION("""COMPUTED_VALUE"""),"MOCAJUBA")</f>
        <v>MOCAJUBA</v>
      </c>
    </row>
    <row r="74">
      <c r="A74" s="7" t="str">
        <f>IFERROR(__xludf.DUMMYFUNCTION("""COMPUTED_VALUE"""),"MOJU")</f>
        <v>MOJU</v>
      </c>
    </row>
    <row r="75">
      <c r="A75" s="7" t="str">
        <f>IFERROR(__xludf.DUMMYFUNCTION("""COMPUTED_VALUE"""),"MOJUI DOS CAMPOS")</f>
        <v>MOJUI DOS CAMPOS</v>
      </c>
    </row>
    <row r="76">
      <c r="A76" s="7" t="str">
        <f>IFERROR(__xludf.DUMMYFUNCTION("""COMPUTED_VALUE"""),"MONTE ALEGRE")</f>
        <v>MONTE ALEGRE</v>
      </c>
    </row>
    <row r="77">
      <c r="A77" s="7" t="str">
        <f>IFERROR(__xludf.DUMMYFUNCTION("""COMPUTED_VALUE"""),"MUANA")</f>
        <v>MUANA</v>
      </c>
    </row>
    <row r="78">
      <c r="A78" s="7" t="str">
        <f>IFERROR(__xludf.DUMMYFUNCTION("""COMPUTED_VALUE"""),"NOVA ESPERANCA DO PIRIA")</f>
        <v>NOVA ESPERANCA DO PIRIA</v>
      </c>
    </row>
    <row r="79">
      <c r="A79" s="7" t="str">
        <f>IFERROR(__xludf.DUMMYFUNCTION("""COMPUTED_VALUE"""),"NOVA IPIXUNA")</f>
        <v>NOVA IPIXUNA</v>
      </c>
    </row>
    <row r="80">
      <c r="A80" s="7" t="str">
        <f>IFERROR(__xludf.DUMMYFUNCTION("""COMPUTED_VALUE"""),"NOVA TIMBOTEUA")</f>
        <v>NOVA TIMBOTEUA</v>
      </c>
    </row>
    <row r="81">
      <c r="A81" s="7" t="str">
        <f>IFERROR(__xludf.DUMMYFUNCTION("""COMPUTED_VALUE"""),"NOVO PROGRESSO")</f>
        <v>NOVO PROGRESSO</v>
      </c>
    </row>
    <row r="82">
      <c r="A82" s="7" t="str">
        <f>IFERROR(__xludf.DUMMYFUNCTION("""COMPUTED_VALUE"""),"NOVO REPARTIMENTO")</f>
        <v>NOVO REPARTIMENTO</v>
      </c>
    </row>
    <row r="83">
      <c r="A83" s="7" t="str">
        <f>IFERROR(__xludf.DUMMYFUNCTION("""COMPUTED_VALUE"""),"OBIDOS")</f>
        <v>OBIDOS</v>
      </c>
    </row>
    <row r="84">
      <c r="A84" s="7" t="str">
        <f>IFERROR(__xludf.DUMMYFUNCTION("""COMPUTED_VALUE"""),"OEIRAS DO PARA")</f>
        <v>OEIRAS DO PARA</v>
      </c>
    </row>
    <row r="85">
      <c r="A85" s="7" t="str">
        <f>IFERROR(__xludf.DUMMYFUNCTION("""COMPUTED_VALUE"""),"ORIXIMINA")</f>
        <v>ORIXIMINA</v>
      </c>
    </row>
    <row r="86">
      <c r="A86" s="7" t="str">
        <f>IFERROR(__xludf.DUMMYFUNCTION("""COMPUTED_VALUE"""),"OUREM")</f>
        <v>OUREM</v>
      </c>
    </row>
    <row r="87">
      <c r="A87" s="7" t="str">
        <f>IFERROR(__xludf.DUMMYFUNCTION("""COMPUTED_VALUE"""),"OURILANDIA DO NORTE")</f>
        <v>OURILANDIA DO NORTE</v>
      </c>
    </row>
    <row r="88">
      <c r="A88" s="7" t="str">
        <f>IFERROR(__xludf.DUMMYFUNCTION("""COMPUTED_VALUE"""),"PACAJA")</f>
        <v>PACAJA</v>
      </c>
    </row>
    <row r="89">
      <c r="A89" s="7" t="str">
        <f>IFERROR(__xludf.DUMMYFUNCTION("""COMPUTED_VALUE"""),"PALESTINA DO PARA")</f>
        <v>PALESTINA DO PARA</v>
      </c>
    </row>
    <row r="90">
      <c r="A90" s="7" t="str">
        <f>IFERROR(__xludf.DUMMYFUNCTION("""COMPUTED_VALUE"""),"PARAGOMINAS")</f>
        <v>PARAGOMINAS</v>
      </c>
    </row>
    <row r="91">
      <c r="A91" s="7" t="str">
        <f>IFERROR(__xludf.DUMMYFUNCTION("""COMPUTED_VALUE"""),"PARAUAPEBAS")</f>
        <v>PARAUAPEBAS</v>
      </c>
    </row>
    <row r="92">
      <c r="A92" s="7" t="str">
        <f>IFERROR(__xludf.DUMMYFUNCTION("""COMPUTED_VALUE"""),"PAU DARCO")</f>
        <v>PAU DARCO</v>
      </c>
    </row>
    <row r="93">
      <c r="A93" s="7" t="str">
        <f>IFERROR(__xludf.DUMMYFUNCTION("""COMPUTED_VALUE"""),"PEIXE-BOI")</f>
        <v>PEIXE-BOI</v>
      </c>
    </row>
    <row r="94">
      <c r="A94" s="7" t="str">
        <f>IFERROR(__xludf.DUMMYFUNCTION("""COMPUTED_VALUE"""),"PICARRA")</f>
        <v>PICARRA</v>
      </c>
    </row>
    <row r="95">
      <c r="A95" s="7" t="str">
        <f>IFERROR(__xludf.DUMMYFUNCTION("""COMPUTED_VALUE"""),"PLACAS")</f>
        <v>PLACAS</v>
      </c>
    </row>
    <row r="96">
      <c r="A96" s="7" t="str">
        <f>IFERROR(__xludf.DUMMYFUNCTION("""COMPUTED_VALUE"""),"PONTA DE PEDRAS")</f>
        <v>PONTA DE PEDRAS</v>
      </c>
    </row>
    <row r="97">
      <c r="A97" s="7" t="str">
        <f>IFERROR(__xludf.DUMMYFUNCTION("""COMPUTED_VALUE"""),"PORTEL")</f>
        <v>PORTEL</v>
      </c>
    </row>
    <row r="98">
      <c r="A98" s="7" t="str">
        <f>IFERROR(__xludf.DUMMYFUNCTION("""COMPUTED_VALUE"""),"PORTO DE MOZ")</f>
        <v>PORTO DE MOZ</v>
      </c>
    </row>
    <row r="99">
      <c r="A99" s="7" t="str">
        <f>IFERROR(__xludf.DUMMYFUNCTION("""COMPUTED_VALUE"""),"PRAINHA")</f>
        <v>PRAINHA</v>
      </c>
    </row>
    <row r="100">
      <c r="A100" s="7" t="str">
        <f>IFERROR(__xludf.DUMMYFUNCTION("""COMPUTED_VALUE"""),"PRIMAVERA")</f>
        <v>PRIMAVERA</v>
      </c>
    </row>
    <row r="101">
      <c r="A101" s="7" t="str">
        <f>IFERROR(__xludf.DUMMYFUNCTION("""COMPUTED_VALUE"""),"QUATIPURU")</f>
        <v>QUATIPURU</v>
      </c>
    </row>
    <row r="102">
      <c r="A102" s="7" t="str">
        <f>IFERROR(__xludf.DUMMYFUNCTION("""COMPUTED_VALUE"""),"REDENCAO")</f>
        <v>REDENCAO</v>
      </c>
    </row>
    <row r="103">
      <c r="A103" s="7" t="str">
        <f>IFERROR(__xludf.DUMMYFUNCTION("""COMPUTED_VALUE"""),"RIO MARIA")</f>
        <v>RIO MARIA</v>
      </c>
    </row>
    <row r="104">
      <c r="A104" s="7" t="str">
        <f>IFERROR(__xludf.DUMMYFUNCTION("""COMPUTED_VALUE"""),"RONDON DO PARA")</f>
        <v>RONDON DO PARA</v>
      </c>
    </row>
    <row r="105">
      <c r="A105" s="7" t="str">
        <f>IFERROR(__xludf.DUMMYFUNCTION("""COMPUTED_VALUE"""),"RUROPOLIS")</f>
        <v>RUROPOLIS</v>
      </c>
    </row>
    <row r="106">
      <c r="A106" s="7" t="str">
        <f>IFERROR(__xludf.DUMMYFUNCTION("""COMPUTED_VALUE"""),"SALINOPOLIS")</f>
        <v>SALINOPOLIS</v>
      </c>
    </row>
    <row r="107">
      <c r="A107" s="7" t="str">
        <f>IFERROR(__xludf.DUMMYFUNCTION("""COMPUTED_VALUE"""),"SALVATERRA")</f>
        <v>SALVATERRA</v>
      </c>
    </row>
    <row r="108">
      <c r="A108" s="7" t="str">
        <f>IFERROR(__xludf.DUMMYFUNCTION("""COMPUTED_VALUE"""),"SANTA BARBARA DO PARA")</f>
        <v>SANTA BARBARA DO PARA</v>
      </c>
    </row>
    <row r="109">
      <c r="A109" s="7" t="str">
        <f>IFERROR(__xludf.DUMMYFUNCTION("""COMPUTED_VALUE"""),"SANTA CRUZ DO ARARI")</f>
        <v>SANTA CRUZ DO ARARI</v>
      </c>
    </row>
    <row r="110">
      <c r="A110" s="7" t="str">
        <f>IFERROR(__xludf.DUMMYFUNCTION("""COMPUTED_VALUE"""),"SANTA IZABEL DO PARA")</f>
        <v>SANTA IZABEL DO PARA</v>
      </c>
    </row>
    <row r="111">
      <c r="A111" s="7" t="str">
        <f>IFERROR(__xludf.DUMMYFUNCTION("""COMPUTED_VALUE"""),"SANTA LUZIA DO PARA")</f>
        <v>SANTA LUZIA DO PARA</v>
      </c>
    </row>
    <row r="112">
      <c r="A112" s="7" t="str">
        <f>IFERROR(__xludf.DUMMYFUNCTION("""COMPUTED_VALUE"""),"SANTA MARIA DAS BARREIRAS")</f>
        <v>SANTA MARIA DAS BARREIRAS</v>
      </c>
    </row>
    <row r="113">
      <c r="A113" s="7" t="str">
        <f>IFERROR(__xludf.DUMMYFUNCTION("""COMPUTED_VALUE"""),"SANTA MARIA DO PARA")</f>
        <v>SANTA MARIA DO PARA</v>
      </c>
    </row>
    <row r="114">
      <c r="A114" s="7" t="str">
        <f>IFERROR(__xludf.DUMMYFUNCTION("""COMPUTED_VALUE"""),"SANTANA DO ARAGUAIA")</f>
        <v>SANTANA DO ARAGUAIA</v>
      </c>
    </row>
    <row r="115">
      <c r="A115" s="7" t="str">
        <f>IFERROR(__xludf.DUMMYFUNCTION("""COMPUTED_VALUE"""),"SANTAREM")</f>
        <v>SANTAREM</v>
      </c>
    </row>
    <row r="116">
      <c r="A116" s="7" t="str">
        <f>IFERROR(__xludf.DUMMYFUNCTION("""COMPUTED_VALUE"""),"SANTAREM NOVO")</f>
        <v>SANTAREM NOVO</v>
      </c>
    </row>
    <row r="117">
      <c r="A117" s="7" t="str">
        <f>IFERROR(__xludf.DUMMYFUNCTION("""COMPUTED_VALUE"""),"SANTO ANTONIO DO TAUA")</f>
        <v>SANTO ANTONIO DO TAUA</v>
      </c>
    </row>
    <row r="118">
      <c r="A118" s="7" t="str">
        <f>IFERROR(__xludf.DUMMYFUNCTION("""COMPUTED_VALUE"""),"SAO CAETANO DE ODIVELAS")</f>
        <v>SAO CAETANO DE ODIVELAS</v>
      </c>
    </row>
    <row r="119">
      <c r="A119" s="7" t="str">
        <f>IFERROR(__xludf.DUMMYFUNCTION("""COMPUTED_VALUE"""),"SAO DOMINGOS DO ARAGUAIA")</f>
        <v>SAO DOMINGOS DO ARAGUAIA</v>
      </c>
    </row>
    <row r="120">
      <c r="A120" s="7" t="str">
        <f>IFERROR(__xludf.DUMMYFUNCTION("""COMPUTED_VALUE"""),"SAO DOMINGOS DO CAPIM")</f>
        <v>SAO DOMINGOS DO CAPIM</v>
      </c>
    </row>
    <row r="121">
      <c r="A121" s="7" t="str">
        <f>IFERROR(__xludf.DUMMYFUNCTION("""COMPUTED_VALUE"""),"SAO FELIX DO XINGU")</f>
        <v>SAO FELIX DO XINGU</v>
      </c>
    </row>
    <row r="122">
      <c r="A122" s="7" t="str">
        <f>IFERROR(__xludf.DUMMYFUNCTION("""COMPUTED_VALUE"""),"SAO FRANCISCO DO PARA")</f>
        <v>SAO FRANCISCO DO PARA</v>
      </c>
    </row>
    <row r="123">
      <c r="A123" s="7" t="str">
        <f>IFERROR(__xludf.DUMMYFUNCTION("""COMPUTED_VALUE"""),"SAO GERALDO DO ARAGUAIA")</f>
        <v>SAO GERALDO DO ARAGUAIA</v>
      </c>
    </row>
    <row r="124">
      <c r="A124" s="7" t="str">
        <f>IFERROR(__xludf.DUMMYFUNCTION("""COMPUTED_VALUE"""),"SAO JOAO DA PONTA")</f>
        <v>SAO JOAO DA PONTA</v>
      </c>
    </row>
    <row r="125">
      <c r="A125" s="7" t="str">
        <f>IFERROR(__xludf.DUMMYFUNCTION("""COMPUTED_VALUE"""),"SAO JOAO DE PIRABAS")</f>
        <v>SAO JOAO DE PIRABAS</v>
      </c>
    </row>
    <row r="126">
      <c r="A126" s="7" t="str">
        <f>IFERROR(__xludf.DUMMYFUNCTION("""COMPUTED_VALUE"""),"SAO JOAO DO ARAGUAIA")</f>
        <v>SAO JOAO DO ARAGUAIA</v>
      </c>
    </row>
    <row r="127">
      <c r="A127" s="7" t="str">
        <f>IFERROR(__xludf.DUMMYFUNCTION("""COMPUTED_VALUE"""),"SAO MIGUEL DO GUAMA")</f>
        <v>SAO MIGUEL DO GUAMA</v>
      </c>
    </row>
    <row r="128">
      <c r="A128" s="7" t="str">
        <f>IFERROR(__xludf.DUMMYFUNCTION("""COMPUTED_VALUE"""),"SAO SEBASTIAO DA BOA VISTA")</f>
        <v>SAO SEBASTIAO DA BOA VISTA</v>
      </c>
    </row>
    <row r="129">
      <c r="A129" s="7" t="str">
        <f>IFERROR(__xludf.DUMMYFUNCTION("""COMPUTED_VALUE"""),"SAPUCAIA")</f>
        <v>SAPUCAIA</v>
      </c>
    </row>
    <row r="130">
      <c r="A130" s="7" t="str">
        <f>IFERROR(__xludf.DUMMYFUNCTION("""COMPUTED_VALUE"""),"SENADOR JOSE PORFIRIO")</f>
        <v>SENADOR JOSE PORFIRIO</v>
      </c>
    </row>
    <row r="131">
      <c r="A131" s="7" t="str">
        <f>IFERROR(__xludf.DUMMYFUNCTION("""COMPUTED_VALUE"""),"SOURE")</f>
        <v>SOURE</v>
      </c>
    </row>
    <row r="132">
      <c r="A132" s="7" t="str">
        <f>IFERROR(__xludf.DUMMYFUNCTION("""COMPUTED_VALUE"""),"TAILANDIA")</f>
        <v>TAILANDIA</v>
      </c>
    </row>
    <row r="133">
      <c r="A133" s="7" t="str">
        <f>IFERROR(__xludf.DUMMYFUNCTION("""COMPUTED_VALUE"""),"TERRA ALTA")</f>
        <v>TERRA ALTA</v>
      </c>
    </row>
    <row r="134">
      <c r="A134" s="7" t="str">
        <f>IFERROR(__xludf.DUMMYFUNCTION("""COMPUTED_VALUE"""),"TERRA SANTA")</f>
        <v>TERRA SANTA</v>
      </c>
    </row>
    <row r="135">
      <c r="A135" s="7" t="str">
        <f>IFERROR(__xludf.DUMMYFUNCTION("""COMPUTED_VALUE"""),"TOME ACU")</f>
        <v>TOME ACU</v>
      </c>
    </row>
    <row r="136">
      <c r="A136" s="7" t="str">
        <f>IFERROR(__xludf.DUMMYFUNCTION("""COMPUTED_VALUE"""),"TRACUATEUA")</f>
        <v>TRACUATEUA</v>
      </c>
    </row>
    <row r="137">
      <c r="A137" s="7" t="str">
        <f>IFERROR(__xludf.DUMMYFUNCTION("""COMPUTED_VALUE"""),"TRAIRAO")</f>
        <v>TRAIRAO</v>
      </c>
    </row>
    <row r="138">
      <c r="A138" s="7" t="str">
        <f>IFERROR(__xludf.DUMMYFUNCTION("""COMPUTED_VALUE"""),"TUCUMA")</f>
        <v>TUCUMA</v>
      </c>
    </row>
    <row r="139">
      <c r="A139" s="7" t="str">
        <f>IFERROR(__xludf.DUMMYFUNCTION("""COMPUTED_VALUE"""),"TUCURUI")</f>
        <v>TUCURUI</v>
      </c>
    </row>
    <row r="140">
      <c r="A140" s="7" t="str">
        <f>IFERROR(__xludf.DUMMYFUNCTION("""COMPUTED_VALUE"""),"ULIANOPOLIS")</f>
        <v>ULIANOPOLIS</v>
      </c>
    </row>
    <row r="141">
      <c r="A141" s="7" t="str">
        <f>IFERROR(__xludf.DUMMYFUNCTION("""COMPUTED_VALUE"""),"URUARA")</f>
        <v>URUARA</v>
      </c>
    </row>
    <row r="142">
      <c r="A142" s="7" t="str">
        <f>IFERROR(__xludf.DUMMYFUNCTION("""COMPUTED_VALUE"""),"VIGIA")</f>
        <v>VIGIA</v>
      </c>
    </row>
    <row r="143">
      <c r="A143" s="7" t="str">
        <f>IFERROR(__xludf.DUMMYFUNCTION("""COMPUTED_VALUE"""),"VISEU")</f>
        <v>VISEU</v>
      </c>
    </row>
    <row r="144">
      <c r="A144" s="7" t="str">
        <f>IFERROR(__xludf.DUMMYFUNCTION("""COMPUTED_VALUE"""),"VITORIA DO XINGU")</f>
        <v>VITORIA DO XINGU</v>
      </c>
    </row>
    <row r="145">
      <c r="A145" s="7" t="str">
        <f>IFERROR(__xludf.DUMMYFUNCTION("""COMPUTED_VALUE"""),"XINGUARA")</f>
        <v>XINGUARA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74.13"/>
    <col customWidth="1" min="11" max="11" width="37.38"/>
  </cols>
  <sheetData>
    <row r="1">
      <c r="A1" s="1" t="str">
        <f>IFERROR(__xludf.DUMMYFUNCTION("IMPORTRANGE(""https://docs.google.com/spreadsheets/d/1fiSxYvppz5DsfdaqAWe6egd1vzr2a7h0sdUdR2hpq6w/edit?usp=sharing"",""Cliente!B:M"")"),"Sigla")</f>
        <v>Sigla</v>
      </c>
      <c r="B1" s="1" t="str">
        <f>IFERROR(__xludf.DUMMYFUNCTION("""COMPUTED_VALUE"""),"Instituição")</f>
        <v>Instituição</v>
      </c>
      <c r="C1" s="3" t="str">
        <f>IFERROR(__xludf.DUMMYFUNCTION("""COMPUTED_VALUE"""),"Esfera")</f>
        <v>Esfera</v>
      </c>
      <c r="D1" s="1" t="str">
        <f>IFERROR(__xludf.DUMMYFUNCTION("""COMPUTED_VALUE"""),"CNPJ")</f>
        <v>CNPJ</v>
      </c>
      <c r="E1" s="1" t="str">
        <f>IFERROR(__xludf.DUMMYFUNCTION("""COMPUTED_VALUE"""),"Representante")</f>
        <v>Representante</v>
      </c>
      <c r="F1" s="3" t="str">
        <f>IFERROR(__xludf.DUMMYFUNCTION("""COMPUTED_VALUE"""),"Cargo do representante")</f>
        <v>Cargo do representante</v>
      </c>
      <c r="G1" s="3" t="str">
        <f>IFERROR(__xludf.DUMMYFUNCTION("""COMPUTED_VALUE"""),"Telefone-Sede")</f>
        <v>Telefone-Sede</v>
      </c>
      <c r="H1" s="1" t="str">
        <f>IFERROR(__xludf.DUMMYFUNCTION("""COMPUTED_VALUE"""),"Endereço - Sede")</f>
        <v>Endereço - Sede</v>
      </c>
      <c r="I1" s="1" t="str">
        <f>IFERROR(__xludf.DUMMYFUNCTION("""COMPUTED_VALUE"""),"Bairro")</f>
        <v>Bairro</v>
      </c>
      <c r="J1" s="1" t="str">
        <f>IFERROR(__xludf.DUMMYFUNCTION("""COMPUTED_VALUE"""),"CEP")</f>
        <v>CEP</v>
      </c>
      <c r="K1" s="1" t="str">
        <f>IFERROR(__xludf.DUMMYFUNCTION("""COMPUTED_VALUE"""),"Município")</f>
        <v>Município</v>
      </c>
      <c r="L1" s="1" t="str">
        <f>IFERROR(__xludf.DUMMYFUNCTION("""COMPUTED_VALUE"""),"UF")</f>
        <v>UF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tr">
        <f>IFERROR(__xludf.DUMMYFUNCTION("""COMPUTED_VALUE"""),"ADEPARÁ")</f>
        <v>ADEPARÁ</v>
      </c>
      <c r="B2" s="7" t="str">
        <f>IFERROR(__xludf.DUMMYFUNCTION("""COMPUTED_VALUE"""),"Agência de Defesa Agropecuária do Estado do Pará")</f>
        <v>Agência de Defesa Agropecuária do Estado do Pará</v>
      </c>
      <c r="C2" s="7" t="str">
        <f>IFERROR(__xludf.DUMMYFUNCTION("""COMPUTED_VALUE"""),"Estadual")</f>
        <v>Estadual</v>
      </c>
      <c r="D2" s="7" t="str">
        <f>IFERROR(__xludf.DUMMYFUNCTION("""COMPUTED_VALUE"""),"05.470.347/0001-11")</f>
        <v>05.470.347/0001-11</v>
      </c>
      <c r="E2" s="7" t="str">
        <f>IFERROR(__xludf.DUMMYFUNCTION("""COMPUTED_VALUE"""),"Jamir Junior Paraguasú Macedo")</f>
        <v>Jamir Junior Paraguasú Macedo</v>
      </c>
      <c r="F2" s="7" t="str">
        <f>IFERROR(__xludf.DUMMYFUNCTION("""COMPUTED_VALUE"""),"Diretor Geral")</f>
        <v>Diretor Geral</v>
      </c>
      <c r="G2" s="7" t="str">
        <f>IFERROR(__xludf.DUMMYFUNCTION("""COMPUTED_VALUE"""),"(91) 3210-1104 / 3210- 1100")</f>
        <v>(91) 3210-1104 / 3210- 1100</v>
      </c>
      <c r="H2" s="7" t="str">
        <f>IFERROR(__xludf.DUMMYFUNCTION("""COMPUTED_VALUE"""),"Tv. da Estrella, 1184")</f>
        <v>Tv. da Estrella, 1184</v>
      </c>
      <c r="I2" s="7" t="str">
        <f>IFERROR(__xludf.DUMMYFUNCTION("""COMPUTED_VALUE"""),"Pedreira")</f>
        <v>Pedreira</v>
      </c>
      <c r="J2" s="7" t="str">
        <f>IFERROR(__xludf.DUMMYFUNCTION("""COMPUTED_VALUE"""),"66080-008")</f>
        <v>66080-008</v>
      </c>
      <c r="K2" s="7" t="str">
        <f>IFERROR(__xludf.DUMMYFUNCTION("""COMPUTED_VALUE"""),"Belém")</f>
        <v>Belém</v>
      </c>
      <c r="L2" s="7" t="str">
        <f>IFERROR(__xludf.DUMMYFUNCTION("""COMPUTED_VALUE"""),"PA")</f>
        <v>PA</v>
      </c>
    </row>
    <row r="3">
      <c r="A3" s="7" t="str">
        <f>IFERROR(__xludf.DUMMYFUNCTION("""COMPUTED_VALUE"""),"ARCON")</f>
        <v>ARCON</v>
      </c>
      <c r="B3" s="7" t="str">
        <f>IFERROR(__xludf.DUMMYFUNCTION("""COMPUTED_VALUE"""),"Agência de Regulação e Controle de Serviços Públicos")</f>
        <v>Agência de Regulação e Controle de Serviços Públicos</v>
      </c>
      <c r="C3" s="7" t="str">
        <f>IFERROR(__xludf.DUMMYFUNCTION("""COMPUTED_VALUE"""),"Estadual")</f>
        <v>Estadual</v>
      </c>
      <c r="D3" s="7" t="str">
        <f>IFERROR(__xludf.DUMMYFUNCTION("""COMPUTED_VALUE"""),"02.598.119/0001-33")</f>
        <v>02.598.119/0001-33</v>
      </c>
      <c r="E3" s="7" t="str">
        <f>IFERROR(__xludf.DUMMYFUNCTION("""COMPUTED_VALUE"""),"Fabrício Rodrigues Costa")</f>
        <v>Fabrício Rodrigues Costa</v>
      </c>
      <c r="F3" s="7" t="str">
        <f>IFERROR(__xludf.DUMMYFUNCTION("""COMPUTED_VALUE"""),"Diretor Geral")</f>
        <v>Diretor Geral</v>
      </c>
      <c r="G3" s="7" t="str">
        <f>IFERROR(__xludf.DUMMYFUNCTION("""COMPUTED_VALUE"""),"(91) 3321- 9680 / 9675")</f>
        <v>(91) 3321- 9680 / 9675</v>
      </c>
      <c r="H3" s="7" t="str">
        <f>IFERROR(__xludf.DUMMYFUNCTION("""COMPUTED_VALUE"""),"Rua dos Pariquis, 1905")</f>
        <v>Rua dos Pariquis, 1905</v>
      </c>
      <c r="I3" s="7" t="str">
        <f>IFERROR(__xludf.DUMMYFUNCTION("""COMPUTED_VALUE"""),"Batista Campos")</f>
        <v>Batista Campos</v>
      </c>
      <c r="J3" s="7" t="str">
        <f>IFERROR(__xludf.DUMMYFUNCTION("""COMPUTED_VALUE"""),"66035-370")</f>
        <v>66035-370</v>
      </c>
      <c r="K3" s="7" t="str">
        <f>IFERROR(__xludf.DUMMYFUNCTION("""COMPUTED_VALUE"""),"Belém")</f>
        <v>Belém</v>
      </c>
      <c r="L3" s="7" t="str">
        <f>IFERROR(__xludf.DUMMYFUNCTION("""COMPUTED_VALUE"""),"PA")</f>
        <v>PA</v>
      </c>
    </row>
    <row r="4">
      <c r="A4" s="7" t="str">
        <f>IFERROR(__xludf.DUMMYFUNCTION("""COMPUTED_VALUE"""),"ARTRAN")</f>
        <v>ARTRAN</v>
      </c>
      <c r="B4" s="7" t="str">
        <f>IFERROR(__xludf.DUMMYFUNCTION("""COMPUTED_VALUE"""),"Agência de Regulação e Controle dos Serviços Públicos de Transporte do Estado do Pará")</f>
        <v>Agência de Regulação e Controle dos Serviços Públicos de Transporte do Estado do Pará</v>
      </c>
      <c r="C4" s="7" t="str">
        <f>IFERROR(__xludf.DUMMYFUNCTION("""COMPUTED_VALUE"""),"Estadual")</f>
        <v>Estadual</v>
      </c>
      <c r="D4" s="7" t="str">
        <f>IFERROR(__xludf.DUMMYFUNCTION("""COMPUTED_VALUE"""),"53.538.860/0001-40")</f>
        <v>53.538.860/0001-40</v>
      </c>
      <c r="E4" s="7" t="str">
        <f>IFERROR(__xludf.DUMMYFUNCTION("""COMPUTED_VALUE"""),"Eduardo de Castro Ribeiro Junior")</f>
        <v>Eduardo de Castro Ribeiro Junior</v>
      </c>
      <c r="F4" s="7" t="str">
        <f>IFERROR(__xludf.DUMMYFUNCTION("""COMPUTED_VALUE"""),"Diretor Geral")</f>
        <v>Diretor Geral</v>
      </c>
      <c r="G4" s="7" t="str">
        <f>IFERROR(__xludf.DUMMYFUNCTION("""COMPUTED_VALUE"""),"(91) 98418-5906")</f>
        <v>(91) 98418-5906</v>
      </c>
      <c r="H4" s="7" t="str">
        <f>IFERROR(__xludf.DUMMYFUNCTION("""COMPUTED_VALUE"""),"Rua dos Pariquis, 190")</f>
        <v>Rua dos Pariquis, 190</v>
      </c>
      <c r="I4" s="7" t="str">
        <f>IFERROR(__xludf.DUMMYFUNCTION("""COMPUTED_VALUE"""),"Batista Campos")</f>
        <v>Batista Campos</v>
      </c>
      <c r="J4" s="7" t="str">
        <f>IFERROR(__xludf.DUMMYFUNCTION("""COMPUTED_VALUE"""),"66033-11")</f>
        <v>66033-11</v>
      </c>
      <c r="K4" s="7" t="str">
        <f>IFERROR(__xludf.DUMMYFUNCTION("""COMPUTED_VALUE"""),"Belém")</f>
        <v>Belém</v>
      </c>
      <c r="L4" s="7" t="str">
        <f>IFERROR(__xludf.DUMMYFUNCTION("""COMPUTED_VALUE"""),"PA")</f>
        <v>PA</v>
      </c>
    </row>
    <row r="5">
      <c r="A5" s="7" t="str">
        <f>IFERROR(__xludf.DUMMYFUNCTION("""COMPUTED_VALUE"""),"BANPARÁ")</f>
        <v>BANPARÁ</v>
      </c>
      <c r="B5" s="7" t="str">
        <f>IFERROR(__xludf.DUMMYFUNCTION("""COMPUTED_VALUE"""),"Banco do Estado do Pará")</f>
        <v>Banco do Estado do Pará</v>
      </c>
      <c r="C5" s="7" t="str">
        <f>IFERROR(__xludf.DUMMYFUNCTION("""COMPUTED_VALUE"""),"Estadual")</f>
        <v>Estadual</v>
      </c>
      <c r="D5" s="7" t="str">
        <f>IFERROR(__xludf.DUMMYFUNCTION("""COMPUTED_VALUE"""),"04.913.711/0001-08")</f>
        <v>04.913.711/0001-08</v>
      </c>
      <c r="E5" s="7" t="str">
        <f>IFERROR(__xludf.DUMMYFUNCTION("""COMPUTED_VALUE"""),"Ruth Pimentel Mello")</f>
        <v>Ruth Pimentel Mello</v>
      </c>
      <c r="F5" s="7" t="str">
        <f>IFERROR(__xludf.DUMMYFUNCTION("""COMPUTED_VALUE"""),"Presidente")</f>
        <v>Presidente</v>
      </c>
      <c r="G5" s="7"/>
      <c r="H5" s="7" t="str">
        <f>IFERROR(__xludf.DUMMYFUNCTION("""COMPUTED_VALUE"""),"Av. Presidente Vargas, 251")</f>
        <v>Av. Presidente Vargas, 251</v>
      </c>
      <c r="I5" s="7" t="str">
        <f>IFERROR(__xludf.DUMMYFUNCTION("""COMPUTED_VALUE"""),"Campina")</f>
        <v>Campina</v>
      </c>
      <c r="J5" s="7" t="str">
        <f>IFERROR(__xludf.DUMMYFUNCTION("""COMPUTED_VALUE"""),"66.010-000")</f>
        <v>66.010-000</v>
      </c>
      <c r="K5" s="7" t="str">
        <f>IFERROR(__xludf.DUMMYFUNCTION("""COMPUTED_VALUE"""),"Belém")</f>
        <v>Belém</v>
      </c>
      <c r="L5" s="7" t="str">
        <f>IFERROR(__xludf.DUMMYFUNCTION("""COMPUTED_VALUE"""),"PA")</f>
        <v>PA</v>
      </c>
    </row>
    <row r="6">
      <c r="A6" s="7" t="str">
        <f>IFERROR(__xludf.DUMMYFUNCTION("""COMPUTED_VALUE"""),"CM Belém")</f>
        <v>CM Belém</v>
      </c>
      <c r="B6" s="7" t="str">
        <f>IFERROR(__xludf.DUMMYFUNCTION("""COMPUTED_VALUE"""),"Câmara  Municipal de Belém")</f>
        <v>Câmara  Municipal de Belém</v>
      </c>
      <c r="C6" s="7" t="str">
        <f>IFERROR(__xludf.DUMMYFUNCTION("""COMPUTED_VALUE"""),"Municipal")</f>
        <v>Municipal</v>
      </c>
      <c r="D6" s="7" t="str">
        <f>IFERROR(__xludf.DUMMYFUNCTION("""COMPUTED_VALUE"""),"14.068.357/0001-16")</f>
        <v>14.068.357/0001-16</v>
      </c>
      <c r="E6" s="7"/>
      <c r="F6" s="7"/>
      <c r="G6" s="7" t="str">
        <f>IFERROR(__xludf.DUMMYFUNCTION("""COMPUTED_VALUE"""),"(91)  4008-2254 ")</f>
        <v>(91)  4008-2254 </v>
      </c>
      <c r="H6" s="7"/>
      <c r="I6" s="7"/>
      <c r="J6" s="7"/>
      <c r="K6" s="7" t="str">
        <f>IFERROR(__xludf.DUMMYFUNCTION("""COMPUTED_VALUE"""),"Belém")</f>
        <v>Belém</v>
      </c>
      <c r="L6" s="7" t="str">
        <f>IFERROR(__xludf.DUMMYFUNCTION("""COMPUTED_VALUE"""),"PA")</f>
        <v>PA</v>
      </c>
    </row>
    <row r="7">
      <c r="A7" s="7" t="str">
        <f>IFERROR(__xludf.DUMMYFUNCTION("""COMPUTED_VALUE"""),"CM Anapú")</f>
        <v>CM Anapú</v>
      </c>
      <c r="B7" s="7" t="str">
        <f>IFERROR(__xludf.DUMMYFUNCTION("""COMPUTED_VALUE"""),"Câmara Municipal de Anapú")</f>
        <v>Câmara Municipal de Anapú</v>
      </c>
      <c r="C7" s="7" t="str">
        <f>IFERROR(__xludf.DUMMYFUNCTION("""COMPUTED_VALUE"""),"Municipal")</f>
        <v>Municipal</v>
      </c>
      <c r="D7" s="7" t="str">
        <f>IFERROR(__xludf.DUMMYFUNCTION("""COMPUTED_VALUE"""),"01.681.776/0001-87")</f>
        <v>01.681.776/0001-87</v>
      </c>
      <c r="E7" s="7"/>
      <c r="F7" s="7"/>
      <c r="G7" s="7" t="str">
        <f>IFERROR(__xludf.DUMMYFUNCTION("""COMPUTED_VALUE"""),"(91) 2222-3333")</f>
        <v>(91) 2222-3333</v>
      </c>
      <c r="H7" s="7" t="str">
        <f>IFERROR(__xludf.DUMMYFUNCTION("""COMPUTED_VALUE"""),"Rua Santa Luzia, nº 102")</f>
        <v>Rua Santa Luzia, nº 102</v>
      </c>
      <c r="I7" s="7"/>
      <c r="J7" s="7"/>
      <c r="K7" s="7" t="str">
        <f>IFERROR(__xludf.DUMMYFUNCTION("""COMPUTED_VALUE"""),"Anapú")</f>
        <v>Anapú</v>
      </c>
      <c r="L7" s="7" t="str">
        <f>IFERROR(__xludf.DUMMYFUNCTION("""COMPUTED_VALUE"""),"PA")</f>
        <v>PA</v>
      </c>
    </row>
    <row r="8">
      <c r="A8" s="7" t="str">
        <f>IFERROR(__xludf.DUMMYFUNCTION("""COMPUTED_VALUE"""),"CM Barcarena")</f>
        <v>CM Barcarena</v>
      </c>
      <c r="B8" s="7" t="str">
        <f>IFERROR(__xludf.DUMMYFUNCTION("""COMPUTED_VALUE"""),"Câmara Municipal de Barcarena")</f>
        <v>Câmara Municipal de Barcarena</v>
      </c>
      <c r="C8" s="7" t="str">
        <f>IFERROR(__xludf.DUMMYFUNCTION("""COMPUTED_VALUE"""),"Municipal")</f>
        <v>Municipal</v>
      </c>
      <c r="D8" s="7" t="str">
        <f>IFERROR(__xludf.DUMMYFUNCTION("""COMPUTED_VALUE"""),"22.943.229/0001-00")</f>
        <v>22.943.229/0001-00</v>
      </c>
      <c r="E8" s="7"/>
      <c r="F8" s="7"/>
      <c r="G8" s="7" t="str">
        <f>IFERROR(__xludf.DUMMYFUNCTION("""COMPUTED_VALUE""")," (91) 9 8228-3317 ")</f>
        <v> (91) 9 8228-3317 </v>
      </c>
      <c r="H8" s="7"/>
      <c r="I8" s="7"/>
      <c r="J8" s="7"/>
      <c r="K8" s="7" t="str">
        <f>IFERROR(__xludf.DUMMYFUNCTION("""COMPUTED_VALUE"""),"Barcarena")</f>
        <v>Barcarena</v>
      </c>
      <c r="L8" s="7" t="str">
        <f>IFERROR(__xludf.DUMMYFUNCTION("""COMPUTED_VALUE"""),"PA")</f>
        <v>PA</v>
      </c>
    </row>
    <row r="9">
      <c r="A9" s="7" t="str">
        <f>IFERROR(__xludf.DUMMYFUNCTION("""COMPUTED_VALUE"""),"CM Cachoeira do Piriá")</f>
        <v>CM Cachoeira do Piriá</v>
      </c>
      <c r="B9" s="7" t="str">
        <f>IFERROR(__xludf.DUMMYFUNCTION("""COMPUTED_VALUE"""),"Câmara Municipal de Cachoeira do Piriá")</f>
        <v>Câmara Municipal de Cachoeira do Piriá</v>
      </c>
      <c r="C9" s="7" t="str">
        <f>IFERROR(__xludf.DUMMYFUNCTION("""COMPUTED_VALUE"""),"Municipal")</f>
        <v>Municipal</v>
      </c>
      <c r="D9" s="7" t="str">
        <f>IFERROR(__xludf.DUMMYFUNCTION("""COMPUTED_VALUE"""),"01.612.359/0001-82")</f>
        <v>01.612.359/0001-82</v>
      </c>
      <c r="E9" s="7"/>
      <c r="F9" s="7"/>
      <c r="G9" s="7" t="str">
        <f>IFERROR(__xludf.DUMMYFUNCTION("""COMPUTED_VALUE"""),"(91) 9 8596-1331 ")</f>
        <v>(91) 9 8596-1331 </v>
      </c>
      <c r="H9" s="7"/>
      <c r="I9" s="7"/>
      <c r="J9" s="7"/>
      <c r="K9" s="7" t="str">
        <f>IFERROR(__xludf.DUMMYFUNCTION("""COMPUTED_VALUE"""),"Cachoeira do Piriá")</f>
        <v>Cachoeira do Piriá</v>
      </c>
      <c r="L9" s="7" t="str">
        <f>IFERROR(__xludf.DUMMYFUNCTION("""COMPUTED_VALUE"""),"PA")</f>
        <v>PA</v>
      </c>
    </row>
    <row r="10">
      <c r="A10" s="7" t="str">
        <f>IFERROR(__xludf.DUMMYFUNCTION("""COMPUTED_VALUE"""),"CM Castanhal")</f>
        <v>CM Castanhal</v>
      </c>
      <c r="B10" s="7" t="str">
        <f>IFERROR(__xludf.DUMMYFUNCTION("""COMPUTED_VALUE"""),"Câmara Municipal de Castanhal")</f>
        <v>Câmara Municipal de Castanhal</v>
      </c>
      <c r="C10" s="7" t="str">
        <f>IFERROR(__xludf.DUMMYFUNCTION("""COMPUTED_VALUE"""),"Municipal")</f>
        <v>Municipal</v>
      </c>
      <c r="D10" s="7" t="str">
        <f>IFERROR(__xludf.DUMMYFUNCTION("""COMPUTED_VALUE"""),"05.111.372/0001-09")</f>
        <v>05.111.372/0001-09</v>
      </c>
      <c r="E10" s="7"/>
      <c r="F10" s="7"/>
      <c r="G10" s="7" t="str">
        <f>IFERROR(__xludf.DUMMYFUNCTION("""COMPUTED_VALUE"""),"(91) 9 8715-4796 ")</f>
        <v>(91) 9 8715-4796 </v>
      </c>
      <c r="H10" s="7"/>
      <c r="I10" s="7"/>
      <c r="J10" s="7"/>
      <c r="K10" s="7" t="str">
        <f>IFERROR(__xludf.DUMMYFUNCTION("""COMPUTED_VALUE"""),"Castanhal")</f>
        <v>Castanhal</v>
      </c>
      <c r="L10" s="7" t="str">
        <f>IFERROR(__xludf.DUMMYFUNCTION("""COMPUTED_VALUE"""),"PA")</f>
        <v>PA</v>
      </c>
    </row>
    <row r="11">
      <c r="A11" s="7" t="str">
        <f>IFERROR(__xludf.DUMMYFUNCTION("""COMPUTED_VALUE"""),"CM Concórdia do Pará")</f>
        <v>CM Concórdia do Pará</v>
      </c>
      <c r="B11" s="7" t="str">
        <f>IFERROR(__xludf.DUMMYFUNCTION("""COMPUTED_VALUE"""),"Câmara Municipal de Concórdia do Pará")</f>
        <v>Câmara Municipal de Concórdia do Pará</v>
      </c>
      <c r="C11" s="7" t="str">
        <f>IFERROR(__xludf.DUMMYFUNCTION("""COMPUTED_VALUE"""),"Municipal")</f>
        <v>Municipal</v>
      </c>
      <c r="D11" s="7" t="str">
        <f>IFERROR(__xludf.DUMMYFUNCTION("""COMPUTED_VALUE"""),"14.145.817/0001-62")</f>
        <v>14.145.817/0001-62</v>
      </c>
      <c r="E11" s="7"/>
      <c r="F11" s="7"/>
      <c r="G11" s="7" t="str">
        <f>IFERROR(__xludf.DUMMYFUNCTION("""COMPUTED_VALUE"""),"(91)  9 8643-101")</f>
        <v>(91)  9 8643-101</v>
      </c>
      <c r="H11" s="7"/>
      <c r="I11" s="7"/>
      <c r="J11" s="7"/>
      <c r="K11" s="7" t="str">
        <f>IFERROR(__xludf.DUMMYFUNCTION("""COMPUTED_VALUE"""),"Concórdia do Pará")</f>
        <v>Concórdia do Pará</v>
      </c>
      <c r="L11" s="7" t="str">
        <f>IFERROR(__xludf.DUMMYFUNCTION("""COMPUTED_VALUE"""),"PA")</f>
        <v>PA</v>
      </c>
    </row>
    <row r="12">
      <c r="A12" s="7" t="str">
        <f>IFERROR(__xludf.DUMMYFUNCTION("""COMPUTED_VALUE"""),"CM Itaituba")</f>
        <v>CM Itaituba</v>
      </c>
      <c r="B12" s="7" t="str">
        <f>IFERROR(__xludf.DUMMYFUNCTION("""COMPUTED_VALUE"""),"Câmara Municipal de Itaituba")</f>
        <v>Câmara Municipal de Itaituba</v>
      </c>
      <c r="C12" s="7" t="str">
        <f>IFERROR(__xludf.DUMMYFUNCTION("""COMPUTED_VALUE"""),"Municipal")</f>
        <v>Municipal</v>
      </c>
      <c r="D12" s="7" t="str">
        <f>IFERROR(__xludf.DUMMYFUNCTION("""COMPUTED_VALUE"""),"10.221.281/0001-66")</f>
        <v>10.221.281/0001-66</v>
      </c>
      <c r="E12" s="7"/>
      <c r="F12" s="7"/>
      <c r="G12" s="7" t="str">
        <f>IFERROR(__xludf.DUMMYFUNCTION("""COMPUTED_VALUE"""),"(93) 9 9184-0402 ")</f>
        <v>(93) 9 9184-0402 </v>
      </c>
      <c r="H12" s="7"/>
      <c r="I12" s="7"/>
      <c r="J12" s="7"/>
      <c r="K12" s="7" t="str">
        <f>IFERROR(__xludf.DUMMYFUNCTION("""COMPUTED_VALUE"""),"Itaituba")</f>
        <v>Itaituba</v>
      </c>
      <c r="L12" s="7" t="str">
        <f>IFERROR(__xludf.DUMMYFUNCTION("""COMPUTED_VALUE"""),"PA")</f>
        <v>PA</v>
      </c>
    </row>
    <row r="13">
      <c r="A13" s="7" t="str">
        <f>IFERROR(__xludf.DUMMYFUNCTION("""COMPUTED_VALUE"""),"CM Marituba")</f>
        <v>CM Marituba</v>
      </c>
      <c r="B13" s="7" t="str">
        <f>IFERROR(__xludf.DUMMYFUNCTION("""COMPUTED_VALUE"""),"Câmara Municipal de Marituba")</f>
        <v>Câmara Municipal de Marituba</v>
      </c>
      <c r="C13" s="7" t="str">
        <f>IFERROR(__xludf.DUMMYFUNCTION("""COMPUTED_VALUE"""),"Municipal")</f>
        <v>Municipal</v>
      </c>
      <c r="D13" s="7" t="str">
        <f>IFERROR(__xludf.DUMMYFUNCTION("""COMPUTED_VALUE"""),"01.615.610/0001-62")</f>
        <v>01.615.610/0001-62</v>
      </c>
      <c r="E13" s="7"/>
      <c r="F13" s="7"/>
      <c r="G13" s="7" t="str">
        <f>IFERROR(__xludf.DUMMYFUNCTION("""COMPUTED_VALUE""")," (91) 3256- 5667 ")</f>
        <v> (91) 3256- 5667 </v>
      </c>
      <c r="H13" s="7"/>
      <c r="I13" s="7"/>
      <c r="J13" s="7"/>
      <c r="K13" s="7" t="str">
        <f>IFERROR(__xludf.DUMMYFUNCTION("""COMPUTED_VALUE"""),"Marituba")</f>
        <v>Marituba</v>
      </c>
      <c r="L13" s="7" t="str">
        <f>IFERROR(__xludf.DUMMYFUNCTION("""COMPUTED_VALUE"""),"PA")</f>
        <v>PA</v>
      </c>
    </row>
    <row r="14">
      <c r="A14" s="7" t="str">
        <f>IFERROR(__xludf.DUMMYFUNCTION("""COMPUTED_VALUE"""),"CM Óbidos")</f>
        <v>CM Óbidos</v>
      </c>
      <c r="B14" s="7" t="str">
        <f>IFERROR(__xludf.DUMMYFUNCTION("""COMPUTED_VALUE"""),"Câmara Municipal de Óbidos")</f>
        <v>Câmara Municipal de Óbidos</v>
      </c>
      <c r="C14" s="7" t="str">
        <f>IFERROR(__xludf.DUMMYFUNCTION("""COMPUTED_VALUE"""),"Municipal")</f>
        <v>Municipal</v>
      </c>
      <c r="D14" s="7" t="str">
        <f>IFERROR(__xludf.DUMMYFUNCTION("""COMPUTED_VALUE"""),"05.131.180/0001-64")</f>
        <v>05.131.180/0001-64</v>
      </c>
      <c r="E14" s="7"/>
      <c r="F14" s="7"/>
      <c r="G14" s="7" t="str">
        <f>IFERROR(__xludf.DUMMYFUNCTION("""COMPUTED_VALUE""")," (93) 9 9152-6161 ")</f>
        <v> (93) 9 9152-6161 </v>
      </c>
      <c r="H14" s="7"/>
      <c r="I14" s="7"/>
      <c r="J14" s="7"/>
      <c r="K14" s="7" t="str">
        <f>IFERROR(__xludf.DUMMYFUNCTION("""COMPUTED_VALUE"""),"Óbidos")</f>
        <v>Óbidos</v>
      </c>
      <c r="L14" s="7" t="str">
        <f>IFERROR(__xludf.DUMMYFUNCTION("""COMPUTED_VALUE"""),"PA")</f>
        <v>PA</v>
      </c>
    </row>
    <row r="15">
      <c r="A15" s="7" t="str">
        <f>IFERROR(__xludf.DUMMYFUNCTION("""COMPUTED_VALUE"""),"CM Oriximiná")</f>
        <v>CM Oriximiná</v>
      </c>
      <c r="B15" s="7" t="str">
        <f>IFERROR(__xludf.DUMMYFUNCTION("""COMPUTED_VALUE"""),"Câmara Municipal de Oriximiná")</f>
        <v>Câmara Municipal de Oriximiná</v>
      </c>
      <c r="C15" s="7" t="str">
        <f>IFERROR(__xludf.DUMMYFUNCTION("""COMPUTED_VALUE"""),"Municipal")</f>
        <v>Municipal</v>
      </c>
      <c r="D15" s="7" t="str">
        <f>IFERROR(__xludf.DUMMYFUNCTION("""COMPUTED_VALUE"""),"04.546.941/0001-86")</f>
        <v>04.546.941/0001-86</v>
      </c>
      <c r="E15" s="7"/>
      <c r="F15" s="7"/>
      <c r="G15" s="7" t="str">
        <f>IFERROR(__xludf.DUMMYFUNCTION("""COMPUTED_VALUE"""),"(93) 9 9134-5575 ")</f>
        <v>(93) 9 9134-5575 </v>
      </c>
      <c r="H15" s="7"/>
      <c r="I15" s="7"/>
      <c r="J15" s="7"/>
      <c r="K15" s="7" t="str">
        <f>IFERROR(__xludf.DUMMYFUNCTION("""COMPUTED_VALUE"""),"Oriximiná")</f>
        <v>Oriximiná</v>
      </c>
      <c r="L15" s="7" t="str">
        <f>IFERROR(__xludf.DUMMYFUNCTION("""COMPUTED_VALUE"""),"PA")</f>
        <v>PA</v>
      </c>
    </row>
    <row r="16">
      <c r="A16" s="7" t="str">
        <f>IFERROR(__xludf.DUMMYFUNCTION("""COMPUTED_VALUE"""),"CM Prainha")</f>
        <v>CM Prainha</v>
      </c>
      <c r="B16" s="7" t="str">
        <f>IFERROR(__xludf.DUMMYFUNCTION("""COMPUTED_VALUE"""),"Câmara Municipal de Prainha")</f>
        <v>Câmara Municipal de Prainha</v>
      </c>
      <c r="C16" s="7" t="str">
        <f>IFERROR(__xludf.DUMMYFUNCTION("""COMPUTED_VALUE"""),"Municipal")</f>
        <v>Municipal</v>
      </c>
      <c r="D16" s="7" t="str">
        <f>IFERROR(__xludf.DUMMYFUNCTION("""COMPUTED_VALUE"""),"10.220.671/0001-11")</f>
        <v>10.220.671/0001-11</v>
      </c>
      <c r="E16" s="7"/>
      <c r="F16" s="7"/>
      <c r="G16" s="7" t="str">
        <f>IFERROR(__xludf.DUMMYFUNCTION("""COMPUTED_VALUE"""),"(93) 9 8411-3416 ")</f>
        <v>(93) 9 8411-3416 </v>
      </c>
      <c r="H16" s="7"/>
      <c r="I16" s="7"/>
      <c r="J16" s="7"/>
      <c r="K16" s="7" t="str">
        <f>IFERROR(__xludf.DUMMYFUNCTION("""COMPUTED_VALUE"""),"Prainha")</f>
        <v>Prainha</v>
      </c>
      <c r="L16" s="7" t="str">
        <f>IFERROR(__xludf.DUMMYFUNCTION("""COMPUTED_VALUE"""),"PA")</f>
        <v>PA</v>
      </c>
    </row>
    <row r="17">
      <c r="A17" s="7" t="str">
        <f>IFERROR(__xludf.DUMMYFUNCTION("""COMPUTED_VALUE"""),"CM Santana do Araguaia")</f>
        <v>CM Santana do Araguaia</v>
      </c>
      <c r="B17" s="7" t="str">
        <f>IFERROR(__xludf.DUMMYFUNCTION("""COMPUTED_VALUE"""),"Câmara Municipal de Santana do Araguaia")</f>
        <v>Câmara Municipal de Santana do Araguaia</v>
      </c>
      <c r="C17" s="7" t="str">
        <f>IFERROR(__xludf.DUMMYFUNCTION("""COMPUTED_VALUE"""),"Municipal")</f>
        <v>Municipal</v>
      </c>
      <c r="D17" s="7"/>
      <c r="E17" s="7"/>
      <c r="F17" s="7"/>
      <c r="G17" s="7"/>
      <c r="H17" s="7"/>
      <c r="I17" s="7"/>
      <c r="J17" s="7"/>
      <c r="K17" s="7" t="str">
        <f>IFERROR(__xludf.DUMMYFUNCTION("""COMPUTED_VALUE"""),"Santana do Araguaia")</f>
        <v>Santana do Araguaia</v>
      </c>
      <c r="L17" s="7" t="str">
        <f>IFERROR(__xludf.DUMMYFUNCTION("""COMPUTED_VALUE"""),"PA")</f>
        <v>PA</v>
      </c>
    </row>
    <row r="18">
      <c r="A18" s="7" t="str">
        <f>IFERROR(__xludf.DUMMYFUNCTION("""COMPUTED_VALUE"""),"CM Tucumã")</f>
        <v>CM Tucumã</v>
      </c>
      <c r="B18" s="7" t="str">
        <f>IFERROR(__xludf.DUMMYFUNCTION("""COMPUTED_VALUE"""),"Câmara Municipal de Tucumã")</f>
        <v>Câmara Municipal de Tucumã</v>
      </c>
      <c r="C18" s="7" t="str">
        <f>IFERROR(__xludf.DUMMYFUNCTION("""COMPUTED_VALUE"""),"Municipal")</f>
        <v>Municipal</v>
      </c>
      <c r="D18" s="7" t="str">
        <f>IFERROR(__xludf.DUMMYFUNCTION("""COMPUTED_VALUE"""),"22.981.088/0001-02")</f>
        <v>22.981.088/0001-02</v>
      </c>
      <c r="E18" s="7"/>
      <c r="F18" s="7"/>
      <c r="G18" s="7"/>
      <c r="H18" s="7"/>
      <c r="I18" s="7"/>
      <c r="J18" s="7"/>
      <c r="K18" s="7" t="str">
        <f>IFERROR(__xludf.DUMMYFUNCTION("""COMPUTED_VALUE"""),"Tucumã")</f>
        <v>Tucumã</v>
      </c>
      <c r="L18" s="7" t="str">
        <f>IFERROR(__xludf.DUMMYFUNCTION("""COMPUTED_VALUE"""),"PA")</f>
        <v>PA</v>
      </c>
    </row>
    <row r="19">
      <c r="A19" s="7" t="str">
        <f>IFERROR(__xludf.DUMMYFUNCTION("""COMPUTED_VALUE"""),"CCG")</f>
        <v>CCG</v>
      </c>
      <c r="B19" s="7" t="str">
        <f>IFERROR(__xludf.DUMMYFUNCTION("""COMPUTED_VALUE"""),"Casa Civil da Governadoria do Estado")</f>
        <v>Casa Civil da Governadoria do Estado</v>
      </c>
      <c r="C19" s="7" t="str">
        <f>IFERROR(__xludf.DUMMYFUNCTION("""COMPUTED_VALUE"""),"Estadual")</f>
        <v>Estadual</v>
      </c>
      <c r="D19" s="7" t="str">
        <f>IFERROR(__xludf.DUMMYFUNCTION("""COMPUTED_VALUE"""),"07.730.458/0001-45")</f>
        <v>07.730.458/0001-45</v>
      </c>
      <c r="E19" s="7" t="str">
        <f>IFERROR(__xludf.DUMMYFUNCTION("""COMPUTED_VALUE"""),"Luiziel Henderson Guedes de Oliveira")</f>
        <v>Luiziel Henderson Guedes de Oliveira</v>
      </c>
      <c r="F19" s="7" t="str">
        <f>IFERROR(__xludf.DUMMYFUNCTION("""COMPUTED_VALUE"""),"Chefe")</f>
        <v>Chefe</v>
      </c>
      <c r="G19" s="7" t="str">
        <f>IFERROR(__xludf.DUMMYFUNCTION("""COMPUTED_VALUE"""),"(91) 3216 -8831")</f>
        <v>(91) 3216 -8831</v>
      </c>
      <c r="H19" s="7" t="str">
        <f>IFERROR(__xludf.DUMMYFUNCTION("""COMPUTED_VALUE"""),"Av. Dr. Freitas, 2.531.")</f>
        <v>Av. Dr. Freitas, 2.531.</v>
      </c>
      <c r="I19" s="7" t="str">
        <f>IFERROR(__xludf.DUMMYFUNCTION("""COMPUTED_VALUE"""),"Marco")</f>
        <v>Marco</v>
      </c>
      <c r="J19" s="7" t="str">
        <f>IFERROR(__xludf.DUMMYFUNCTION("""COMPUTED_VALUE"""),"66087-812")</f>
        <v>66087-812</v>
      </c>
      <c r="K19" s="7" t="str">
        <f>IFERROR(__xludf.DUMMYFUNCTION("""COMPUTED_VALUE"""),"Belém")</f>
        <v>Belém</v>
      </c>
      <c r="L19" s="7" t="str">
        <f>IFERROR(__xludf.DUMMYFUNCTION("""COMPUTED_VALUE"""),"PA")</f>
        <v>PA</v>
      </c>
    </row>
    <row r="20">
      <c r="A20" s="7" t="str">
        <f>IFERROR(__xludf.DUMMYFUNCTION("""COMPUTED_VALUE"""),"CMG")</f>
        <v>CMG</v>
      </c>
      <c r="B20" s="7" t="str">
        <f>IFERROR(__xludf.DUMMYFUNCTION("""COMPUTED_VALUE"""),"Casa MIlitar da Governadoria do Estado")</f>
        <v>Casa MIlitar da Governadoria do Estado</v>
      </c>
      <c r="C20" s="7" t="str">
        <f>IFERROR(__xludf.DUMMYFUNCTION("""COMPUTED_VALUE"""),"Estadual")</f>
        <v>Estadual</v>
      </c>
      <c r="D20" s="7" t="str">
        <f>IFERROR(__xludf.DUMMYFUNCTION("""COMPUTED_VALUE"""),"07.313.542/0001-63")</f>
        <v>07.313.542/0001-63</v>
      </c>
      <c r="E20" s="7" t="str">
        <f>IFERROR(__xludf.DUMMYFUNCTION("""COMPUTED_VALUE"""),"Cel. PM. Osmar Vieira da Costa Júnior")</f>
        <v>Cel. PM. Osmar Vieira da Costa Júnior</v>
      </c>
      <c r="F20" s="7" t="str">
        <f>IFERROR(__xludf.DUMMYFUNCTION("""COMPUTED_VALUE"""),"Chefe")</f>
        <v>Chefe</v>
      </c>
      <c r="G20" s="7" t="str">
        <f>IFERROR(__xludf.DUMMYFUNCTION("""COMPUTED_VALUE"""),"(91) 3321-9700")</f>
        <v>(91) 3321-9700</v>
      </c>
      <c r="H20" s="7" t="str">
        <f>IFERROR(__xludf.DUMMYFUNCTION("""COMPUTED_VALUE"""),"Av. Almirante Barroso esquina com, Av. Dr. Freitas")</f>
        <v>Av. Almirante Barroso esquina com, Av. Dr. Freitas</v>
      </c>
      <c r="I20" s="7" t="str">
        <f>IFERROR(__xludf.DUMMYFUNCTION("""COMPUTED_VALUE"""),"Marco")</f>
        <v>Marco</v>
      </c>
      <c r="J20" s="7" t="str">
        <f>IFERROR(__xludf.DUMMYFUNCTION("""COMPUTED_VALUE"""),"66087-812")</f>
        <v>66087-812</v>
      </c>
      <c r="K20" s="7" t="str">
        <f>IFERROR(__xludf.DUMMYFUNCTION("""COMPUTED_VALUE"""),"Belém")</f>
        <v>Belém</v>
      </c>
      <c r="L20" s="7" t="str">
        <f>IFERROR(__xludf.DUMMYFUNCTION("""COMPUTED_VALUE"""),"PA")</f>
        <v>PA</v>
      </c>
    </row>
    <row r="21">
      <c r="A21" s="7" t="str">
        <f>IFERROR(__xludf.DUMMYFUNCTION("""COMPUTED_VALUE"""),"CEASA")</f>
        <v>CEASA</v>
      </c>
      <c r="B21" s="7" t="str">
        <f>IFERROR(__xludf.DUMMYFUNCTION("""COMPUTED_VALUE"""),"Centrais de Abastecimento do Pará S/A")</f>
        <v>Centrais de Abastecimento do Pará S/A</v>
      </c>
      <c r="C21" s="7" t="str">
        <f>IFERROR(__xludf.DUMMYFUNCTION("""COMPUTED_VALUE"""),"Estadual")</f>
        <v>Estadual</v>
      </c>
      <c r="D21" s="7" t="str">
        <f>IFERROR(__xludf.DUMMYFUNCTION("""COMPUTED_VALUE"""),"04.819.728/0001-09")</f>
        <v>04.819.728/0001-09</v>
      </c>
      <c r="E21" s="7" t="str">
        <f>IFERROR(__xludf.DUMMYFUNCTION("""COMPUTED_VALUE"""),"Raimundo José Pinheiro dos Santos Júnior")</f>
        <v>Raimundo José Pinheiro dos Santos Júnior</v>
      </c>
      <c r="F21" s="7" t="str">
        <f>IFERROR(__xludf.DUMMYFUNCTION("""COMPUTED_VALUE"""),"Presidente")</f>
        <v>Presidente</v>
      </c>
      <c r="G21" s="7"/>
      <c r="H21" s="7"/>
      <c r="I21" s="7"/>
      <c r="J21" s="7"/>
      <c r="K21" s="7"/>
      <c r="L21" s="7" t="str">
        <f>IFERROR(__xludf.DUMMYFUNCTION("""COMPUTED_VALUE"""),"PA")</f>
        <v>PA</v>
      </c>
    </row>
    <row r="22">
      <c r="A22" s="7" t="str">
        <f>IFERROR(__xludf.DUMMYFUNCTION("""COMPUTED_VALUE"""),"COHAB")</f>
        <v>COHAB</v>
      </c>
      <c r="B22" s="7" t="str">
        <f>IFERROR(__xludf.DUMMYFUNCTION("""COMPUTED_VALUE"""),"Comnhia de Habitação do Estado do Pará")</f>
        <v>Comnhia de Habitação do Estado do Pará</v>
      </c>
      <c r="C22" s="7" t="str">
        <f>IFERROR(__xludf.DUMMYFUNCTION("""COMPUTED_VALUE"""),"Estadual")</f>
        <v>Estadual</v>
      </c>
      <c r="D22" s="7" t="str">
        <f>IFERROR(__xludf.DUMMYFUNCTION("""COMPUTED_VALUE"""),"04.887.055/0001-16")</f>
        <v>04.887.055/0001-16</v>
      </c>
      <c r="E22" s="7" t="str">
        <f>IFERROR(__xludf.DUMMYFUNCTION("""COMPUTED_VALUE"""),"Manoel Carlos Antunes")</f>
        <v>Manoel Carlos Antunes</v>
      </c>
      <c r="F22" s="7" t="str">
        <f>IFERROR(__xludf.DUMMYFUNCTION("""COMPUTED_VALUE"""),"Presidente")</f>
        <v>Presidente</v>
      </c>
      <c r="G22" s="7"/>
      <c r="H22" s="7"/>
      <c r="I22" s="7"/>
      <c r="J22" s="7"/>
      <c r="K22" s="7"/>
      <c r="L22" s="7" t="str">
        <f>IFERROR(__xludf.DUMMYFUNCTION("""COMPUTED_VALUE"""),"PA")</f>
        <v>PA</v>
      </c>
    </row>
    <row r="23">
      <c r="A23" s="7" t="str">
        <f>IFERROR(__xludf.DUMMYFUNCTION("""COMPUTED_VALUE"""),"CODEC")</f>
        <v>CODEC</v>
      </c>
      <c r="B23" s="7" t="str">
        <f>IFERROR(__xludf.DUMMYFUNCTION("""COMPUTED_VALUE"""),"Companhia de Desenvolvimento Econômico do Pará")</f>
        <v>Companhia de Desenvolvimento Econômico do Pará</v>
      </c>
      <c r="C23" s="7" t="str">
        <f>IFERROR(__xludf.DUMMYFUNCTION("""COMPUTED_VALUE"""),"Estadual")</f>
        <v>Estadual</v>
      </c>
      <c r="D23" s="7" t="str">
        <f>IFERROR(__xludf.DUMMYFUNCTION("""COMPUTED_VALUE"""),"05.416.839/0001-29")</f>
        <v>05.416.839/0001-29</v>
      </c>
      <c r="E23" s="7" t="str">
        <f>IFERROR(__xludf.DUMMYFUNCTION("""COMPUTED_VALUE"""),"Lutfala de Castro Bitar")</f>
        <v>Lutfala de Castro Bitar</v>
      </c>
      <c r="F23" s="7" t="str">
        <f>IFERROR(__xludf.DUMMYFUNCTION("""COMPUTED_VALUE"""),"Presidente")</f>
        <v>Presidente</v>
      </c>
      <c r="G23" s="7"/>
      <c r="H23" s="7"/>
      <c r="I23" s="7"/>
      <c r="J23" s="7"/>
      <c r="K23" s="7"/>
      <c r="L23" s="7" t="str">
        <f>IFERROR(__xludf.DUMMYFUNCTION("""COMPUTED_VALUE"""),"PA")</f>
        <v>PA</v>
      </c>
    </row>
    <row r="24">
      <c r="A24" s="7" t="str">
        <f>IFERROR(__xludf.DUMMYFUNCTION("""COMPUTED_VALUE"""),"GASPARÁ")</f>
        <v>GASPARÁ</v>
      </c>
      <c r="B24" s="7" t="str">
        <f>IFERROR(__xludf.DUMMYFUNCTION("""COMPUTED_VALUE"""),"Companhia de Gás do Pará")</f>
        <v>Companhia de Gás do Pará</v>
      </c>
      <c r="C24" s="7" t="str">
        <f>IFERROR(__xludf.DUMMYFUNCTION("""COMPUTED_VALUE"""),"Estadual")</f>
        <v>Estadual</v>
      </c>
      <c r="D24" s="7" t="str">
        <f>IFERROR(__xludf.DUMMYFUNCTION("""COMPUTED_VALUE"""),"08.454.441/0001-75")</f>
        <v>08.454.441/0001-75</v>
      </c>
      <c r="E24" s="7" t="str">
        <f>IFERROR(__xludf.DUMMYFUNCTION("""COMPUTED_VALUE"""),"Fernando de Souza Flexa Ribeiro")</f>
        <v>Fernando de Souza Flexa Ribeiro</v>
      </c>
      <c r="F24" s="7" t="str">
        <f>IFERROR(__xludf.DUMMYFUNCTION("""COMPUTED_VALUE"""),"Presidente")</f>
        <v>Presidente</v>
      </c>
      <c r="G24" s="7"/>
      <c r="H24" s="7" t="str">
        <f>IFERROR(__xludf.DUMMYFUNCTION("""COMPUTED_VALUE"""),"Ed. Quadra Corporate - Av. Visc. de Souza Franco, 05")</f>
        <v>Ed. Quadra Corporate - Av. Visc. de Souza Franco, 05</v>
      </c>
      <c r="I24" s="7" t="str">
        <f>IFERROR(__xludf.DUMMYFUNCTION("""COMPUTED_VALUE"""),"Umarizal")</f>
        <v>Umarizal</v>
      </c>
      <c r="J24" s="7" t="str">
        <f>IFERROR(__xludf.DUMMYFUNCTION("""COMPUTED_VALUE"""),"66055-005")</f>
        <v>66055-005</v>
      </c>
      <c r="K24" s="7"/>
      <c r="L24" s="7" t="str">
        <f>IFERROR(__xludf.DUMMYFUNCTION("""COMPUTED_VALUE"""),"PA")</f>
        <v>PA</v>
      </c>
    </row>
    <row r="25">
      <c r="A25" s="7" t="str">
        <f>IFERROR(__xludf.DUMMYFUNCTION("""COMPUTED_VALUE"""),"CINBESA")</f>
        <v>CINBESA</v>
      </c>
      <c r="B25" s="7" t="str">
        <f>IFERROR(__xludf.DUMMYFUNCTION("""COMPUTED_VALUE"""),"Companhia de Informática de Belém")</f>
        <v>Companhia de Informática de Belém</v>
      </c>
      <c r="C25" s="7" t="str">
        <f>IFERROR(__xludf.DUMMYFUNCTION("""COMPUTED_VALUE"""),"Estadual")</f>
        <v>Estadual</v>
      </c>
      <c r="D25" s="16" t="str">
        <f>IFERROR(__xludf.DUMMYFUNCTION("""COMPUTED_VALUE"""),"04.850.095/0001-93")</f>
        <v>04.850.095/0001-93</v>
      </c>
      <c r="E25" s="7" t="str">
        <f>IFERROR(__xludf.DUMMYFUNCTION("""COMPUTED_VALUE"""),"Gustavo Bezerra da Costa")</f>
        <v>Gustavo Bezerra da Costa</v>
      </c>
      <c r="F25" s="7" t="str">
        <f>IFERROR(__xludf.DUMMYFUNCTION("""COMPUTED_VALUE"""),"Diretor Presidente")</f>
        <v>Diretor Presidente</v>
      </c>
      <c r="G25" s="7" t="str">
        <f>IFERROR(__xludf.DUMMYFUNCTION("""COMPUTED_VALUE"""),"(91) 3251-4476")</f>
        <v>(91) 3251-4476</v>
      </c>
      <c r="H25" s="7" t="str">
        <f>IFERROR(__xludf.DUMMYFUNCTION("""COMPUTED_VALUE"""),"Tv. Quintino Bocaiúva, 1503")</f>
        <v>Tv. Quintino Bocaiúva, 1503</v>
      </c>
      <c r="I25" s="7" t="str">
        <f>IFERROR(__xludf.DUMMYFUNCTION("""COMPUTED_VALUE"""),"Nazaré")</f>
        <v>Nazaré</v>
      </c>
      <c r="J25" s="7" t="str">
        <f>IFERROR(__xludf.DUMMYFUNCTION("""COMPUTED_VALUE"""),"66035-190")</f>
        <v>66035-190</v>
      </c>
      <c r="K25" s="7" t="str">
        <f>IFERROR(__xludf.DUMMYFUNCTION("""COMPUTED_VALUE"""),"Belém")</f>
        <v>Belém</v>
      </c>
      <c r="L25" s="7" t="str">
        <f>IFERROR(__xludf.DUMMYFUNCTION("""COMPUTED_VALUE"""),"PA")</f>
        <v>PA</v>
      </c>
    </row>
    <row r="26">
      <c r="A26" s="7" t="str">
        <f>IFERROR(__xludf.DUMMYFUNCTION("""COMPUTED_VALUE"""),"CPH")</f>
        <v>CPH</v>
      </c>
      <c r="B26" s="7" t="str">
        <f>IFERROR(__xludf.DUMMYFUNCTION("""COMPUTED_VALUE"""),"Companhia de Portos e hidrovias do Estado do Pará")</f>
        <v>Companhia de Portos e hidrovias do Estado do Pará</v>
      </c>
      <c r="C26" s="7" t="str">
        <f>IFERROR(__xludf.DUMMYFUNCTION("""COMPUTED_VALUE"""),"Estadual")</f>
        <v>Estadual</v>
      </c>
      <c r="D26" s="7" t="str">
        <f>IFERROR(__xludf.DUMMYFUNCTION("""COMPUTED_VALUE"""),"05.452.160/0001-95")</f>
        <v>05.452.160/0001-95</v>
      </c>
      <c r="E26" s="7" t="str">
        <f>IFERROR(__xludf.DUMMYFUNCTION("""COMPUTED_VALUE"""),"Josenir Gonçalves Nascimento")</f>
        <v>Josenir Gonçalves Nascimento</v>
      </c>
      <c r="F26" s="7" t="str">
        <f>IFERROR(__xludf.DUMMYFUNCTION("""COMPUTED_VALUE"""),"Presidente")</f>
        <v>Presidente</v>
      </c>
      <c r="G26" s="7" t="str">
        <f>IFERROR(__xludf.DUMMYFUNCTION("""COMPUTED_VALUE"""),"(91) 3221-4102 / 4100 / 4103")</f>
        <v>(91) 3221-4102 / 4100 / 4103</v>
      </c>
      <c r="H26" s="7" t="str">
        <f>IFERROR(__xludf.DUMMYFUNCTION("""COMPUTED_VALUE"""),"Av. Generalíssimo Deodoro 367")</f>
        <v>Av. Generalíssimo Deodoro 367</v>
      </c>
      <c r="I26" s="7"/>
      <c r="J26" s="7" t="str">
        <f>IFERROR(__xludf.DUMMYFUNCTION("""COMPUTED_VALUE"""),"66050-160")</f>
        <v>66050-160</v>
      </c>
      <c r="K26" s="7" t="str">
        <f>IFERROR(__xludf.DUMMYFUNCTION("""COMPUTED_VALUE"""),"Belém")</f>
        <v>Belém</v>
      </c>
      <c r="L26" s="7" t="str">
        <f>IFERROR(__xludf.DUMMYFUNCTION("""COMPUTED_VALUE"""),"PA")</f>
        <v>PA</v>
      </c>
    </row>
    <row r="27">
      <c r="A27" s="7" t="str">
        <f>IFERROR(__xludf.DUMMYFUNCTION("""COMPUTED_VALUE"""),"COSANPA")</f>
        <v>COSANPA</v>
      </c>
      <c r="B27" s="7" t="str">
        <f>IFERROR(__xludf.DUMMYFUNCTION("""COMPUTED_VALUE"""),"Companhia de Saneamento do Pará")</f>
        <v>Companhia de Saneamento do Pará</v>
      </c>
      <c r="C27" s="7" t="str">
        <f>IFERROR(__xludf.DUMMYFUNCTION("""COMPUTED_VALUE"""),"Estadual")</f>
        <v>Estadual</v>
      </c>
      <c r="D27" s="7" t="str">
        <f>IFERROR(__xludf.DUMMYFUNCTION("""COMPUTED_VALUE"""),"04.945.341/0001-90")</f>
        <v>04.945.341/0001-90</v>
      </c>
      <c r="E27" s="7" t="str">
        <f>IFERROR(__xludf.DUMMYFUNCTION("""COMPUTED_VALUE"""),"José Fernando de Mendonça Gomes Junior")</f>
        <v>José Fernando de Mendonça Gomes Junior</v>
      </c>
      <c r="F27" s="7" t="str">
        <f>IFERROR(__xludf.DUMMYFUNCTION("""COMPUTED_VALUE"""),"Presidente")</f>
        <v>Presidente</v>
      </c>
      <c r="G27" s="7" t="str">
        <f>IFERROR(__xludf.DUMMYFUNCTION("""COMPUTED_VALUE"""),"55(91) 3202-8534 / 8539")</f>
        <v>55(91) 3202-8534 / 8539</v>
      </c>
      <c r="H27" s="7" t="str">
        <f>IFERROR(__xludf.DUMMYFUNCTION("""COMPUTED_VALUE"""),"Av. Magalhães Barata, 1201")</f>
        <v>Av. Magalhães Barata, 1201</v>
      </c>
      <c r="I27" s="7" t="str">
        <f>IFERROR(__xludf.DUMMYFUNCTION("""COMPUTED_VALUE"""),"São Brás")</f>
        <v>São Brás</v>
      </c>
      <c r="J27" s="7"/>
      <c r="K27" s="7" t="str">
        <f>IFERROR(__xludf.DUMMYFUNCTION("""COMPUTED_VALUE"""),"Belém")</f>
        <v>Belém</v>
      </c>
      <c r="L27" s="7" t="str">
        <f>IFERROR(__xludf.DUMMYFUNCTION("""COMPUTED_VALUE"""),"PA")</f>
        <v>PA</v>
      </c>
    </row>
    <row r="28">
      <c r="A28" s="7" t="str">
        <f>IFERROR(__xludf.DUMMYFUNCTION("""COMPUTED_VALUE"""),"CGE")</f>
        <v>CGE</v>
      </c>
      <c r="B28" s="7" t="str">
        <f>IFERROR(__xludf.DUMMYFUNCTION("""COMPUTED_VALUE"""),"Controladoria Geral do Estado do Pará")</f>
        <v>Controladoria Geral do Estado do Pará</v>
      </c>
      <c r="C28" s="7" t="str">
        <f>IFERROR(__xludf.DUMMYFUNCTION("""COMPUTED_VALUE"""),"Estadual")</f>
        <v>Estadual</v>
      </c>
      <c r="D28" s="7" t="str">
        <f>IFERROR(__xludf.DUMMYFUNCTION("""COMPUTED_VALUE"""),"03.269.619/0001-94")</f>
        <v>03.269.619/0001-94</v>
      </c>
      <c r="E28" s="7" t="str">
        <f>IFERROR(__xludf.DUMMYFUNCTION("""COMPUTED_VALUE"""),"Marcos André Mendes Azevedo Cantuária Nobre")</f>
        <v>Marcos André Mendes Azevedo Cantuária Nobre</v>
      </c>
      <c r="F28" s="7" t="str">
        <f>IFERROR(__xludf.DUMMYFUNCTION("""COMPUTED_VALUE"""),"Controlador Geral")</f>
        <v>Controlador Geral</v>
      </c>
      <c r="G28" s="7" t="str">
        <f>IFERROR(__xludf.DUMMYFUNCTION("""COMPUTED_VALUE"""),"(91) 3239-6450 / 6477")</f>
        <v>(91) 3239-6450 / 6477</v>
      </c>
      <c r="H28" s="7" t="str">
        <f>IFERROR(__xludf.DUMMYFUNCTION("""COMPUTED_VALUE"""),"Rua Municipalidade, 1655")</f>
        <v>Rua Municipalidade, 1655</v>
      </c>
      <c r="I28" s="7" t="str">
        <f>IFERROR(__xludf.DUMMYFUNCTION("""COMPUTED_VALUE"""),"Umarizal")</f>
        <v>Umarizal</v>
      </c>
      <c r="J28" s="7" t="str">
        <f>IFERROR(__xludf.DUMMYFUNCTION("""COMPUTED_VALUE"""),"66050-350")</f>
        <v>66050-350</v>
      </c>
      <c r="K28" s="7" t="str">
        <f>IFERROR(__xludf.DUMMYFUNCTION("""COMPUTED_VALUE"""),"Belém")</f>
        <v>Belém</v>
      </c>
      <c r="L28" s="7" t="str">
        <f>IFERROR(__xludf.DUMMYFUNCTION("""COMPUTED_VALUE"""),"PA")</f>
        <v>PA</v>
      </c>
    </row>
    <row r="29">
      <c r="A29" s="7" t="str">
        <f>IFERROR(__xludf.DUMMYFUNCTION("""COMPUTED_VALUE"""),"CBM")</f>
        <v>CBM</v>
      </c>
      <c r="B29" s="7" t="str">
        <f>IFERROR(__xludf.DUMMYFUNCTION("""COMPUTED_VALUE"""),"Corpos de Bombeiros Militares")</f>
        <v>Corpos de Bombeiros Militares</v>
      </c>
      <c r="C29" s="7" t="str">
        <f>IFERROR(__xludf.DUMMYFUNCTION("""COMPUTED_VALUE"""),"Estadual")</f>
        <v>Estadual</v>
      </c>
      <c r="D29" s="7" t="str">
        <f>IFERROR(__xludf.DUMMYFUNCTION("""COMPUTED_VALUE"""),"34.847.236/0001-80")</f>
        <v>34.847.236/0001-80</v>
      </c>
      <c r="E29" s="7" t="str">
        <f>IFERROR(__xludf.DUMMYFUNCTION("""COMPUTED_VALUE"""),"Col. QOBM Jayme de Aviz Benjó")</f>
        <v>Col. QOBM Jayme de Aviz Benjó</v>
      </c>
      <c r="F29" s="7" t="str">
        <f>IFERROR(__xludf.DUMMYFUNCTION("""COMPUTED_VALUE"""),"comandante Geral")</f>
        <v>comandante Geral</v>
      </c>
      <c r="G29" s="7" t="str">
        <f>IFERROR(__xludf.DUMMYFUNCTION("""COMPUTED_VALUE"""),"(91) 4006-8399")</f>
        <v>(91) 4006-8399</v>
      </c>
      <c r="H29" s="7" t="str">
        <f>IFERROR(__xludf.DUMMYFUNCTION("""COMPUTED_VALUE"""),"Avenida Júlio César, 3000")</f>
        <v>Avenida Júlio César, 3000</v>
      </c>
      <c r="I29" s="7" t="str">
        <f>IFERROR(__xludf.DUMMYFUNCTION("""COMPUTED_VALUE"""),"Val-de-cans")</f>
        <v>Val-de-cans</v>
      </c>
      <c r="J29" s="7" t="str">
        <f>IFERROR(__xludf.DUMMYFUNCTION("""COMPUTED_VALUE"""),"68447-000")</f>
        <v>68447-000</v>
      </c>
      <c r="K29" s="7" t="str">
        <f>IFERROR(__xludf.DUMMYFUNCTION("""COMPUTED_VALUE"""),"Belém")</f>
        <v>Belém</v>
      </c>
      <c r="L29" s="7" t="str">
        <f>IFERROR(__xludf.DUMMYFUNCTION("""COMPUTED_VALUE"""),"PA")</f>
        <v>PA</v>
      </c>
    </row>
    <row r="30">
      <c r="A30" s="7" t="str">
        <f>IFERROR(__xludf.DUMMYFUNCTION("""COMPUTED_VALUE"""),"DEFPUB")</f>
        <v>DEFPUB</v>
      </c>
      <c r="B30" s="7" t="str">
        <f>IFERROR(__xludf.DUMMYFUNCTION("""COMPUTED_VALUE"""),"Defensoria Pública do Estado do Pará")</f>
        <v>Defensoria Pública do Estado do Pará</v>
      </c>
      <c r="C30" s="7" t="str">
        <f>IFERROR(__xludf.DUMMYFUNCTION("""COMPUTED_VALUE"""),"Estadual")</f>
        <v>Estadual</v>
      </c>
      <c r="D30" s="7" t="str">
        <f>IFERROR(__xludf.DUMMYFUNCTION("""COMPUTED_VALUE"""),"34.639.526/0001-38")</f>
        <v>34.639.526/0001-38</v>
      </c>
      <c r="E30" s="7" t="str">
        <f>IFERROR(__xludf.DUMMYFUNCTION("""COMPUTED_VALUE"""),"Mônica Palheta Furtado")</f>
        <v>Mônica Palheta Furtado</v>
      </c>
      <c r="F30" s="7" t="str">
        <f>IFERROR(__xludf.DUMMYFUNCTION("""COMPUTED_VALUE"""),"Defensora Pública")</f>
        <v>Defensora Pública</v>
      </c>
      <c r="G30" s="7"/>
      <c r="H30" s="7" t="str">
        <f>IFERROR(__xludf.DUMMYFUNCTION("""COMPUTED_VALUE"""),"Rua Padre Prudêncio, n° 154")</f>
        <v>Rua Padre Prudêncio, n° 154</v>
      </c>
      <c r="I30" s="7" t="str">
        <f>IFERROR(__xludf.DUMMYFUNCTION("""COMPUTED_VALUE"""),"Campina")</f>
        <v>Campina</v>
      </c>
      <c r="J30" s="7" t="str">
        <f>IFERROR(__xludf.DUMMYFUNCTION("""COMPUTED_VALUE"""),"66019-080")</f>
        <v>66019-080</v>
      </c>
      <c r="K30" s="7" t="str">
        <f>IFERROR(__xludf.DUMMYFUNCTION("""COMPUTED_VALUE"""),"Belém")</f>
        <v>Belém</v>
      </c>
      <c r="L30" s="7" t="str">
        <f>IFERROR(__xludf.DUMMYFUNCTION("""COMPUTED_VALUE"""),"PA")</f>
        <v>PA</v>
      </c>
    </row>
    <row r="31">
      <c r="A31" s="7" t="str">
        <f>IFERROR(__xludf.DUMMYFUNCTION("""COMPUTED_VALUE"""),"DETRAN")</f>
        <v>DETRAN</v>
      </c>
      <c r="B31" s="7" t="str">
        <f>IFERROR(__xludf.DUMMYFUNCTION("""COMPUTED_VALUE"""),"Departamento de Transito do Estado do Pará")</f>
        <v>Departamento de Transito do Estado do Pará</v>
      </c>
      <c r="C31" s="7" t="str">
        <f>IFERROR(__xludf.DUMMYFUNCTION("""COMPUTED_VALUE"""),"Estadual")</f>
        <v>Estadual</v>
      </c>
      <c r="D31" s="7" t="str">
        <f>IFERROR(__xludf.DUMMYFUNCTION("""COMPUTED_VALUE"""),"04.822.060/0001-40")</f>
        <v>04.822.060/0001-40</v>
      </c>
      <c r="E31" s="7" t="str">
        <f>IFERROR(__xludf.DUMMYFUNCTION("""COMPUTED_VALUE"""),"Renata Mirella Freitas Guimaarães de Sousa Coelho")</f>
        <v>Renata Mirella Freitas Guimaarães de Sousa Coelho</v>
      </c>
      <c r="F31" s="7" t="str">
        <f>IFERROR(__xludf.DUMMYFUNCTION("""COMPUTED_VALUE"""),"Diretora")</f>
        <v>Diretora</v>
      </c>
      <c r="G31" s="7" t="str">
        <f>IFERROR(__xludf.DUMMYFUNCTION("""COMPUTED_VALUE"""),"(91) 3214-6235")</f>
        <v>(91) 3214-6235</v>
      </c>
      <c r="H31" s="7" t="str">
        <f>IFERROR(__xludf.DUMMYFUNCTION("""COMPUTED_VALUE"""),"Rod. Augusto Montenegro, S/N")</f>
        <v>Rod. Augusto Montenegro, S/N</v>
      </c>
      <c r="I31" s="7" t="str">
        <f>IFERROR(__xludf.DUMMYFUNCTION("""COMPUTED_VALUE"""),"Mangueirão")</f>
        <v>Mangueirão</v>
      </c>
      <c r="J31" s="7" t="str">
        <f>IFERROR(__xludf.DUMMYFUNCTION("""COMPUTED_VALUE"""),"66640-000")</f>
        <v>66640-000</v>
      </c>
      <c r="K31" s="7" t="str">
        <f>IFERROR(__xludf.DUMMYFUNCTION("""COMPUTED_VALUE"""),"Belém")</f>
        <v>Belém</v>
      </c>
      <c r="L31" s="7" t="str">
        <f>IFERROR(__xludf.DUMMYFUNCTION("""COMPUTED_VALUE"""),"PA")</f>
        <v>PA</v>
      </c>
    </row>
    <row r="32">
      <c r="A32" s="7" t="str">
        <f>IFERROR(__xludf.DUMMYFUNCTION("""COMPUTED_VALUE"""),"EMATER")</f>
        <v>EMATER</v>
      </c>
      <c r="B32" s="7" t="str">
        <f>IFERROR(__xludf.DUMMYFUNCTION("""COMPUTED_VALUE"""),"Empresa de Assistência Técnica e Extensão Rural")</f>
        <v>Empresa de Assistência Técnica e Extensão Rural</v>
      </c>
      <c r="C32" s="7" t="str">
        <f>IFERROR(__xludf.DUMMYFUNCTION("""COMPUTED_VALUE"""),"Estadual")</f>
        <v>Estadual</v>
      </c>
      <c r="D32" s="7" t="str">
        <f>IFERROR(__xludf.DUMMYFUNCTION("""COMPUTED_VALUE"""),"05.402.797/0001-77")</f>
        <v>05.402.797/0001-77</v>
      </c>
      <c r="E32" s="7" t="str">
        <f>IFERROR(__xludf.DUMMYFUNCTION("""COMPUTED_VALUE"""),"Joniel VIeira de Abreu")</f>
        <v>Joniel VIeira de Abreu</v>
      </c>
      <c r="F32" s="7" t="str">
        <f>IFERROR(__xludf.DUMMYFUNCTION("""COMPUTED_VALUE"""),"presidente")</f>
        <v>presidente</v>
      </c>
      <c r="G32" s="7" t="str">
        <f>IFERROR(__xludf.DUMMYFUNCTION("""COMPUTED_VALUE"""),"(91) 3299 - 3413 : (91) 98887-6155")</f>
        <v>(91) 3299 - 3413 : (91) 98887-6155</v>
      </c>
      <c r="H32" s="7" t="str">
        <f>IFERROR(__xludf.DUMMYFUNCTION("""COMPUTED_VALUE"""),"BR 316, KM 12")</f>
        <v>BR 316, KM 12</v>
      </c>
      <c r="I32" s="7" t="str">
        <f>IFERROR(__xludf.DUMMYFUNCTION("""COMPUTED_VALUE"""),"Bela Vista")</f>
        <v>Bela Vista</v>
      </c>
      <c r="J32" s="7"/>
      <c r="K32" s="7" t="str">
        <f>IFERROR(__xludf.DUMMYFUNCTION("""COMPUTED_VALUE"""),"Marituba")</f>
        <v>Marituba</v>
      </c>
      <c r="L32" s="7" t="str">
        <f>IFERROR(__xludf.DUMMYFUNCTION("""COMPUTED_VALUE"""),"PA")</f>
        <v>PA</v>
      </c>
    </row>
    <row r="33">
      <c r="A33" s="7" t="str">
        <f>IFERROR(__xludf.DUMMYFUNCTION("""COMPUTED_VALUE"""),"PRODEPA")</f>
        <v>PRODEPA</v>
      </c>
      <c r="B33" s="7" t="str">
        <f>IFERROR(__xludf.DUMMYFUNCTION("""COMPUTED_VALUE"""),"Empresa de Tecnologia da Informação e comunicação do Estado do Pará")</f>
        <v>Empresa de Tecnologia da Informação e comunicação do Estado do Pará</v>
      </c>
      <c r="C33" s="7" t="str">
        <f>IFERROR(__xludf.DUMMYFUNCTION("""COMPUTED_VALUE"""),"Estadual")</f>
        <v>Estadual</v>
      </c>
      <c r="D33" s="7" t="str">
        <f>IFERROR(__xludf.DUMMYFUNCTION("""COMPUTED_VALUE"""),"05.059.613/0001-18")</f>
        <v>05.059.613/0001-18</v>
      </c>
      <c r="E33" s="7" t="str">
        <f>IFERROR(__xludf.DUMMYFUNCTION("""COMPUTED_VALUE"""),"Carlos Edilson de Almeida Maneschy")</f>
        <v>Carlos Edilson de Almeida Maneschy</v>
      </c>
      <c r="F33" s="7" t="str">
        <f>IFERROR(__xludf.DUMMYFUNCTION("""COMPUTED_VALUE"""),"Presidente")</f>
        <v>Presidente</v>
      </c>
      <c r="G33" s="7" t="str">
        <f>IFERROR(__xludf.DUMMYFUNCTION("""COMPUTED_VALUE"""),"(91) 3251- 7502")</f>
        <v>(91) 3251- 7502</v>
      </c>
      <c r="H33" s="7" t="str">
        <f>IFERROR(__xludf.DUMMYFUNCTION("""COMPUTED_VALUE"""),"Rod. Augusto Montenegro - Centro")</f>
        <v>Rod. Augusto Montenegro - Centro</v>
      </c>
      <c r="I33" s="7" t="str">
        <f>IFERROR(__xludf.DUMMYFUNCTION("""COMPUTED_VALUE"""),"Tenoné")</f>
        <v>Tenoné</v>
      </c>
      <c r="J33" s="7" t="str">
        <f>IFERROR(__xludf.DUMMYFUNCTION("""COMPUTED_VALUE"""),"66820-000")</f>
        <v>66820-000</v>
      </c>
      <c r="K33" s="7" t="str">
        <f>IFERROR(__xludf.DUMMYFUNCTION("""COMPUTED_VALUE"""),"Belém")</f>
        <v>Belém</v>
      </c>
      <c r="L33" s="7" t="str">
        <f>IFERROR(__xludf.DUMMYFUNCTION("""COMPUTED_VALUE"""),"PA")</f>
        <v>PA</v>
      </c>
    </row>
    <row r="34">
      <c r="A34" s="7" t="str">
        <f>IFERROR(__xludf.DUMMYFUNCTION("""COMPUTED_VALUE"""),"EGPA")</f>
        <v>EGPA</v>
      </c>
      <c r="B34" s="7" t="str">
        <f>IFERROR(__xludf.DUMMYFUNCTION("""COMPUTED_VALUE"""),"Escola de Governança Pública do Estado do Pará")</f>
        <v>Escola de Governança Pública do Estado do Pará</v>
      </c>
      <c r="C34" s="7" t="str">
        <f>IFERROR(__xludf.DUMMYFUNCTION("""COMPUTED_VALUE"""),"Estadual")</f>
        <v>Estadual</v>
      </c>
      <c r="D34" s="7" t="str">
        <f>IFERROR(__xludf.DUMMYFUNCTION("""COMPUTED_VALUE"""),"05.914.738/0001-33")</f>
        <v>05.914.738/0001-33</v>
      </c>
      <c r="E34" s="7" t="str">
        <f>IFERROR(__xludf.DUMMYFUNCTION("""COMPUTED_VALUE"""),"Hélvio Moreira Arruda")</f>
        <v>Hélvio Moreira Arruda</v>
      </c>
      <c r="F34" s="7" t="str">
        <f>IFERROR(__xludf.DUMMYFUNCTION("""COMPUTED_VALUE"""),"Diretor")</f>
        <v>Diretor</v>
      </c>
      <c r="G34" s="7"/>
      <c r="H34" s="7" t="str">
        <f>IFERROR(__xludf.DUMMYFUNCTION("""COMPUTED_VALUE"""),"Av. Gov. José Malcher, 900")</f>
        <v>Av. Gov. José Malcher, 900</v>
      </c>
      <c r="I34" s="7"/>
      <c r="J34" s="7"/>
      <c r="K34" s="7"/>
      <c r="L34" s="7" t="str">
        <f>IFERROR(__xludf.DUMMYFUNCTION("""COMPUTED_VALUE"""),"PA")</f>
        <v>PA</v>
      </c>
    </row>
    <row r="35">
      <c r="A35" s="7" t="str">
        <f>IFERROR(__xludf.DUMMYFUNCTION("""COMPUTED_VALUE"""),"EGPA")</f>
        <v>EGPA</v>
      </c>
      <c r="B35" s="7" t="str">
        <f>IFERROR(__xludf.DUMMYFUNCTION("""COMPUTED_VALUE"""),"Escola de Governo do Estado do Pará")</f>
        <v>Escola de Governo do Estado do Pará</v>
      </c>
      <c r="C35" s="7" t="str">
        <f>IFERROR(__xludf.DUMMYFUNCTION("""COMPUTED_VALUE"""),"Estadual")</f>
        <v>Estadual</v>
      </c>
      <c r="D35" s="7"/>
      <c r="E35" s="7"/>
      <c r="F35" s="7"/>
      <c r="G35" s="7"/>
      <c r="H35" s="7"/>
      <c r="I35" s="7"/>
      <c r="J35" s="7"/>
      <c r="K35" s="7"/>
      <c r="L35" s="7" t="str">
        <f>IFERROR(__xludf.DUMMYFUNCTION("""COMPUTED_VALUE"""),"PA")</f>
        <v>PA</v>
      </c>
    </row>
    <row r="36">
      <c r="A36" s="7" t="str">
        <f>IFERROR(__xludf.DUMMYFUNCTION("""COMPUTED_VALUE"""),"FAPESPA")</f>
        <v>FAPESPA</v>
      </c>
      <c r="B36" s="7" t="str">
        <f>IFERROR(__xludf.DUMMYFUNCTION("""COMPUTED_VALUE"""),"Fundação Amazônia de Amparo a Estudos e Pesquisas")</f>
        <v>Fundação Amazônia de Amparo a Estudos e Pesquisas</v>
      </c>
      <c r="C36" s="7" t="str">
        <f>IFERROR(__xludf.DUMMYFUNCTION("""COMPUTED_VALUE"""),"Estadual")</f>
        <v>Estadual</v>
      </c>
      <c r="D36" s="7" t="str">
        <f>IFERROR(__xludf.DUMMYFUNCTION("""COMPUTED_VALUE"""),"09.025.418/0001-28")</f>
        <v>09.025.418/0001-28</v>
      </c>
      <c r="E36" s="7" t="str">
        <f>IFERROR(__xludf.DUMMYFUNCTION("""COMPUTED_VALUE"""),"Marcel do Nascimento Botelho")</f>
        <v>Marcel do Nascimento Botelho</v>
      </c>
      <c r="F36" s="7" t="str">
        <f>IFERROR(__xludf.DUMMYFUNCTION("""COMPUTED_VALUE"""),"Presidente")</f>
        <v>Presidente</v>
      </c>
      <c r="G36" s="7" t="str">
        <f>IFERROR(__xludf.DUMMYFUNCTION("""COMPUTED_VALUE"""),"(91) 3323- 2573 / 2574")</f>
        <v>(91) 3323- 2573 / 2574</v>
      </c>
      <c r="H36" s="7" t="str">
        <f>IFERROR(__xludf.DUMMYFUNCTION("""COMPUTED_VALUE"""),"Tv. Nove de Janeiro, 1686")</f>
        <v>Tv. Nove de Janeiro, 1686</v>
      </c>
      <c r="I36" s="7" t="str">
        <f>IFERROR(__xludf.DUMMYFUNCTION("""COMPUTED_VALUE"""),"Fátima")</f>
        <v>Fátima</v>
      </c>
      <c r="J36" s="7" t="str">
        <f>IFERROR(__xludf.DUMMYFUNCTION("""COMPUTED_VALUE"""),"66060-575")</f>
        <v>66060-575</v>
      </c>
      <c r="K36" s="7" t="str">
        <f>IFERROR(__xludf.DUMMYFUNCTION("""COMPUTED_VALUE"""),"Belém")</f>
        <v>Belém</v>
      </c>
      <c r="L36" s="7" t="str">
        <f>IFERROR(__xludf.DUMMYFUNCTION("""COMPUTED_VALUE"""),"PA")</f>
        <v>PA</v>
      </c>
    </row>
    <row r="37">
      <c r="A37" s="7" t="str">
        <f>IFERROR(__xludf.DUMMYFUNCTION("""COMPUTED_VALUE"""),"FCG")</f>
        <v>FCG</v>
      </c>
      <c r="B37" s="7" t="str">
        <f>IFERROR(__xludf.DUMMYFUNCTION("""COMPUTED_VALUE"""),"Fundação Carlos Gomes")</f>
        <v>Fundação Carlos Gomes</v>
      </c>
      <c r="C37" s="7" t="str">
        <f>IFERROR(__xludf.DUMMYFUNCTION("""COMPUTED_VALUE"""),"Estadual")</f>
        <v>Estadual</v>
      </c>
      <c r="D37" s="7" t="str">
        <f>IFERROR(__xludf.DUMMYFUNCTION("""COMPUTED_VALUE"""),"14.700.157/0001-34")</f>
        <v>14.700.157/0001-34</v>
      </c>
      <c r="E37" s="7" t="str">
        <f>IFERROR(__xludf.DUMMYFUNCTION("""COMPUTED_VALUE"""),"Gabriel Mariano de Aguiar Titan")</f>
        <v>Gabriel Mariano de Aguiar Titan</v>
      </c>
      <c r="F37" s="7" t="str">
        <f>IFERROR(__xludf.DUMMYFUNCTION("""COMPUTED_VALUE"""),"Superintendente")</f>
        <v>Superintendente</v>
      </c>
      <c r="G37" s="7"/>
      <c r="H37" s="7" t="str">
        <f>IFERROR(__xludf.DUMMYFUNCTION("""COMPUTED_VALUE"""),"Av. Gentil Bittencourt, nº 909")</f>
        <v>Av. Gentil Bittencourt, nº 909</v>
      </c>
      <c r="I37" s="7" t="str">
        <f>IFERROR(__xludf.DUMMYFUNCTION("""COMPUTED_VALUE"""),"Nazaré")</f>
        <v>Nazaré</v>
      </c>
      <c r="J37" s="7" t="str">
        <f>IFERROR(__xludf.DUMMYFUNCTION("""COMPUTED_VALUE"""),"66040-000")</f>
        <v>66040-000</v>
      </c>
      <c r="K37" s="7" t="str">
        <f>IFERROR(__xludf.DUMMYFUNCTION("""COMPUTED_VALUE"""),"Belém")</f>
        <v>Belém</v>
      </c>
      <c r="L37" s="7" t="str">
        <f>IFERROR(__xludf.DUMMYFUNCTION("""COMPUTED_VALUE"""),"PA")</f>
        <v>PA</v>
      </c>
    </row>
    <row r="38">
      <c r="A38" s="7" t="str">
        <f>IFERROR(__xludf.DUMMYFUNCTION("""COMPUTED_VALUE"""),"HEMOPA")</f>
        <v>HEMOPA</v>
      </c>
      <c r="B38" s="7" t="str">
        <f>IFERROR(__xludf.DUMMYFUNCTION("""COMPUTED_VALUE"""),"Fundação Centro de Hemoterapia e Hematologia do Pará")</f>
        <v>Fundação Centro de Hemoterapia e Hematologia do Pará</v>
      </c>
      <c r="C38" s="7" t="str">
        <f>IFERROR(__xludf.DUMMYFUNCTION("""COMPUTED_VALUE"""),"Estadual")</f>
        <v>Estadual</v>
      </c>
      <c r="D38" s="7" t="str">
        <f>IFERROR(__xludf.DUMMYFUNCTION("""COMPUTED_VALUE"""),"05.837.521/0001-11")</f>
        <v>05.837.521/0001-11</v>
      </c>
      <c r="E38" s="7" t="str">
        <f>IFERROR(__xludf.DUMMYFUNCTION("""COMPUTED_VALUE"""),"Paulo André Castelo Branco Bezerra Presidente")</f>
        <v>Paulo André Castelo Branco Bezerra Presidente</v>
      </c>
      <c r="F38" s="7" t="str">
        <f>IFERROR(__xludf.DUMMYFUNCTION("""COMPUTED_VALUE"""),"Presidente")</f>
        <v>Presidente</v>
      </c>
      <c r="G38" s="7"/>
      <c r="H38" s="7"/>
      <c r="I38" s="7"/>
      <c r="J38" s="7"/>
      <c r="K38" s="7"/>
      <c r="L38" s="7" t="str">
        <f>IFERROR(__xludf.DUMMYFUNCTION("""COMPUTED_VALUE"""),"PA")</f>
        <v>PA</v>
      </c>
    </row>
    <row r="39">
      <c r="A39" s="7" t="str">
        <f>IFERROR(__xludf.DUMMYFUNCTION("""COMPUTED_VALUE"""),"FCP")</f>
        <v>FCP</v>
      </c>
      <c r="B39" s="7" t="str">
        <f>IFERROR(__xludf.DUMMYFUNCTION("""COMPUTED_VALUE"""),"Fundação Cultural do Estado do Pará")</f>
        <v>Fundação Cultural do Estado do Pará</v>
      </c>
      <c r="C39" s="7" t="str">
        <f>IFERROR(__xludf.DUMMYFUNCTION("""COMPUTED_VALUE"""),"Estadual")</f>
        <v>Estadual</v>
      </c>
      <c r="D39" s="7" t="str">
        <f>IFERROR(__xludf.DUMMYFUNCTION("""COMPUTED_VALUE"""),"14.662.886/0001-43")</f>
        <v>14.662.886/0001-43</v>
      </c>
      <c r="E39" s="7" t="str">
        <f>IFERROR(__xludf.DUMMYFUNCTION("""COMPUTED_VALUE"""),"Thiago Farias Miranda")</f>
        <v>Thiago Farias Miranda</v>
      </c>
      <c r="F39" s="7" t="str">
        <f>IFERROR(__xludf.DUMMYFUNCTION("""COMPUTED_VALUE"""),"Presidente")</f>
        <v>Presidente</v>
      </c>
      <c r="G39" s="7"/>
      <c r="H39" s="7" t="str">
        <f>IFERROR(__xludf.DUMMYFUNCTION("""COMPUTED_VALUE"""),"Avenida Gentil Bittencourt, nº 650")</f>
        <v>Avenida Gentil Bittencourt, nº 650</v>
      </c>
      <c r="I39" s="7" t="str">
        <f>IFERROR(__xludf.DUMMYFUNCTION("""COMPUTED_VALUE"""),"Nazará")</f>
        <v>Nazará</v>
      </c>
      <c r="J39" s="7" t="str">
        <f>IFERROR(__xludf.DUMMYFUNCTION("""COMPUTED_VALUE"""),"66.035-340")</f>
        <v>66.035-340</v>
      </c>
      <c r="K39" s="7" t="str">
        <f>IFERROR(__xludf.DUMMYFUNCTION("""COMPUTED_VALUE"""),"Belém")</f>
        <v>Belém</v>
      </c>
      <c r="L39" s="7" t="str">
        <f>IFERROR(__xludf.DUMMYFUNCTION("""COMPUTED_VALUE"""),"PA")</f>
        <v>PA</v>
      </c>
    </row>
    <row r="40">
      <c r="A40" s="7" t="str">
        <f>IFERROR(__xludf.DUMMYFUNCTION("""COMPUTED_VALUE"""),"FADEP")</f>
        <v>FADEP</v>
      </c>
      <c r="B40" s="7" t="str">
        <f>IFERROR(__xludf.DUMMYFUNCTION("""COMPUTED_VALUE"""),"Fundação de Apoio para o Desenvolvimento da Educação Paraense")</f>
        <v>Fundação de Apoio para o Desenvolvimento da Educação Paraense</v>
      </c>
      <c r="C40" s="7" t="str">
        <f>IFERROR(__xludf.DUMMYFUNCTION("""COMPUTED_VALUE"""),"Estadual")</f>
        <v>Estadual</v>
      </c>
      <c r="D40" s="7" t="str">
        <f>IFERROR(__xludf.DUMMYFUNCTION("""COMPUTED_VALUE"""),"34.860.833/0001-44")</f>
        <v>34.860.833/0001-44</v>
      </c>
      <c r="E40" s="7" t="str">
        <f>IFERROR(__xludf.DUMMYFUNCTION("""COMPUTED_VALUE"""),"Arnaldo Dopazo Antonio JOsé")</f>
        <v>Arnaldo Dopazo Antonio JOsé</v>
      </c>
      <c r="F40" s="7" t="str">
        <f>IFERROR(__xludf.DUMMYFUNCTION("""COMPUTED_VALUE"""),"Presidente")</f>
        <v>Presidente</v>
      </c>
      <c r="G40" s="7"/>
      <c r="H40" s="7" t="str">
        <f>IFERROR(__xludf.DUMMYFUNCTION("""COMPUTED_VALUE"""),"Rod. Augusto Montenegro, Km 10, s/n")</f>
        <v>Rod. Augusto Montenegro, Km 10, s/n</v>
      </c>
      <c r="I40" s="7" t="str">
        <f>IFERROR(__xludf.DUMMYFUNCTION("""COMPUTED_VALUE"""),"Icoaraci")</f>
        <v>Icoaraci</v>
      </c>
      <c r="J40" s="7" t="str">
        <f>IFERROR(__xludf.DUMMYFUNCTION("""COMPUTED_VALUE"""),"66820-000")</f>
        <v>66820-000</v>
      </c>
      <c r="K40" s="7" t="str">
        <f>IFERROR(__xludf.DUMMYFUNCTION("""COMPUTED_VALUE"""),"Belém")</f>
        <v>Belém</v>
      </c>
      <c r="L40" s="7" t="str">
        <f>IFERROR(__xludf.DUMMYFUNCTION("""COMPUTED_VALUE"""),"PA")</f>
        <v>PA</v>
      </c>
    </row>
    <row r="41">
      <c r="A41" s="7" t="str">
        <f>IFERROR(__xludf.DUMMYFUNCTION("""COMPUTED_VALUE"""),"FASEPA")</f>
        <v>FASEPA</v>
      </c>
      <c r="B41" s="7" t="str">
        <f>IFERROR(__xludf.DUMMYFUNCTION("""COMPUTED_VALUE"""),"Fundação de Atendimento Sócio Educativo do Pará")</f>
        <v>Fundação de Atendimento Sócio Educativo do Pará</v>
      </c>
      <c r="C41" s="7" t="str">
        <f>IFERROR(__xludf.DUMMYFUNCTION("""COMPUTED_VALUE"""),"Estadual")</f>
        <v>Estadual</v>
      </c>
      <c r="D41" s="7" t="str">
        <f>IFERROR(__xludf.DUMMYFUNCTION("""COMPUTED_VALUE"""),"84.154.186/0001-23")</f>
        <v>84.154.186/0001-23</v>
      </c>
      <c r="E41" s="7" t="str">
        <f>IFERROR(__xludf.DUMMYFUNCTION("""COMPUTED_VALUE"""),"Carlos Alberto de Andrade Rodrigues Junior")</f>
        <v>Carlos Alberto de Andrade Rodrigues Junior</v>
      </c>
      <c r="F41" s="7" t="str">
        <f>IFERROR(__xludf.DUMMYFUNCTION("""COMPUTED_VALUE"""),"Presidente")</f>
        <v>Presidente</v>
      </c>
      <c r="G41" s="7" t="str">
        <f>IFERROR(__xludf.DUMMYFUNCTION("""COMPUTED_VALUE"""),"(91) 3210- 3308")</f>
        <v>(91) 3210- 3308</v>
      </c>
      <c r="H41" s="7" t="str">
        <f>IFERROR(__xludf.DUMMYFUNCTION("""COMPUTED_VALUE"""),"Rua Diogo Moia, 1.101")</f>
        <v>Rua Diogo Moia, 1.101</v>
      </c>
      <c r="I41" s="7" t="str">
        <f>IFERROR(__xludf.DUMMYFUNCTION("""COMPUTED_VALUE"""),"Umarizal")</f>
        <v>Umarizal</v>
      </c>
      <c r="J41" s="7"/>
      <c r="K41" s="7" t="str">
        <f>IFERROR(__xludf.DUMMYFUNCTION("""COMPUTED_VALUE"""),"Belém")</f>
        <v>Belém</v>
      </c>
      <c r="L41" s="7" t="str">
        <f>IFERROR(__xludf.DUMMYFUNCTION("""COMPUTED_VALUE"""),"PA")</f>
        <v>PA</v>
      </c>
    </row>
    <row r="42">
      <c r="A42" s="7" t="str">
        <f>IFERROR(__xludf.DUMMYFUNCTION("""COMPUTED_VALUE"""),"FUNTELPA")</f>
        <v>FUNTELPA</v>
      </c>
      <c r="B42" s="7" t="str">
        <f>IFERROR(__xludf.DUMMYFUNCTION("""COMPUTED_VALUE"""),"Fundação Paraense de Radiodifusão")</f>
        <v>Fundação Paraense de Radiodifusão</v>
      </c>
      <c r="C42" s="7" t="str">
        <f>IFERROR(__xludf.DUMMYFUNCTION("""COMPUTED_VALUE"""),"Estadual")</f>
        <v>Estadual</v>
      </c>
      <c r="D42" s="7" t="str">
        <f>IFERROR(__xludf.DUMMYFUNCTION("""COMPUTED_VALUE"""),"11.953.923/0001-84")</f>
        <v>11.953.923/0001-84</v>
      </c>
      <c r="E42" s="7" t="str">
        <f>IFERROR(__xludf.DUMMYFUNCTION("""COMPUTED_VALUE"""),"Valdemiro Eduardo de Assis Sanova Nascimento")</f>
        <v>Valdemiro Eduardo de Assis Sanova Nascimento</v>
      </c>
      <c r="F42" s="7" t="str">
        <f>IFERROR(__xludf.DUMMYFUNCTION("""COMPUTED_VALUE"""),"Presidente")</f>
        <v>Presidente</v>
      </c>
      <c r="G42" s="7" t="str">
        <f>IFERROR(__xludf.DUMMYFUNCTION("""COMPUTED_VALUE"""),"(91)3202-4300")</f>
        <v>(91)3202-4300</v>
      </c>
      <c r="H42" s="7" t="str">
        <f>IFERROR(__xludf.DUMMYFUNCTION("""COMPUTED_VALUE"""),"Av. Gentile Bittencourt, 650")</f>
        <v>Av. Gentile Bittencourt, 650</v>
      </c>
      <c r="I42" s="7" t="str">
        <f>IFERROR(__xludf.DUMMYFUNCTION("""COMPUTED_VALUE"""),"Nazará")</f>
        <v>Nazará</v>
      </c>
      <c r="J42" s="7" t="str">
        <f>IFERROR(__xludf.DUMMYFUNCTION("""COMPUTED_VALUE"""),"66.035-340")</f>
        <v>66.035-340</v>
      </c>
      <c r="K42" s="7"/>
      <c r="L42" s="7" t="str">
        <f>IFERROR(__xludf.DUMMYFUNCTION("""COMPUTED_VALUE"""),"PA")</f>
        <v>PA</v>
      </c>
    </row>
    <row r="43">
      <c r="A43" s="7" t="str">
        <f>IFERROR(__xludf.DUMMYFUNCTION("""COMPUTED_VALUE"""),"FPARAPAZ")</f>
        <v>FPARAPAZ</v>
      </c>
      <c r="B43" s="7" t="str">
        <f>IFERROR(__xludf.DUMMYFUNCTION("""COMPUTED_VALUE"""),"Fundação Parápaz")</f>
        <v>Fundação Parápaz</v>
      </c>
      <c r="C43" s="7" t="str">
        <f>IFERROR(__xludf.DUMMYFUNCTION("""COMPUTED_VALUE"""),"Estadual")</f>
        <v>Estadual</v>
      </c>
      <c r="D43" s="7" t="str">
        <f>IFERROR(__xludf.DUMMYFUNCTION("""COMPUTED_VALUE"""),"21.648.632/0001-36")</f>
        <v>21.648.632/0001-36</v>
      </c>
      <c r="E43" s="7" t="str">
        <f>IFERROR(__xludf.DUMMYFUNCTION("""COMPUTED_VALUE"""),"Alberto Henrique Teixeira de Barros")</f>
        <v>Alberto Henrique Teixeira de Barros</v>
      </c>
      <c r="F43" s="7" t="str">
        <f>IFERROR(__xludf.DUMMYFUNCTION("""COMPUTED_VALUE"""),"Presidente")</f>
        <v>Presidente</v>
      </c>
      <c r="G43" s="7" t="str">
        <f>IFERROR(__xludf.DUMMYFUNCTION("""COMPUTED_VALUE"""),"(91) 3321 -4303")</f>
        <v>(91) 3321 -4303</v>
      </c>
      <c r="H43" s="7" t="str">
        <f>IFERROR(__xludf.DUMMYFUNCTION("""COMPUTED_VALUE"""),"Avenida José Bonifácio, 267")</f>
        <v>Avenida José Bonifácio, 267</v>
      </c>
      <c r="I43" s="7" t="str">
        <f>IFERROR(__xludf.DUMMYFUNCTION("""COMPUTED_VALUE"""),"Fátima")</f>
        <v>Fátima</v>
      </c>
      <c r="J43" s="7" t="str">
        <f>IFERROR(__xludf.DUMMYFUNCTION("""COMPUTED_VALUE"""),"66090-363")</f>
        <v>66090-363</v>
      </c>
      <c r="K43" s="7" t="str">
        <f>IFERROR(__xludf.DUMMYFUNCTION("""COMPUTED_VALUE"""),"Belém")</f>
        <v>Belém</v>
      </c>
      <c r="L43" s="7" t="str">
        <f>IFERROR(__xludf.DUMMYFUNCTION("""COMPUTED_VALUE"""),"PA")</f>
        <v>PA</v>
      </c>
    </row>
    <row r="44">
      <c r="A44" s="7" t="str">
        <f>IFERROR(__xludf.DUMMYFUNCTION("""COMPUTED_VALUE"""),"FHCGV")</f>
        <v>FHCGV</v>
      </c>
      <c r="B44" s="7" t="str">
        <f>IFERROR(__xludf.DUMMYFUNCTION("""COMPUTED_VALUE"""),"Fundação Pública Estadual Hospital de Clínicas Gaspar Vianna")</f>
        <v>Fundação Pública Estadual Hospital de Clínicas Gaspar Vianna</v>
      </c>
      <c r="C44" s="7" t="str">
        <f>IFERROR(__xludf.DUMMYFUNCTION("""COMPUTED_VALUE"""),"Estadual")</f>
        <v>Estadual</v>
      </c>
      <c r="D44" s="7" t="str">
        <f>IFERROR(__xludf.DUMMYFUNCTION("""COMPUTED_VALUE"""),"22.980.973/0001-77")</f>
        <v>22.980.973/0001-77</v>
      </c>
      <c r="E44" s="7" t="str">
        <f>IFERROR(__xludf.DUMMYFUNCTION("""COMPUTED_VALUE"""),"Heliosa Maria Melo e Silva Guimarães")</f>
        <v>Heliosa Maria Melo e Silva Guimarães</v>
      </c>
      <c r="F44" s="7" t="str">
        <f>IFERROR(__xludf.DUMMYFUNCTION("""COMPUTED_VALUE"""),"Presidente")</f>
        <v>Presidente</v>
      </c>
      <c r="G44" s="7" t="str">
        <f>IFERROR(__xludf.DUMMYFUNCTION("""COMPUTED_VALUE"""),"(91) 3110- 1201")</f>
        <v>(91) 3110- 1201</v>
      </c>
      <c r="H44" s="7" t="str">
        <f>IFERROR(__xludf.DUMMYFUNCTION("""COMPUTED_VALUE"""),"Tv. Alferes Costa, S/N")</f>
        <v>Tv. Alferes Costa, S/N</v>
      </c>
      <c r="I44" s="7" t="str">
        <f>IFERROR(__xludf.DUMMYFUNCTION("""COMPUTED_VALUE"""),"Pedreira")</f>
        <v>Pedreira</v>
      </c>
      <c r="J44" s="7"/>
      <c r="K44" s="7" t="str">
        <f>IFERROR(__xludf.DUMMYFUNCTION("""COMPUTED_VALUE"""),"Belém")</f>
        <v>Belém</v>
      </c>
      <c r="L44" s="7" t="str">
        <f>IFERROR(__xludf.DUMMYFUNCTION("""COMPUTED_VALUE"""),"PA")</f>
        <v>PA</v>
      </c>
    </row>
    <row r="45">
      <c r="A45" s="7" t="str">
        <f>IFERROR(__xludf.DUMMYFUNCTION("""COMPUTED_VALUE"""),"FSCMPA")</f>
        <v>FSCMPA</v>
      </c>
      <c r="B45" s="7" t="str">
        <f>IFERROR(__xludf.DUMMYFUNCTION("""COMPUTED_VALUE"""),"Fundação Santa Casa de Misericórdia")</f>
        <v>Fundação Santa Casa de Misericórdia</v>
      </c>
      <c r="C45" s="7" t="str">
        <f>IFERROR(__xludf.DUMMYFUNCTION("""COMPUTED_VALUE"""),"Estadual")</f>
        <v>Estadual</v>
      </c>
      <c r="D45" s="7" t="str">
        <f>IFERROR(__xludf.DUMMYFUNCTION("""COMPUTED_VALUE"""),"04.929.345/0001-85")</f>
        <v>04.929.345/0001-85</v>
      </c>
      <c r="E45" s="7" t="str">
        <f>IFERROR(__xludf.DUMMYFUNCTION("""COMPUTED_VALUE"""),"Bruno Mendes Carmona")</f>
        <v>Bruno Mendes Carmona</v>
      </c>
      <c r="F45" s="7"/>
      <c r="G45" s="7"/>
      <c r="H45" s="7" t="str">
        <f>IFERROR(__xludf.DUMMYFUNCTION("""COMPUTED_VALUE"""),"Rua Oliveira Belo, 395")</f>
        <v>Rua Oliveira Belo, 395</v>
      </c>
      <c r="I45" s="7" t="str">
        <f>IFERROR(__xludf.DUMMYFUNCTION("""COMPUTED_VALUE"""),"Umarizal")</f>
        <v>Umarizal</v>
      </c>
      <c r="J45" s="7" t="str">
        <f>IFERROR(__xludf.DUMMYFUNCTION("""COMPUTED_VALUE"""),"66050-380")</f>
        <v>66050-380</v>
      </c>
      <c r="K45" s="7" t="str">
        <f>IFERROR(__xludf.DUMMYFUNCTION("""COMPUTED_VALUE"""),"Belém")</f>
        <v>Belém</v>
      </c>
      <c r="L45" s="7" t="str">
        <f>IFERROR(__xludf.DUMMYFUNCTION("""COMPUTED_VALUE"""),"PA")</f>
        <v>PA</v>
      </c>
    </row>
    <row r="46">
      <c r="A46" s="7" t="str">
        <f>IFERROR(__xludf.DUMMYFUNCTION("""COMPUTED_VALUE"""),"HOL")</f>
        <v>HOL</v>
      </c>
      <c r="B46" s="7" t="str">
        <f>IFERROR(__xludf.DUMMYFUNCTION("""COMPUTED_VALUE"""),"Hospital Ophir Loyola")</f>
        <v>Hospital Ophir Loyola</v>
      </c>
      <c r="C46" s="7" t="str">
        <f>IFERROR(__xludf.DUMMYFUNCTION("""COMPUTED_VALUE"""),"Estadual")</f>
        <v>Estadual</v>
      </c>
      <c r="D46" s="7" t="str">
        <f>IFERROR(__xludf.DUMMYFUNCTION("""COMPUTED_VALUE"""),"08.109.444/0001-71")</f>
        <v>08.109.444/0001-71</v>
      </c>
      <c r="E46" s="7" t="str">
        <f>IFERROR(__xludf.DUMMYFUNCTION("""COMPUTED_VALUE"""),"Dr. Heraldo Francisco da Costa Pedreira")</f>
        <v>Dr. Heraldo Francisco da Costa Pedreira</v>
      </c>
      <c r="F46" s="7"/>
      <c r="G46" s="7"/>
      <c r="H46" s="7" t="str">
        <f>IFERROR(__xludf.DUMMYFUNCTION("""COMPUTED_VALUE"""),"Avenida Governador Magalhães Barata,  992")</f>
        <v>Avenida Governador Magalhães Barata,  992</v>
      </c>
      <c r="I46" s="7" t="str">
        <f>IFERROR(__xludf.DUMMYFUNCTION("""COMPUTED_VALUE"""),"São Bráz")</f>
        <v>São Bráz</v>
      </c>
      <c r="J46" s="7"/>
      <c r="K46" s="7" t="str">
        <f>IFERROR(__xludf.DUMMYFUNCTION("""COMPUTED_VALUE"""),"Belém")</f>
        <v>Belém</v>
      </c>
      <c r="L46" s="7" t="str">
        <f>IFERROR(__xludf.DUMMYFUNCTION("""COMPUTED_VALUE"""),"PA")</f>
        <v>PA</v>
      </c>
    </row>
    <row r="47">
      <c r="A47" s="7" t="str">
        <f>IFERROR(__xludf.DUMMYFUNCTION("""COMPUTED_VALUE"""),"IOEPA")</f>
        <v>IOEPA</v>
      </c>
      <c r="B47" s="7" t="str">
        <f>IFERROR(__xludf.DUMMYFUNCTION("""COMPUTED_VALUE"""),"Imprensa Oficial do Estado do Pará")</f>
        <v>Imprensa Oficial do Estado do Pará</v>
      </c>
      <c r="C47" s="7" t="str">
        <f>IFERROR(__xludf.DUMMYFUNCTION("""COMPUTED_VALUE"""),"Estadual")</f>
        <v>Estadual</v>
      </c>
      <c r="D47" s="7" t="str">
        <f>IFERROR(__xludf.DUMMYFUNCTION("""COMPUTED_VALUE"""),"48.066.047/0001-84")</f>
        <v>48.066.047/0001-84</v>
      </c>
      <c r="E47" s="7" t="str">
        <f>IFERROR(__xludf.DUMMYFUNCTION("""COMPUTED_VALUE"""),"Jorge Luiz Guimarães Panzera")</f>
        <v>Jorge Luiz Guimarães Panzera</v>
      </c>
      <c r="F47" s="7" t="str">
        <f>IFERROR(__xludf.DUMMYFUNCTION("""COMPUTED_VALUE"""),"Presidente")</f>
        <v>Presidente</v>
      </c>
      <c r="G47" s="7"/>
      <c r="H47" s="7"/>
      <c r="I47" s="7"/>
      <c r="J47" s="7"/>
      <c r="K47" s="7"/>
      <c r="L47" s="7"/>
    </row>
    <row r="48">
      <c r="A48" s="7" t="str">
        <f>IFERROR(__xludf.DUMMYFUNCTION("""COMPUTED_VALUE"""),"IASEP")</f>
        <v>IASEP</v>
      </c>
      <c r="B48" s="7" t="str">
        <f>IFERROR(__xludf.DUMMYFUNCTION("""COMPUTED_VALUE"""),"Instituto de Assistência dos Servidores do Estado do Pará")</f>
        <v>Instituto de Assistência dos Servidores do Estado do Pará</v>
      </c>
      <c r="C48" s="7" t="str">
        <f>IFERROR(__xludf.DUMMYFUNCTION("""COMPUTED_VALUE"""),"Estadual")</f>
        <v>Estadual</v>
      </c>
      <c r="D48" s="7" t="str">
        <f>IFERROR(__xludf.DUMMYFUNCTION("""COMPUTED_VALUE"""),"05.056.031/0001-88")</f>
        <v>05.056.031/0001-88</v>
      </c>
      <c r="E48" s="7" t="str">
        <f>IFERROR(__xludf.DUMMYFUNCTION("""COMPUTED_VALUE"""),"Josynélia Tavares Raiol")</f>
        <v>Josynélia Tavares Raiol</v>
      </c>
      <c r="F48" s="7" t="str">
        <f>IFERROR(__xludf.DUMMYFUNCTION("""COMPUTED_VALUE"""),"Presidente")</f>
        <v>Presidente</v>
      </c>
      <c r="G48" s="7" t="str">
        <f>IFERROR(__xludf.DUMMYFUNCTION("""COMPUTED_VALUE"""),"(91) 98127-1432")</f>
        <v>(91) 98127-1432</v>
      </c>
      <c r="H48" s="7" t="str">
        <f>IFERROR(__xludf.DUMMYFUNCTION("""COMPUTED_VALUE"""),"Avenida Almirante Barroso, 256")</f>
        <v>Avenida Almirante Barroso, 256</v>
      </c>
      <c r="I48" s="7" t="str">
        <f>IFERROR(__xludf.DUMMYFUNCTION("""COMPUTED_VALUE"""),"Marco")</f>
        <v>Marco</v>
      </c>
      <c r="J48" s="7" t="str">
        <f>IFERROR(__xludf.DUMMYFUNCTION("""COMPUTED_VALUE"""),"66093-020")</f>
        <v>66093-020</v>
      </c>
      <c r="K48" s="7" t="str">
        <f>IFERROR(__xludf.DUMMYFUNCTION("""COMPUTED_VALUE"""),"Belém")</f>
        <v>Belém</v>
      </c>
      <c r="L48" s="7" t="str">
        <f>IFERROR(__xludf.DUMMYFUNCTION("""COMPUTED_VALUE"""),"PA")</f>
        <v>PA</v>
      </c>
    </row>
    <row r="49">
      <c r="A49" s="7" t="str">
        <f>IFERROR(__xludf.DUMMYFUNCTION("""COMPUTED_VALUE"""),"IDEFLOR")</f>
        <v>IDEFLOR</v>
      </c>
      <c r="B49" s="7" t="str">
        <f>IFERROR(__xludf.DUMMYFUNCTION("""COMPUTED_VALUE"""),"Instituto de Desenvolvimento Florestal")</f>
        <v>Instituto de Desenvolvimento Florestal</v>
      </c>
      <c r="C49" s="7" t="str">
        <f>IFERROR(__xludf.DUMMYFUNCTION("""COMPUTED_VALUE"""),"Estadual")</f>
        <v>Estadual</v>
      </c>
      <c r="D49" s="7"/>
      <c r="E49" s="7" t="str">
        <f>IFERROR(__xludf.DUMMYFUNCTION("""COMPUTED_VALUE"""),"Nilson Pinto de Oliveira")</f>
        <v>Nilson Pinto de Oliveira</v>
      </c>
      <c r="F49" s="7"/>
      <c r="G49" s="7" t="str">
        <f>IFERROR(__xludf.DUMMYFUNCTION("""COMPUTED_VALUE"""),"(93) 98409-3538")</f>
        <v>(93) 98409-3538</v>
      </c>
      <c r="H49" s="7" t="str">
        <f>IFERROR(__xludf.DUMMYFUNCTION("""COMPUTED_VALUE"""),"Rua do Utinga, 723")</f>
        <v>Rua do Utinga, 723</v>
      </c>
      <c r="I49" s="7" t="str">
        <f>IFERROR(__xludf.DUMMYFUNCTION("""COMPUTED_VALUE"""),"Curió-Utinga")</f>
        <v>Curió-Utinga</v>
      </c>
      <c r="J49" s="7" t="str">
        <f>IFERROR(__xludf.DUMMYFUNCTION("""COMPUTED_VALUE"""),"66610-010")</f>
        <v>66610-010</v>
      </c>
      <c r="K49" s="7" t="str">
        <f>IFERROR(__xludf.DUMMYFUNCTION("""COMPUTED_VALUE"""),"Belém")</f>
        <v>Belém</v>
      </c>
      <c r="L49" s="7" t="str">
        <f>IFERROR(__xludf.DUMMYFUNCTION("""COMPUTED_VALUE"""),"PA")</f>
        <v>PA</v>
      </c>
    </row>
    <row r="50">
      <c r="A50" s="7" t="str">
        <f>IFERROR(__xludf.DUMMYFUNCTION("""COMPUTED_VALUE"""),"IGEPPS")</f>
        <v>IGEPPS</v>
      </c>
      <c r="B50" s="7" t="str">
        <f>IFERROR(__xludf.DUMMYFUNCTION("""COMPUTED_VALUE"""),"Instituto de Gestão Previdenciária e Proteção Social do Estado do Pará")</f>
        <v>Instituto de Gestão Previdenciária e Proteção Social do Estado do Pará</v>
      </c>
      <c r="C50" s="7" t="str">
        <f>IFERROR(__xludf.DUMMYFUNCTION("""COMPUTED_VALUE"""),"Estadual")</f>
        <v>Estadual</v>
      </c>
      <c r="D50" s="7" t="str">
        <f>IFERROR(__xludf.DUMMYFUNCTION("""COMPUTED_VALUE"""),"05.873.910/0001-00")</f>
        <v>05.873.910/0001-00</v>
      </c>
      <c r="E50" s="7" t="str">
        <f>IFERROR(__xludf.DUMMYFUNCTION("""COMPUTED_VALUE"""),"Ilton Giussepp Stivsl Mendes da Rocha Lopes da Silva")</f>
        <v>Ilton Giussepp Stivsl Mendes da Rocha Lopes da Silva</v>
      </c>
      <c r="F50" s="7" t="str">
        <f>IFERROR(__xludf.DUMMYFUNCTION("""COMPUTED_VALUE"""),"Presidente")</f>
        <v>Presidente</v>
      </c>
      <c r="G50" s="7" t="str">
        <f>IFERROR(__xludf.DUMMYFUNCTION("""COMPUTED_VALUE"""),"(91) 3182 -3585 / 3587")</f>
        <v>(91) 3182 -3585 / 3587</v>
      </c>
      <c r="H50" s="7" t="str">
        <f>IFERROR(__xludf.DUMMYFUNCTION("""COMPUTED_VALUE"""),"Av. Alcindo Cacela, 1962")</f>
        <v>Av. Alcindo Cacela, 1962</v>
      </c>
      <c r="I50" s="7" t="str">
        <f>IFERROR(__xludf.DUMMYFUNCTION("""COMPUTED_VALUE"""),"Nazaré")</f>
        <v>Nazaré</v>
      </c>
      <c r="J50" s="7"/>
      <c r="K50" s="7" t="str">
        <f>IFERROR(__xludf.DUMMYFUNCTION("""COMPUTED_VALUE"""),"Belém")</f>
        <v>Belém</v>
      </c>
      <c r="L50" s="7" t="str">
        <f>IFERROR(__xludf.DUMMYFUNCTION("""COMPUTED_VALUE"""),"PA")</f>
        <v>PA</v>
      </c>
    </row>
    <row r="51">
      <c r="A51" s="7" t="str">
        <f>IFERROR(__xludf.DUMMYFUNCTION("""COMPUTED_VALUE"""),"ITERPA")</f>
        <v>ITERPA</v>
      </c>
      <c r="B51" s="7" t="str">
        <f>IFERROR(__xludf.DUMMYFUNCTION("""COMPUTED_VALUE"""),"Instituto de Terras do Pará")</f>
        <v>Instituto de Terras do Pará</v>
      </c>
      <c r="C51" s="7" t="str">
        <f>IFERROR(__xludf.DUMMYFUNCTION("""COMPUTED_VALUE"""),"Estadual")</f>
        <v>Estadual</v>
      </c>
      <c r="D51" s="7" t="str">
        <f>IFERROR(__xludf.DUMMYFUNCTION("""COMPUTED_VALUE"""),"04.510.069/0001-16")</f>
        <v>04.510.069/0001-16</v>
      </c>
      <c r="E51" s="7" t="str">
        <f>IFERROR(__xludf.DUMMYFUNCTION("""COMPUTED_VALUE"""),"Bruno Yoheiji Kono Ramos")</f>
        <v>Bruno Yoheiji Kono Ramos</v>
      </c>
      <c r="F51" s="7" t="str">
        <f>IFERROR(__xludf.DUMMYFUNCTION("""COMPUTED_VALUE"""),"Presidente")</f>
        <v>Presidente</v>
      </c>
      <c r="G51" s="7"/>
      <c r="H51" s="7"/>
      <c r="I51" s="7"/>
      <c r="J51" s="7"/>
      <c r="K51" s="7" t="str">
        <f>IFERROR(__xludf.DUMMYFUNCTION("""COMPUTED_VALUE"""),"Belém")</f>
        <v>Belém</v>
      </c>
      <c r="L51" s="7" t="str">
        <f>IFERROR(__xludf.DUMMYFUNCTION("""COMPUTED_VALUE"""),"PA")</f>
        <v>PA</v>
      </c>
    </row>
    <row r="52">
      <c r="A52" s="7" t="str">
        <f>IFERROR(__xludf.DUMMYFUNCTION("""COMPUTED_VALUE"""),"JFPA")</f>
        <v>JFPA</v>
      </c>
      <c r="B52" s="7" t="str">
        <f>IFERROR(__xludf.DUMMYFUNCTION("""COMPUTED_VALUE"""),"Justiça Federal 1º Região Pará - Subseção")</f>
        <v>Justiça Federal 1º Região Pará - Subseção</v>
      </c>
      <c r="C52" s="7" t="str">
        <f>IFERROR(__xludf.DUMMYFUNCTION("""COMPUTED_VALUE"""),"Federal")</f>
        <v>Federal</v>
      </c>
      <c r="D52" s="7"/>
      <c r="E52" s="7"/>
      <c r="F52" s="7"/>
      <c r="G52" s="7"/>
      <c r="H52" s="7"/>
      <c r="I52" s="7"/>
      <c r="J52" s="7"/>
      <c r="K52" s="7"/>
      <c r="L52" s="7" t="str">
        <f>IFERROR(__xludf.DUMMYFUNCTION("""COMPUTED_VALUE"""),"PA")</f>
        <v>PA</v>
      </c>
    </row>
    <row r="53">
      <c r="A53" s="7" t="str">
        <f>IFERROR(__xludf.DUMMYFUNCTION("""COMPUTED_VALUE"""),"JUCEPA")</f>
        <v>JUCEPA</v>
      </c>
      <c r="B53" s="7" t="str">
        <f>IFERROR(__xludf.DUMMYFUNCTION("""COMPUTED_VALUE"""),"Junta Comercial do Estado do Pará")</f>
        <v>Junta Comercial do Estado do Pará</v>
      </c>
      <c r="C53" s="7" t="str">
        <f>IFERROR(__xludf.DUMMYFUNCTION("""COMPUTED_VALUE"""),"Estadual")</f>
        <v>Estadual</v>
      </c>
      <c r="D53" s="7"/>
      <c r="E53" s="7"/>
      <c r="F53" s="7"/>
      <c r="G53" s="7"/>
      <c r="H53" s="7"/>
      <c r="I53" s="7"/>
      <c r="J53" s="7"/>
      <c r="K53" s="7"/>
      <c r="L53" s="7" t="str">
        <f>IFERROR(__xludf.DUMMYFUNCTION("""COMPUTED_VALUE"""),"PA")</f>
        <v>PA</v>
      </c>
    </row>
    <row r="54">
      <c r="A54" s="7" t="str">
        <f>IFERROR(__xludf.DUMMYFUNCTION("""COMPUTED_VALUE"""),"MPCM")</f>
        <v>MPCM</v>
      </c>
      <c r="B54" s="7" t="str">
        <f>IFERROR(__xludf.DUMMYFUNCTION("""COMPUTED_VALUE"""),"Ministério Público de Contas dos Municípios")</f>
        <v>Ministério Público de Contas dos Municípios</v>
      </c>
      <c r="C54" s="7" t="str">
        <f>IFERROR(__xludf.DUMMYFUNCTION("""COMPUTED_VALUE"""),"Estadual")</f>
        <v>Estadual</v>
      </c>
      <c r="D54" s="16" t="str">
        <f>IFERROR(__xludf.DUMMYFUNCTION("""COMPUTED_VALUE"""),"05.018.916/0001-92")</f>
        <v>05.018.916/0001-92</v>
      </c>
      <c r="E54" s="7"/>
      <c r="F54" s="7"/>
      <c r="G54" s="7"/>
      <c r="H54" s="7"/>
      <c r="I54" s="7"/>
      <c r="J54" s="7"/>
      <c r="K54" s="7" t="str">
        <f>IFERROR(__xludf.DUMMYFUNCTION("""COMPUTED_VALUE"""),"Belém")</f>
        <v>Belém</v>
      </c>
      <c r="L54" s="7" t="str">
        <f>IFERROR(__xludf.DUMMYFUNCTION("""COMPUTED_VALUE"""),"PA")</f>
        <v>PA</v>
      </c>
    </row>
    <row r="55">
      <c r="A55" s="7" t="str">
        <f>IFERROR(__xludf.DUMMYFUNCTION("""COMPUTED_VALUE"""),"MPPA")</f>
        <v>MPPA</v>
      </c>
      <c r="B55" s="7" t="str">
        <f>IFERROR(__xludf.DUMMYFUNCTION("""COMPUTED_VALUE"""),"Ministério Público do Estado do Pará")</f>
        <v>Ministério Público do Estado do Pará</v>
      </c>
      <c r="C55" s="7" t="str">
        <f>IFERROR(__xludf.DUMMYFUNCTION("""COMPUTED_VALUE"""),"Estadual")</f>
        <v>Estadual</v>
      </c>
      <c r="D55" s="7" t="str">
        <f>IFERROR(__xludf.DUMMYFUNCTION("""COMPUTED_VALUE"""),"05.054.960/0001-58")</f>
        <v>05.054.960/0001-58</v>
      </c>
      <c r="E55" s="7"/>
      <c r="F55" s="7"/>
      <c r="G55" s="7"/>
      <c r="H55" s="7" t="str">
        <f>IFERROR(__xludf.DUMMYFUNCTION("""COMPUTED_VALUE"""),"Rua João Diogo, nº 100")</f>
        <v>Rua João Diogo, nº 100</v>
      </c>
      <c r="I55" s="7" t="str">
        <f>IFERROR(__xludf.DUMMYFUNCTION("""COMPUTED_VALUE"""),"Cidade Velha")</f>
        <v>Cidade Velha</v>
      </c>
      <c r="J55" s="7" t="str">
        <f>IFERROR(__xludf.DUMMYFUNCTION("""COMPUTED_VALUE"""),"66.015-165")</f>
        <v>66.015-165</v>
      </c>
      <c r="K55" s="7" t="str">
        <f>IFERROR(__xludf.DUMMYFUNCTION("""COMPUTED_VALUE"""),"Belém - PA")</f>
        <v>Belém - PA</v>
      </c>
      <c r="L55" s="7" t="str">
        <f>IFERROR(__xludf.DUMMYFUNCTION("""COMPUTED_VALUE"""),"PA")</f>
        <v>PA</v>
      </c>
    </row>
    <row r="56">
      <c r="A56" s="7" t="str">
        <f>IFERROR(__xludf.DUMMYFUNCTION("""COMPUTED_VALUE"""),"NGTM")</f>
        <v>NGTM</v>
      </c>
      <c r="B56" s="7" t="str">
        <f>IFERROR(__xludf.DUMMYFUNCTION("""COMPUTED_VALUE"""),"Núcleo de Gerenciamento de Transporte Metropolitano")</f>
        <v>Núcleo de Gerenciamento de Transporte Metropolitano</v>
      </c>
      <c r="C56" s="7" t="str">
        <f>IFERROR(__xludf.DUMMYFUNCTION("""COMPUTED_VALUE"""),"Estadual")</f>
        <v>Estadual</v>
      </c>
      <c r="D56" s="7"/>
      <c r="E56" s="7"/>
      <c r="F56" s="7"/>
      <c r="G56" s="7"/>
      <c r="H56" s="7"/>
      <c r="I56" s="7"/>
      <c r="J56" s="7"/>
      <c r="K56" s="7"/>
      <c r="L56" s="7" t="str">
        <f>IFERROR(__xludf.DUMMYFUNCTION("""COMPUTED_VALUE"""),"PA")</f>
        <v>PA</v>
      </c>
    </row>
    <row r="57">
      <c r="A57" s="7" t="str">
        <f>IFERROR(__xludf.DUMMYFUNCTION("""COMPUTED_VALUE"""),"PCE")</f>
        <v>PCE</v>
      </c>
      <c r="B57" s="7" t="str">
        <f>IFERROR(__xludf.DUMMYFUNCTION("""COMPUTED_VALUE"""),"Polícia Científica do Pará")</f>
        <v>Polícia Científica do Pará</v>
      </c>
      <c r="C57" s="7" t="str">
        <f>IFERROR(__xludf.DUMMYFUNCTION("""COMPUTED_VALUE"""),"Estadual")</f>
        <v>Estadual</v>
      </c>
      <c r="D57" s="16" t="str">
        <f>IFERROR(__xludf.DUMMYFUNCTION("""COMPUTED_VALUE"""),"03.664.871/0001-06")</f>
        <v>03.664.871/0001-06</v>
      </c>
      <c r="E57" s="7" t="str">
        <f>IFERROR(__xludf.DUMMYFUNCTION("""COMPUTED_VALUE"""),"Celso da Silva Mascarenha")</f>
        <v>Celso da Silva Mascarenha</v>
      </c>
      <c r="F57" s="7" t="str">
        <f>IFERROR(__xludf.DUMMYFUNCTION("""COMPUTED_VALUE"""),"Diretor Geral")</f>
        <v>Diretor Geral</v>
      </c>
      <c r="G57" s="7" t="str">
        <f>IFERROR(__xludf.DUMMYFUNCTION("""COMPUTED_VALUE"""),"(91) 3198-3800")</f>
        <v>(91) 3198-3800</v>
      </c>
      <c r="H57" s="7" t="str">
        <f>IFERROR(__xludf.DUMMYFUNCTION("""COMPUTED_VALUE"""),"Av. Mangueirão, 174-176")</f>
        <v>Av. Mangueirão, 174-176</v>
      </c>
      <c r="I57" s="7" t="str">
        <f>IFERROR(__xludf.DUMMYFUNCTION("""COMPUTED_VALUE"""),"Mangueirão")</f>
        <v>Mangueirão</v>
      </c>
      <c r="J57" s="7"/>
      <c r="K57" s="7" t="str">
        <f>IFERROR(__xludf.DUMMYFUNCTION("""COMPUTED_VALUE"""),"Belém")</f>
        <v>Belém</v>
      </c>
      <c r="L57" s="7" t="str">
        <f>IFERROR(__xludf.DUMMYFUNCTION("""COMPUTED_VALUE"""),"PA")</f>
        <v>PA</v>
      </c>
    </row>
    <row r="58">
      <c r="A58" s="7" t="str">
        <f>IFERROR(__xludf.DUMMYFUNCTION("""COMPUTED_VALUE"""),"PCPA")</f>
        <v>PCPA</v>
      </c>
      <c r="B58" s="7" t="str">
        <f>IFERROR(__xludf.DUMMYFUNCTION("""COMPUTED_VALUE"""),"Polícia Civil do Estado do Pará")</f>
        <v>Polícia Civil do Estado do Pará</v>
      </c>
      <c r="C58" s="7" t="str">
        <f>IFERROR(__xludf.DUMMYFUNCTION("""COMPUTED_VALUE"""),"Estadual")</f>
        <v>Estadual</v>
      </c>
      <c r="D58" s="16" t="str">
        <f>IFERROR(__xludf.DUMMYFUNCTION("""COMPUTED_VALUE"""),"03.681.105/0001-06")</f>
        <v>03.681.105/0001-06</v>
      </c>
      <c r="E58" s="7" t="str">
        <f>IFERROR(__xludf.DUMMYFUNCTION("""COMPUTED_VALUE"""),"Walter Resende de Almeida")</f>
        <v>Walter Resende de Almeida</v>
      </c>
      <c r="F58" s="7" t="str">
        <f>IFERROR(__xludf.DUMMYFUNCTION("""COMPUTED_VALUE"""),"Delegado Geral")</f>
        <v>Delegado Geral</v>
      </c>
      <c r="G58" s="7" t="str">
        <f>IFERROR(__xludf.DUMMYFUNCTION("""COMPUTED_VALUE"""),"Whatsapp (91) 98115-9181")</f>
        <v>Whatsapp (91) 98115-9181</v>
      </c>
      <c r="H58" s="7" t="str">
        <f>IFERROR(__xludf.DUMMYFUNCTION("""COMPUTED_VALUE"""),"Avenida Magalhães Barata, 209")</f>
        <v>Avenida Magalhães Barata, 209</v>
      </c>
      <c r="I58" s="7" t="str">
        <f>IFERROR(__xludf.DUMMYFUNCTION("""COMPUTED_VALUE"""),"Nazaré")</f>
        <v>Nazaré</v>
      </c>
      <c r="J58" s="7"/>
      <c r="K58" s="7" t="str">
        <f>IFERROR(__xludf.DUMMYFUNCTION("""COMPUTED_VALUE"""),"Belém")</f>
        <v>Belém</v>
      </c>
      <c r="L58" s="7" t="str">
        <f>IFERROR(__xludf.DUMMYFUNCTION("""COMPUTED_VALUE"""),"PA")</f>
        <v>PA</v>
      </c>
    </row>
    <row r="59">
      <c r="A59" s="7" t="str">
        <f>IFERROR(__xludf.DUMMYFUNCTION("""COMPUTED_VALUE"""),"PM Barcarena")</f>
        <v>PM Barcarena</v>
      </c>
      <c r="B59" s="7" t="str">
        <f>IFERROR(__xludf.DUMMYFUNCTION("""COMPUTED_VALUE"""),"Prefeirura Municipal de Barcarena")</f>
        <v>Prefeirura Municipal de Barcarena</v>
      </c>
      <c r="C59" s="7" t="str">
        <f>IFERROR(__xludf.DUMMYFUNCTION("""COMPUTED_VALUE"""),"Municipal")</f>
        <v>Municipal</v>
      </c>
      <c r="D59" s="7" t="str">
        <f>IFERROR(__xludf.DUMMYFUNCTION("""COMPUTED_VALUE"""),"05.058.458/0001-15")</f>
        <v>05.058.458/0001-15</v>
      </c>
      <c r="E59" s="7"/>
      <c r="F59" s="7"/>
      <c r="G59" s="7" t="str">
        <f>IFERROR(__xludf.DUMMYFUNCTION("""COMPUTED_VALUE"""),"91) 9 9308-5139 ")</f>
        <v>91) 9 9308-5139 </v>
      </c>
      <c r="H59" s="7"/>
      <c r="I59" s="7"/>
      <c r="J59" s="7"/>
      <c r="K59" s="7" t="str">
        <f>IFERROR(__xludf.DUMMYFUNCTION("""COMPUTED_VALUE"""),"Barcarena")</f>
        <v>Barcarena</v>
      </c>
      <c r="L59" s="7" t="str">
        <f>IFERROR(__xludf.DUMMYFUNCTION("""COMPUTED_VALUE"""),"PA")</f>
        <v>PA</v>
      </c>
    </row>
    <row r="60">
      <c r="A60" s="7" t="str">
        <f>IFERROR(__xludf.DUMMYFUNCTION("""COMPUTED_VALUE"""),"PM Abel Figueiredo")</f>
        <v>PM Abel Figueiredo</v>
      </c>
      <c r="B60" s="7" t="str">
        <f>IFERROR(__xludf.DUMMYFUNCTION("""COMPUTED_VALUE"""),"Prefeitura Municipal de Abel Figueiredo")</f>
        <v>Prefeitura Municipal de Abel Figueiredo</v>
      </c>
      <c r="C60" s="7" t="str">
        <f>IFERROR(__xludf.DUMMYFUNCTION("""COMPUTED_VALUE"""),"Municipal")</f>
        <v>Municipal</v>
      </c>
      <c r="D60" s="7" t="str">
        <f>IFERROR(__xludf.DUMMYFUNCTION("""COMPUTED_VALUE"""),"83.211.375/0001-28")</f>
        <v>83.211.375/0001-28</v>
      </c>
      <c r="E60" s="7"/>
      <c r="F60" s="7"/>
      <c r="G60" s="7" t="str">
        <f>IFERROR(__xludf.DUMMYFUNCTION("""COMPUTED_VALUE"""),"(94) 99179--1180")</f>
        <v>(94) 99179--1180</v>
      </c>
      <c r="H60" s="7"/>
      <c r="I60" s="7"/>
      <c r="J60" s="7"/>
      <c r="K60" s="7" t="str">
        <f>IFERROR(__xludf.DUMMYFUNCTION("""COMPUTED_VALUE"""),"Abel Figueiredo")</f>
        <v>Abel Figueiredo</v>
      </c>
      <c r="L60" s="7" t="str">
        <f>IFERROR(__xludf.DUMMYFUNCTION("""COMPUTED_VALUE"""),"PA")</f>
        <v>PA</v>
      </c>
    </row>
    <row r="61">
      <c r="A61" s="7" t="str">
        <f>IFERROR(__xludf.DUMMYFUNCTION("""COMPUTED_VALUE"""),"PM Afuá")</f>
        <v>PM Afuá</v>
      </c>
      <c r="B61" s="7" t="str">
        <f>IFERROR(__xludf.DUMMYFUNCTION("""COMPUTED_VALUE"""),"Prefeitura Municipal de Afuá")</f>
        <v>Prefeitura Municipal de Afuá</v>
      </c>
      <c r="C61" s="7" t="str">
        <f>IFERROR(__xludf.DUMMYFUNCTION("""COMPUTED_VALUE"""),"Municipal")</f>
        <v>Municipal</v>
      </c>
      <c r="D61" s="7" t="str">
        <f>IFERROR(__xludf.DUMMYFUNCTION("""COMPUTED_VALUE"""),"19.396.243/0001-19")</f>
        <v>19.396.243/0001-19</v>
      </c>
      <c r="E61" s="7"/>
      <c r="F61" s="7"/>
      <c r="G61" s="7" t="str">
        <f>IFERROR(__xludf.DUMMYFUNCTION("""COMPUTED_VALUE"""),"(91) 9 8489-7169")</f>
        <v>(91) 9 8489-7169</v>
      </c>
      <c r="H61" s="7"/>
      <c r="I61" s="7"/>
      <c r="J61" s="7"/>
      <c r="K61" s="7" t="str">
        <f>IFERROR(__xludf.DUMMYFUNCTION("""COMPUTED_VALUE"""),"Afuá")</f>
        <v>Afuá</v>
      </c>
      <c r="L61" s="7" t="str">
        <f>IFERROR(__xludf.DUMMYFUNCTION("""COMPUTED_VALUE"""),"PA")</f>
        <v>PA</v>
      </c>
    </row>
    <row r="62">
      <c r="A62" s="7" t="str">
        <f>IFERROR(__xludf.DUMMYFUNCTION("""COMPUTED_VALUE"""),"PM Água Azul do Norte")</f>
        <v>PM Água Azul do Norte</v>
      </c>
      <c r="B62" s="7" t="str">
        <f>IFERROR(__xludf.DUMMYFUNCTION("""COMPUTED_VALUE"""),"Prefeitura Municipal de Água Azul do Norte")</f>
        <v>Prefeitura Municipal de Água Azul do Norte</v>
      </c>
      <c r="C62" s="7" t="str">
        <f>IFERROR(__xludf.DUMMYFUNCTION("""COMPUTED_VALUE"""),"Municipal")</f>
        <v>Municipal</v>
      </c>
      <c r="D62" s="7" t="str">
        <f>IFERROR(__xludf.DUMMYFUNCTION("""COMPUTED_VALUE"""),"34.671.057/0001-34")</f>
        <v>34.671.057/0001-34</v>
      </c>
      <c r="E62" s="7"/>
      <c r="F62" s="7"/>
      <c r="G62" s="7" t="str">
        <f>IFERROR(__xludf.DUMMYFUNCTION("""COMPUTED_VALUE""")," (94) 9 9240-45 60 ")</f>
        <v> (94) 9 9240-45 60 </v>
      </c>
      <c r="H62" s="7"/>
      <c r="I62" s="7"/>
      <c r="J62" s="7"/>
      <c r="K62" s="7" t="str">
        <f>IFERROR(__xludf.DUMMYFUNCTION("""COMPUTED_VALUE"""),"Água Azul do Norte")</f>
        <v>Água Azul do Norte</v>
      </c>
      <c r="L62" s="7" t="str">
        <f>IFERROR(__xludf.DUMMYFUNCTION("""COMPUTED_VALUE"""),"PA")</f>
        <v>PA</v>
      </c>
    </row>
    <row r="63">
      <c r="A63" s="7" t="str">
        <f>IFERROR(__xludf.DUMMYFUNCTION("""COMPUTED_VALUE"""),"PM Alenquer")</f>
        <v>PM Alenquer</v>
      </c>
      <c r="B63" s="7" t="str">
        <f>IFERROR(__xludf.DUMMYFUNCTION("""COMPUTED_VALUE"""),"Prefeitura Municipal De Alenquer")</f>
        <v>Prefeitura Municipal De Alenquer</v>
      </c>
      <c r="C63" s="7" t="str">
        <f>IFERROR(__xludf.DUMMYFUNCTION("""COMPUTED_VALUE"""),"Municipal")</f>
        <v>Municipal</v>
      </c>
      <c r="D63" s="7" t="str">
        <f>IFERROR(__xludf.DUMMYFUNCTION("""COMPUTED_VALUE"""),"04.838.793/0001-73")</f>
        <v>04.838.793/0001-73</v>
      </c>
      <c r="E63" s="7"/>
      <c r="F63" s="7"/>
      <c r="G63" s="7" t="str">
        <f>IFERROR(__xludf.DUMMYFUNCTION("""COMPUTED_VALUE"""),"(93) 9 9136-4762 ")</f>
        <v>(93) 9 9136-4762 </v>
      </c>
      <c r="H63" s="7"/>
      <c r="I63" s="7"/>
      <c r="J63" s="7"/>
      <c r="K63" s="7" t="str">
        <f>IFERROR(__xludf.DUMMYFUNCTION("""COMPUTED_VALUE"""),"Alenquer")</f>
        <v>Alenquer</v>
      </c>
      <c r="L63" s="7" t="str">
        <f>IFERROR(__xludf.DUMMYFUNCTION("""COMPUTED_VALUE"""),"PA")</f>
        <v>PA</v>
      </c>
    </row>
    <row r="64">
      <c r="A64" s="7" t="str">
        <f>IFERROR(__xludf.DUMMYFUNCTION("""COMPUTED_VALUE"""),"PM Almeirim")</f>
        <v>PM Almeirim</v>
      </c>
      <c r="B64" s="7" t="str">
        <f>IFERROR(__xludf.DUMMYFUNCTION("""COMPUTED_VALUE"""),"Prefeitura Municipal de Almeirim")</f>
        <v>Prefeitura Municipal de Almeirim</v>
      </c>
      <c r="C64" s="7" t="str">
        <f>IFERROR(__xludf.DUMMYFUNCTION("""COMPUTED_VALUE"""),"Municipal")</f>
        <v>Municipal</v>
      </c>
      <c r="D64" s="7" t="str">
        <f>IFERROR(__xludf.DUMMYFUNCTION("""COMPUTED_VALUE"""),"05.139.464/0001-05")</f>
        <v>05.139.464/0001-05</v>
      </c>
      <c r="E64" s="7"/>
      <c r="F64" s="7"/>
      <c r="G64" s="7" t="str">
        <f>IFERROR(__xludf.DUMMYFUNCTION("""COMPUTED_VALUE"""),"(96) 9 9156-3756 ")</f>
        <v>(96) 9 9156-3756 </v>
      </c>
      <c r="H64" s="7"/>
      <c r="I64" s="7"/>
      <c r="J64" s="7"/>
      <c r="K64" s="7" t="str">
        <f>IFERROR(__xludf.DUMMYFUNCTION("""COMPUTED_VALUE"""),"Almeirim")</f>
        <v>Almeirim</v>
      </c>
      <c r="L64" s="7" t="str">
        <f>IFERROR(__xludf.DUMMYFUNCTION("""COMPUTED_VALUE"""),"PA")</f>
        <v>PA</v>
      </c>
    </row>
    <row r="65">
      <c r="A65" s="7" t="str">
        <f>IFERROR(__xludf.DUMMYFUNCTION("""COMPUTED_VALUE"""),"PM Anajás")</f>
        <v>PM Anajás</v>
      </c>
      <c r="B65" s="7" t="str">
        <f>IFERROR(__xludf.DUMMYFUNCTION("""COMPUTED_VALUE"""),"Prefeitura Municipal de Anajás")</f>
        <v>Prefeitura Municipal de Anajás</v>
      </c>
      <c r="C65" s="7" t="str">
        <f>IFERROR(__xludf.DUMMYFUNCTION("""COMPUTED_VALUE"""),"Municipal")</f>
        <v>Municipal</v>
      </c>
      <c r="D65" s="7"/>
      <c r="E65" s="7"/>
      <c r="F65" s="7"/>
      <c r="G65" s="7" t="str">
        <f>IFERROR(__xludf.DUMMYFUNCTION("""COMPUTED_VALUE"""),"(91) 9 8902-8034 ")</f>
        <v>(91) 9 8902-8034 </v>
      </c>
      <c r="H65" s="7"/>
      <c r="I65" s="7"/>
      <c r="J65" s="7"/>
      <c r="K65" s="7" t="str">
        <f>IFERROR(__xludf.DUMMYFUNCTION("""COMPUTED_VALUE"""),"Anajás")</f>
        <v>Anajás</v>
      </c>
      <c r="L65" s="7" t="str">
        <f>IFERROR(__xludf.DUMMYFUNCTION("""COMPUTED_VALUE"""),"PA")</f>
        <v>PA</v>
      </c>
    </row>
    <row r="66">
      <c r="A66" s="7" t="str">
        <f>IFERROR(__xludf.DUMMYFUNCTION("""COMPUTED_VALUE"""),"PM Anapú")</f>
        <v>PM Anapú</v>
      </c>
      <c r="B66" s="7" t="str">
        <f>IFERROR(__xludf.DUMMYFUNCTION("""COMPUTED_VALUE"""),"Prefeitura Municipal de Anapú")</f>
        <v>Prefeitura Municipal de Anapú</v>
      </c>
      <c r="C66" s="7" t="str">
        <f>IFERROR(__xludf.DUMMYFUNCTION("""COMPUTED_VALUE"""),"Municipal")</f>
        <v>Municipal</v>
      </c>
      <c r="D66" s="7" t="str">
        <f>IFERROR(__xludf.DUMMYFUNCTION("""COMPUTED_VALUE"""),"01.613.194/0001-63")</f>
        <v>01.613.194/0001-63</v>
      </c>
      <c r="E66" s="7"/>
      <c r="F66" s="7"/>
      <c r="G66" s="7" t="str">
        <f>IFERROR(__xludf.DUMMYFUNCTION("""COMPUTED_VALUE"""),"(91) 9 92570091")</f>
        <v>(91) 9 92570091</v>
      </c>
      <c r="H66" s="7"/>
      <c r="I66" s="7"/>
      <c r="J66" s="7"/>
      <c r="K66" s="7" t="str">
        <f>IFERROR(__xludf.DUMMYFUNCTION("""COMPUTED_VALUE"""),"Anapú")</f>
        <v>Anapú</v>
      </c>
      <c r="L66" s="7" t="str">
        <f>IFERROR(__xludf.DUMMYFUNCTION("""COMPUTED_VALUE"""),"PA")</f>
        <v>PA</v>
      </c>
    </row>
    <row r="67">
      <c r="A67" s="7" t="str">
        <f>IFERROR(__xludf.DUMMYFUNCTION("""COMPUTED_VALUE"""),"PM Augusto Corrêa")</f>
        <v>PM Augusto Corrêa</v>
      </c>
      <c r="B67" s="7" t="str">
        <f>IFERROR(__xludf.DUMMYFUNCTION("""COMPUTED_VALUE"""),"Prefeitura Municipal de Augusto Corrêa")</f>
        <v>Prefeitura Municipal de Augusto Corrêa</v>
      </c>
      <c r="C67" s="7" t="str">
        <f>IFERROR(__xludf.DUMMYFUNCTION("""COMPUTED_VALUE"""),"Municipal")</f>
        <v>Municipal</v>
      </c>
      <c r="D67" s="7" t="str">
        <f>IFERROR(__xludf.DUMMYFUNCTION("""COMPUTED_VALUE"""),"04.873.600/0001-15")</f>
        <v>04.873.600/0001-15</v>
      </c>
      <c r="E67" s="7"/>
      <c r="F67" s="7"/>
      <c r="G67" s="7" t="str">
        <f>IFERROR(__xludf.DUMMYFUNCTION("""COMPUTED_VALUE"""),"(91) 9 9983-2958 ")</f>
        <v>(91) 9 9983-2958 </v>
      </c>
      <c r="H67" s="7"/>
      <c r="I67" s="7"/>
      <c r="J67" s="7"/>
      <c r="K67" s="7" t="str">
        <f>IFERROR(__xludf.DUMMYFUNCTION("""COMPUTED_VALUE"""),"Augusto Corrêa")</f>
        <v>Augusto Corrêa</v>
      </c>
      <c r="L67" s="7" t="str">
        <f>IFERROR(__xludf.DUMMYFUNCTION("""COMPUTED_VALUE"""),"PA")</f>
        <v>PA</v>
      </c>
    </row>
    <row r="68">
      <c r="A68" s="7" t="str">
        <f>IFERROR(__xludf.DUMMYFUNCTION("""COMPUTED_VALUE"""),"PM Bagre ")</f>
        <v>PM Bagre </v>
      </c>
      <c r="B68" s="7" t="str">
        <f>IFERROR(__xludf.DUMMYFUNCTION("""COMPUTED_VALUE"""),"Prefeitura Municipal de Bagre")</f>
        <v>Prefeitura Municipal de Bagre</v>
      </c>
      <c r="C68" s="7" t="str">
        <f>IFERROR(__xludf.DUMMYFUNCTION("""COMPUTED_VALUE"""),"Municipal")</f>
        <v>Municipal</v>
      </c>
      <c r="D68" s="7" t="str">
        <f>IFERROR(__xludf.DUMMYFUNCTION("""COMPUTED_VALUE"""),"04.876.538/0001-15")</f>
        <v>04.876.538/0001-15</v>
      </c>
      <c r="E68" s="7"/>
      <c r="F68" s="7"/>
      <c r="G68" s="7" t="str">
        <f>IFERROR(__xludf.DUMMYFUNCTION("""COMPUTED_VALUE"""),"(91) 9 9136-4439 ")</f>
        <v>(91) 9 9136-4439 </v>
      </c>
      <c r="H68" s="7"/>
      <c r="I68" s="7"/>
      <c r="J68" s="7"/>
      <c r="K68" s="7" t="str">
        <f>IFERROR(__xludf.DUMMYFUNCTION("""COMPUTED_VALUE"""),"Bagre")</f>
        <v>Bagre</v>
      </c>
      <c r="L68" s="7" t="str">
        <f>IFERROR(__xludf.DUMMYFUNCTION("""COMPUTED_VALUE"""),"PA")</f>
        <v>PA</v>
      </c>
    </row>
    <row r="69">
      <c r="A69" s="7" t="str">
        <f>IFERROR(__xludf.DUMMYFUNCTION("""COMPUTED_VALUE"""),"PM Bannach")</f>
        <v>PM Bannach</v>
      </c>
      <c r="B69" s="7" t="str">
        <f>IFERROR(__xludf.DUMMYFUNCTION("""COMPUTED_VALUE"""),"Prefeitura Municipal de Bannach")</f>
        <v>Prefeitura Municipal de Bannach</v>
      </c>
      <c r="C69" s="7" t="str">
        <f>IFERROR(__xludf.DUMMYFUNCTION("""COMPUTED_VALUE"""),"Municipal")</f>
        <v>Municipal</v>
      </c>
      <c r="D69" s="7" t="str">
        <f>IFERROR(__xludf.DUMMYFUNCTION("""COMPUTED_VALUE"""),"01.595.320/0001-02")</f>
        <v>01.595.320/0001-02</v>
      </c>
      <c r="E69" s="7"/>
      <c r="F69" s="7"/>
      <c r="G69" s="7" t="str">
        <f>IFERROR(__xludf.DUMMYFUNCTION("""COMPUTED_VALUE"""),"(94) 9 9293-7102 ")</f>
        <v>(94) 9 9293-7102 </v>
      </c>
      <c r="H69" s="7"/>
      <c r="I69" s="7"/>
      <c r="J69" s="7"/>
      <c r="K69" s="7" t="str">
        <f>IFERROR(__xludf.DUMMYFUNCTION("""COMPUTED_VALUE"""),"Bannach")</f>
        <v>Bannach</v>
      </c>
      <c r="L69" s="7" t="str">
        <f>IFERROR(__xludf.DUMMYFUNCTION("""COMPUTED_VALUE"""),"PA")</f>
        <v>PA</v>
      </c>
    </row>
    <row r="70">
      <c r="A70" s="7" t="str">
        <f>IFERROR(__xludf.DUMMYFUNCTION("""COMPUTED_VALUE"""),"PM Belterra ")</f>
        <v>PM Belterra </v>
      </c>
      <c r="B70" s="7" t="str">
        <f>IFERROR(__xludf.DUMMYFUNCTION("""COMPUTED_VALUE"""),"Prefeitura Municipal de Belterra")</f>
        <v>Prefeitura Municipal de Belterra</v>
      </c>
      <c r="C70" s="7" t="str">
        <f>IFERROR(__xludf.DUMMYFUNCTION("""COMPUTED_VALUE"""),"Municipal")</f>
        <v>Municipal</v>
      </c>
      <c r="D70" s="7" t="str">
        <f>IFERROR(__xludf.DUMMYFUNCTION("""COMPUTED_VALUE"""),"01.614.112/0001-03")</f>
        <v>01.614.112/0001-03</v>
      </c>
      <c r="E70" s="7"/>
      <c r="F70" s="7"/>
      <c r="G70" s="7" t="str">
        <f>IFERROR(__xludf.DUMMYFUNCTION("""COMPUTED_VALUE"""),"(93) 9 9121-1342")</f>
        <v>(93) 9 9121-1342</v>
      </c>
      <c r="H70" s="7"/>
      <c r="I70" s="7"/>
      <c r="J70" s="7"/>
      <c r="K70" s="7" t="str">
        <f>IFERROR(__xludf.DUMMYFUNCTION("""COMPUTED_VALUE"""),"Belterra")</f>
        <v>Belterra</v>
      </c>
      <c r="L70" s="7" t="str">
        <f>IFERROR(__xludf.DUMMYFUNCTION("""COMPUTED_VALUE"""),"PA")</f>
        <v>PA</v>
      </c>
    </row>
    <row r="71">
      <c r="A71" s="7" t="str">
        <f>IFERROR(__xludf.DUMMYFUNCTION("""COMPUTED_VALUE"""),"PM Benevides")</f>
        <v>PM Benevides</v>
      </c>
      <c r="B71" s="7" t="str">
        <f>IFERROR(__xludf.DUMMYFUNCTION("""COMPUTED_VALUE"""),"Prefeitura Municipal de Benevides")</f>
        <v>Prefeitura Municipal de Benevides</v>
      </c>
      <c r="C71" s="7" t="str">
        <f>IFERROR(__xludf.DUMMYFUNCTION("""COMPUTED_VALUE"""),"Municipal")</f>
        <v>Municipal</v>
      </c>
      <c r="D71" s="7" t="str">
        <f>IFERROR(__xludf.DUMMYFUNCTION("""COMPUTED_VALUE"""),"05.058.466/0001-61")</f>
        <v>05.058.466/0001-61</v>
      </c>
      <c r="E71" s="7"/>
      <c r="F71" s="7"/>
      <c r="G71" s="7" t="str">
        <f>IFERROR(__xludf.DUMMYFUNCTION("""COMPUTED_VALUE""")," (91) 9 8970-3774 ")</f>
        <v> (91) 9 8970-3774 </v>
      </c>
      <c r="H71" s="7"/>
      <c r="I71" s="7"/>
      <c r="J71" s="7"/>
      <c r="K71" s="7" t="str">
        <f>IFERROR(__xludf.DUMMYFUNCTION("""COMPUTED_VALUE"""),"Benevides")</f>
        <v>Benevides</v>
      </c>
      <c r="L71" s="7" t="str">
        <f>IFERROR(__xludf.DUMMYFUNCTION("""COMPUTED_VALUE"""),"PA")</f>
        <v>PA</v>
      </c>
    </row>
    <row r="72">
      <c r="A72" s="7" t="str">
        <f>IFERROR(__xludf.DUMMYFUNCTION("""COMPUTED_VALUE"""),"PM Tocantins")</f>
        <v>PM Tocantins</v>
      </c>
      <c r="B72" s="7" t="str">
        <f>IFERROR(__xludf.DUMMYFUNCTION("""COMPUTED_VALUE"""),"Prefeitura MUnicipal de Bom Jesus do Tocantins")</f>
        <v>Prefeitura MUnicipal de Bom Jesus do Tocantins</v>
      </c>
      <c r="C72" s="7" t="str">
        <f>IFERROR(__xludf.DUMMYFUNCTION("""COMPUTED_VALUE"""),"Municipal")</f>
        <v>Municipal</v>
      </c>
      <c r="D72" s="7" t="str">
        <f>IFERROR(__xludf.DUMMYFUNCTION("""COMPUTED_VALUE"""),"22.938.757/0001-63")</f>
        <v>22.938.757/0001-63</v>
      </c>
      <c r="E72" s="7" t="str">
        <f>IFERROR(__xludf.DUMMYFUNCTION("""COMPUTED_VALUE"""),"JEILSON DOS R.  SANTOS")</f>
        <v>JEILSON DOS R.  SANTOS</v>
      </c>
      <c r="F72" s="7" t="str">
        <f>IFERROR(__xludf.DUMMYFUNCTION("""COMPUTED_VALUE"""),"PREFEITO")</f>
        <v>PREFEITO</v>
      </c>
      <c r="G72" s="7"/>
      <c r="H72" s="7"/>
      <c r="I72" s="7"/>
      <c r="J72" s="7"/>
      <c r="K72" s="7" t="str">
        <f>IFERROR(__xludf.DUMMYFUNCTION("""COMPUTED_VALUE"""),"Bom Jesus do Tocantins")</f>
        <v>Bom Jesus do Tocantins</v>
      </c>
      <c r="L72" s="7" t="str">
        <f>IFERROR(__xludf.DUMMYFUNCTION("""COMPUTED_VALUE"""),"PA")</f>
        <v>PA</v>
      </c>
    </row>
    <row r="73">
      <c r="A73" s="7" t="str">
        <f>IFERROR(__xludf.DUMMYFUNCTION("""COMPUTED_VALUE"""),"PM Brasil Novo")</f>
        <v>PM Brasil Novo</v>
      </c>
      <c r="B73" s="7" t="str">
        <f>IFERROR(__xludf.DUMMYFUNCTION("""COMPUTED_VALUE"""),"Prefeitura Municipal de Brasil Novo")</f>
        <v>Prefeitura Municipal de Brasil Novo</v>
      </c>
      <c r="C73" s="7" t="str">
        <f>IFERROR(__xludf.DUMMYFUNCTION("""COMPUTED_VALUE"""),"Municipal")</f>
        <v>Municipal</v>
      </c>
      <c r="D73" s="7" t="str">
        <f>IFERROR(__xludf.DUMMYFUNCTION("""COMPUTED_VALUE"""),"09.148.633/0001-16")</f>
        <v>09.148.633/0001-16</v>
      </c>
      <c r="E73" s="7"/>
      <c r="F73" s="7"/>
      <c r="G73" s="7" t="str">
        <f>IFERROR(__xludf.DUMMYFUNCTION("""COMPUTED_VALUE"""),"(93) 9 9126-8689")</f>
        <v>(93) 9 9126-8689</v>
      </c>
      <c r="H73" s="7"/>
      <c r="I73" s="7"/>
      <c r="J73" s="7"/>
      <c r="K73" s="7" t="str">
        <f>IFERROR(__xludf.DUMMYFUNCTION("""COMPUTED_VALUE"""),"Brasil Novo")</f>
        <v>Brasil Novo</v>
      </c>
      <c r="L73" s="7" t="str">
        <f>IFERROR(__xludf.DUMMYFUNCTION("""COMPUTED_VALUE"""),"PA")</f>
        <v>PA</v>
      </c>
    </row>
    <row r="74">
      <c r="A74" s="7" t="str">
        <f>IFERROR(__xludf.DUMMYFUNCTION("""COMPUTED_VALUE"""),"PM Breves")</f>
        <v>PM Breves</v>
      </c>
      <c r="B74" s="7" t="str">
        <f>IFERROR(__xludf.DUMMYFUNCTION("""COMPUTED_VALUE"""),"Prefeitura Municipal de Breves")</f>
        <v>Prefeitura Municipal de Breves</v>
      </c>
      <c r="C74" s="7" t="str">
        <f>IFERROR(__xludf.DUMMYFUNCTION("""COMPUTED_VALUE"""),"Municipal")</f>
        <v>Municipal</v>
      </c>
      <c r="D74" s="7" t="str">
        <f>IFERROR(__xludf.DUMMYFUNCTION("""COMPUTED_VALUE"""),"04.876.389/0001-94")</f>
        <v>04.876.389/0001-94</v>
      </c>
      <c r="E74" s="7"/>
      <c r="F74" s="7"/>
      <c r="G74" s="7" t="str">
        <f>IFERROR(__xludf.DUMMYFUNCTION("""COMPUTED_VALUE""")," (91) 9 9270-5414 ")</f>
        <v> (91) 9 9270-5414 </v>
      </c>
      <c r="H74" s="7"/>
      <c r="I74" s="7"/>
      <c r="J74" s="7"/>
      <c r="K74" s="7" t="str">
        <f>IFERROR(__xludf.DUMMYFUNCTION("""COMPUTED_VALUE"""),"Breves")</f>
        <v>Breves</v>
      </c>
      <c r="L74" s="7" t="str">
        <f>IFERROR(__xludf.DUMMYFUNCTION("""COMPUTED_VALUE"""),"PA")</f>
        <v>PA</v>
      </c>
    </row>
    <row r="75">
      <c r="A75" s="7" t="str">
        <f>IFERROR(__xludf.DUMMYFUNCTION("""COMPUTED_VALUE"""),"PM Cametá")</f>
        <v>PM Cametá</v>
      </c>
      <c r="B75" s="7" t="str">
        <f>IFERROR(__xludf.DUMMYFUNCTION("""COMPUTED_VALUE"""),"Prefeitura Municipal de Cametá")</f>
        <v>Prefeitura Municipal de Cametá</v>
      </c>
      <c r="C75" s="7" t="str">
        <f>IFERROR(__xludf.DUMMYFUNCTION("""COMPUTED_VALUE"""),"Municipal")</f>
        <v>Municipal</v>
      </c>
      <c r="D75" s="7" t="str">
        <f>IFERROR(__xludf.DUMMYFUNCTION("""COMPUTED_VALUE"""),"05.105.283/0001-50")</f>
        <v>05.105.283/0001-50</v>
      </c>
      <c r="E75" s="7"/>
      <c r="F75" s="7"/>
      <c r="G75" s="7" t="str">
        <f>IFERROR(__xludf.DUMMYFUNCTION("""COMPUTED_VALUE""")," (91) 9 9139-6643")</f>
        <v> (91) 9 9139-6643</v>
      </c>
      <c r="H75" s="7"/>
      <c r="I75" s="7"/>
      <c r="J75" s="7"/>
      <c r="K75" s="7" t="str">
        <f>IFERROR(__xludf.DUMMYFUNCTION("""COMPUTED_VALUE"""),"Cametá")</f>
        <v>Cametá</v>
      </c>
      <c r="L75" s="7" t="str">
        <f>IFERROR(__xludf.DUMMYFUNCTION("""COMPUTED_VALUE"""),"PA")</f>
        <v>PA</v>
      </c>
    </row>
    <row r="76">
      <c r="A76" s="7" t="str">
        <f>IFERROR(__xludf.DUMMYFUNCTION("""COMPUTED_VALUE"""),"PM Canaã dos Carajás")</f>
        <v>PM Canaã dos Carajás</v>
      </c>
      <c r="B76" s="7" t="str">
        <f>IFERROR(__xludf.DUMMYFUNCTION("""COMPUTED_VALUE"""),"Prefeitura Municipal de Canaã  dos Carajás")</f>
        <v>Prefeitura Municipal de Canaã  dos Carajás</v>
      </c>
      <c r="C76" s="7" t="str">
        <f>IFERROR(__xludf.DUMMYFUNCTION("""COMPUTED_VALUE"""),"Municipal")</f>
        <v>Municipal</v>
      </c>
      <c r="D76" s="7" t="str">
        <f>IFERROR(__xludf.DUMMYFUNCTION("""COMPUTED_VALUE"""),"01.613.321/0001-24")</f>
        <v>01.613.321/0001-24</v>
      </c>
      <c r="E76" s="7"/>
      <c r="F76" s="7"/>
      <c r="G76" s="7" t="str">
        <f>IFERROR(__xludf.DUMMYFUNCTION("""COMPUTED_VALUE""")," (94) 9 9134-7388 ")</f>
        <v> (94) 9 9134-7388 </v>
      </c>
      <c r="H76" s="7"/>
      <c r="I76" s="7"/>
      <c r="J76" s="7"/>
      <c r="K76" s="7" t="str">
        <f>IFERROR(__xludf.DUMMYFUNCTION("""COMPUTED_VALUE"""),"Canaã dos Carajás")</f>
        <v>Canaã dos Carajás</v>
      </c>
      <c r="L76" s="7" t="str">
        <f>IFERROR(__xludf.DUMMYFUNCTION("""COMPUTED_VALUE"""),"PA")</f>
        <v>PA</v>
      </c>
    </row>
    <row r="77">
      <c r="A77" s="7" t="str">
        <f>IFERROR(__xludf.DUMMYFUNCTION("""COMPUTED_VALUE"""),"PM Capanema")</f>
        <v>PM Capanema</v>
      </c>
      <c r="B77" s="7" t="str">
        <f>IFERROR(__xludf.DUMMYFUNCTION("""COMPUTED_VALUE"""),"Prefeitura Municipal de Capanema")</f>
        <v>Prefeitura Municipal de Capanema</v>
      </c>
      <c r="C77" s="7" t="str">
        <f>IFERROR(__xludf.DUMMYFUNCTION("""COMPUTED_VALUE"""),"Municipal")</f>
        <v>Municipal</v>
      </c>
      <c r="D77" s="7" t="str">
        <f>IFERROR(__xludf.DUMMYFUNCTION("""COMPUTED_VALUE"""),"05.149.091/0001-45")</f>
        <v>05.149.091/0001-45</v>
      </c>
      <c r="E77" s="7"/>
      <c r="F77" s="7"/>
      <c r="G77" s="7" t="str">
        <f>IFERROR(__xludf.DUMMYFUNCTION("""COMPUTED_VALUE""")," (91) 98485-5742 ")</f>
        <v> (91) 98485-5742 </v>
      </c>
      <c r="H77" s="7"/>
      <c r="I77" s="7"/>
      <c r="J77" s="7"/>
      <c r="K77" s="7" t="str">
        <f>IFERROR(__xludf.DUMMYFUNCTION("""COMPUTED_VALUE"""),"Capanema")</f>
        <v>Capanema</v>
      </c>
      <c r="L77" s="7" t="str">
        <f>IFERROR(__xludf.DUMMYFUNCTION("""COMPUTED_VALUE"""),"PA")</f>
        <v>PA</v>
      </c>
    </row>
    <row r="78">
      <c r="A78" s="7" t="str">
        <f>IFERROR(__xludf.DUMMYFUNCTION("""COMPUTED_VALUE"""),"PM Capitão Poço")</f>
        <v>PM Capitão Poço</v>
      </c>
      <c r="B78" s="7" t="str">
        <f>IFERROR(__xludf.DUMMYFUNCTION("""COMPUTED_VALUE"""),"Prefeitura Municipal de Capitão poço")</f>
        <v>Prefeitura Municipal de Capitão poço</v>
      </c>
      <c r="C78" s="7" t="str">
        <f>IFERROR(__xludf.DUMMYFUNCTION("""COMPUTED_VALUE"""),"Municipal")</f>
        <v>Municipal</v>
      </c>
      <c r="D78" s="7" t="str">
        <f>IFERROR(__xludf.DUMMYFUNCTION("""COMPUTED_VALUE"""),"05.149.109/0001-09")</f>
        <v>05.149.109/0001-09</v>
      </c>
      <c r="E78" s="7"/>
      <c r="F78" s="7"/>
      <c r="G78" s="7" t="str">
        <f>IFERROR(__xludf.DUMMYFUNCTION("""COMPUTED_VALUE""")," (91) 9 9390-1766 ")</f>
        <v> (91) 9 9390-1766 </v>
      </c>
      <c r="H78" s="7"/>
      <c r="I78" s="7"/>
      <c r="J78" s="7"/>
      <c r="K78" s="7" t="str">
        <f>IFERROR(__xludf.DUMMYFUNCTION("""COMPUTED_VALUE"""),"Capitão Poço")</f>
        <v>Capitão Poço</v>
      </c>
      <c r="L78" s="7" t="str">
        <f>IFERROR(__xludf.DUMMYFUNCTION("""COMPUTED_VALUE"""),"PA")</f>
        <v>PA</v>
      </c>
    </row>
    <row r="79">
      <c r="A79" s="7" t="str">
        <f>IFERROR(__xludf.DUMMYFUNCTION("""COMPUTED_VALUE"""),"PM Castanhal")</f>
        <v>PM Castanhal</v>
      </c>
      <c r="B79" s="7" t="str">
        <f>IFERROR(__xludf.DUMMYFUNCTION("""COMPUTED_VALUE"""),"Prefeitura Municipal de Castanhal")</f>
        <v>Prefeitura Municipal de Castanhal</v>
      </c>
      <c r="C79" s="7" t="str">
        <f>IFERROR(__xludf.DUMMYFUNCTION("""COMPUTED_VALUE"""),"Municipal")</f>
        <v>Municipal</v>
      </c>
      <c r="D79" s="7" t="str">
        <f>IFERROR(__xludf.DUMMYFUNCTION("""COMPUTED_VALUE"""),"05.121.991/0001-84")</f>
        <v>05.121.991/0001-84</v>
      </c>
      <c r="E79" s="7"/>
      <c r="F79" s="7"/>
      <c r="G79" s="7" t="str">
        <f>IFERROR(__xludf.DUMMYFUNCTION("""COMPUTED_VALUE""")," (91) 9 8851-0610 ")</f>
        <v> (91) 9 8851-0610 </v>
      </c>
      <c r="H79" s="7"/>
      <c r="I79" s="7"/>
      <c r="J79" s="7"/>
      <c r="K79" s="7" t="str">
        <f>IFERROR(__xludf.DUMMYFUNCTION("""COMPUTED_VALUE"""),"Castanhal")</f>
        <v>Castanhal</v>
      </c>
      <c r="L79" s="7" t="str">
        <f>IFERROR(__xludf.DUMMYFUNCTION("""COMPUTED_VALUE"""),"PA")</f>
        <v>PA</v>
      </c>
    </row>
    <row r="80">
      <c r="A80" s="7" t="str">
        <f>IFERROR(__xludf.DUMMYFUNCTION("""COMPUTED_VALUE"""),"PM Chaves")</f>
        <v>PM Chaves</v>
      </c>
      <c r="B80" s="7" t="str">
        <f>IFERROR(__xludf.DUMMYFUNCTION("""COMPUTED_VALUE"""),"Prefeitura Municipal de Chaves")</f>
        <v>Prefeitura Municipal de Chaves</v>
      </c>
      <c r="C80" s="7" t="str">
        <f>IFERROR(__xludf.DUMMYFUNCTION("""COMPUTED_VALUE"""),"Municipal")</f>
        <v>Municipal</v>
      </c>
      <c r="D80" s="7" t="str">
        <f>IFERROR(__xludf.DUMMYFUNCTION("""COMPUTED_VALUE"""),"04.888.111/0001-37")</f>
        <v>04.888.111/0001-37</v>
      </c>
      <c r="E80" s="7"/>
      <c r="F80" s="7"/>
      <c r="G80" s="7" t="str">
        <f>IFERROR(__xludf.DUMMYFUNCTION("""COMPUTED_VALUE"""),"(91)9 9804-7538")</f>
        <v>(91)9 9804-7538</v>
      </c>
      <c r="H80" s="7"/>
      <c r="I80" s="7"/>
      <c r="J80" s="7"/>
      <c r="K80" s="7" t="str">
        <f>IFERROR(__xludf.DUMMYFUNCTION("""COMPUTED_VALUE"""),"Chaves")</f>
        <v>Chaves</v>
      </c>
      <c r="L80" s="7" t="str">
        <f>IFERROR(__xludf.DUMMYFUNCTION("""COMPUTED_VALUE"""),"PA")</f>
        <v>PA</v>
      </c>
    </row>
    <row r="81">
      <c r="A81" s="7" t="str">
        <f>IFERROR(__xludf.DUMMYFUNCTION("""COMPUTED_VALUE"""),"PM Curionópolis")</f>
        <v>PM Curionópolis</v>
      </c>
      <c r="B81" s="7" t="str">
        <f>IFERROR(__xludf.DUMMYFUNCTION("""COMPUTED_VALUE"""),"Prefeitura Municipal de Curionópolis")</f>
        <v>Prefeitura Municipal de Curionópolis</v>
      </c>
      <c r="C81" s="7" t="str">
        <f>IFERROR(__xludf.DUMMYFUNCTION("""COMPUTED_VALUE"""),"Municipal")</f>
        <v>Municipal</v>
      </c>
      <c r="D81" s="7" t="str">
        <f>IFERROR(__xludf.DUMMYFUNCTION("""COMPUTED_VALUE"""),"22.938.732/0001-60")</f>
        <v>22.938.732/0001-60</v>
      </c>
      <c r="E81" s="7"/>
      <c r="F81" s="7"/>
      <c r="G81" s="7" t="str">
        <f>IFERROR(__xludf.DUMMYFUNCTION("""COMPUTED_VALUE""")," (94) 9 8425-9373 ")</f>
        <v> (94) 9 8425-9373 </v>
      </c>
      <c r="H81" s="7"/>
      <c r="I81" s="7"/>
      <c r="J81" s="7"/>
      <c r="K81" s="7" t="str">
        <f>IFERROR(__xludf.DUMMYFUNCTION("""COMPUTED_VALUE"""),"Curionópolis")</f>
        <v>Curionópolis</v>
      </c>
      <c r="L81" s="7" t="str">
        <f>IFERROR(__xludf.DUMMYFUNCTION("""COMPUTED_VALUE"""),"PA")</f>
        <v>PA</v>
      </c>
    </row>
    <row r="82">
      <c r="A82" s="7" t="str">
        <f>IFERROR(__xludf.DUMMYFUNCTION("""COMPUTED_VALUE"""),"PM Curralinho")</f>
        <v>PM Curralinho</v>
      </c>
      <c r="B82" s="7" t="str">
        <f>IFERROR(__xludf.DUMMYFUNCTION("""COMPUTED_VALUE"""),"Prefeitura Municipal de Curralinho")</f>
        <v>Prefeitura Municipal de Curralinho</v>
      </c>
      <c r="C82" s="7" t="str">
        <f>IFERROR(__xludf.DUMMYFUNCTION("""COMPUTED_VALUE"""),"Municipal")</f>
        <v>Municipal</v>
      </c>
      <c r="D82" s="7" t="str">
        <f>IFERROR(__xludf.DUMMYFUNCTION("""COMPUTED_VALUE"""),"04.876.710/0001-30")</f>
        <v>04.876.710/0001-30</v>
      </c>
      <c r="E82" s="7"/>
      <c r="F82" s="7"/>
      <c r="G82" s="7" t="str">
        <f>IFERROR(__xludf.DUMMYFUNCTION("""COMPUTED_VALUE"""),"(91) 9 9309-9616 ")</f>
        <v>(91) 9 9309-9616 </v>
      </c>
      <c r="H82" s="7"/>
      <c r="I82" s="7"/>
      <c r="J82" s="7"/>
      <c r="K82" s="7" t="str">
        <f>IFERROR(__xludf.DUMMYFUNCTION("""COMPUTED_VALUE"""),"Curralinho")</f>
        <v>Curralinho</v>
      </c>
      <c r="L82" s="7" t="str">
        <f>IFERROR(__xludf.DUMMYFUNCTION("""COMPUTED_VALUE"""),"PA")</f>
        <v>PA</v>
      </c>
    </row>
    <row r="83">
      <c r="A83" s="7" t="str">
        <f>IFERROR(__xludf.DUMMYFUNCTION("""COMPUTED_VALUE"""),"PM Dom Eliseu")</f>
        <v>PM Dom Eliseu</v>
      </c>
      <c r="B83" s="7" t="str">
        <f>IFERROR(__xludf.DUMMYFUNCTION("""COMPUTED_VALUE"""),"Prefeitura Municipal de Dom Eliseu")</f>
        <v>Prefeitura Municipal de Dom Eliseu</v>
      </c>
      <c r="C83" s="7" t="str">
        <f>IFERROR(__xludf.DUMMYFUNCTION("""COMPUTED_VALUE"""),"Municipal")</f>
        <v>Municipal</v>
      </c>
      <c r="D83" s="7" t="str">
        <f>IFERROR(__xludf.DUMMYFUNCTION("""COMPUTED_VALUE"""),"22.953.681/0001-45")</f>
        <v>22.953.681/0001-45</v>
      </c>
      <c r="E83" s="7"/>
      <c r="F83" s="7"/>
      <c r="G83" s="7" t="str">
        <f>IFERROR(__xludf.DUMMYFUNCTION("""COMPUTED_VALUE"""),"(94) 9 8165-8752 ")</f>
        <v>(94) 9 8165-8752 </v>
      </c>
      <c r="H83" s="7"/>
      <c r="I83" s="7"/>
      <c r="J83" s="7"/>
      <c r="K83" s="7" t="str">
        <f>IFERROR(__xludf.DUMMYFUNCTION("""COMPUTED_VALUE"""),"Dom Eliseu")</f>
        <v>Dom Eliseu</v>
      </c>
      <c r="L83" s="7" t="str">
        <f>IFERROR(__xludf.DUMMYFUNCTION("""COMPUTED_VALUE"""),"PA")</f>
        <v>PA</v>
      </c>
    </row>
    <row r="84">
      <c r="A84" s="7" t="str">
        <f>IFERROR(__xludf.DUMMYFUNCTION("""COMPUTED_VALUE"""),"PM Eldorado dos Carajás")</f>
        <v>PM Eldorado dos Carajás</v>
      </c>
      <c r="B84" s="7" t="str">
        <f>IFERROR(__xludf.DUMMYFUNCTION("""COMPUTED_VALUE"""),"Prefeitura Municipal de Eldorado dos Carajás")</f>
        <v>Prefeitura Municipal de Eldorado dos Carajás</v>
      </c>
      <c r="C84" s="7" t="str">
        <f>IFERROR(__xludf.DUMMYFUNCTION("""COMPUTED_VALUE"""),"Municipal")</f>
        <v>Municipal</v>
      </c>
      <c r="D84" s="7" t="str">
        <f>IFERROR(__xludf.DUMMYFUNCTION("""COMPUTED_VALUE"""),"84.139.633/0001-75")</f>
        <v>84.139.633/0001-75</v>
      </c>
      <c r="E84" s="7"/>
      <c r="F84" s="7"/>
      <c r="G84" s="7" t="str">
        <f>IFERROR(__xludf.DUMMYFUNCTION("""COMPUTED_VALUE"""),"(94) 9 8102-1534 ")</f>
        <v>(94) 9 8102-1534 </v>
      </c>
      <c r="H84" s="7"/>
      <c r="I84" s="7"/>
      <c r="J84" s="7"/>
      <c r="K84" s="7" t="str">
        <f>IFERROR(__xludf.DUMMYFUNCTION("""COMPUTED_VALUE"""),"Eldorado dos Carajás")</f>
        <v>Eldorado dos Carajás</v>
      </c>
      <c r="L84" s="7" t="str">
        <f>IFERROR(__xludf.DUMMYFUNCTION("""COMPUTED_VALUE"""),"PA")</f>
        <v>PA</v>
      </c>
    </row>
    <row r="85">
      <c r="A85" s="7" t="str">
        <f>IFERROR(__xludf.DUMMYFUNCTION("""COMPUTED_VALUE"""),"PM Garrafão do Norte")</f>
        <v>PM Garrafão do Norte</v>
      </c>
      <c r="B85" s="7" t="str">
        <f>IFERROR(__xludf.DUMMYFUNCTION("""COMPUTED_VALUE"""),"Prefeitura Municipal de Garrafão do Norte")</f>
        <v>Prefeitura Municipal de Garrafão do Norte</v>
      </c>
      <c r="C85" s="7" t="str">
        <f>IFERROR(__xludf.DUMMYFUNCTION("""COMPUTED_VALUE"""),"Municipal")</f>
        <v>Municipal</v>
      </c>
      <c r="D85" s="7" t="str">
        <f>IFERROR(__xludf.DUMMYFUNCTION("""COMPUTED_VALUE"""),"22.980.940/0001-27")</f>
        <v>22.980.940/0001-27</v>
      </c>
      <c r="E85" s="7"/>
      <c r="F85" s="7"/>
      <c r="G85" s="7" t="str">
        <f>IFERROR(__xludf.DUMMYFUNCTION("""COMPUTED_VALUE"""),"(91) 9 8481-7391")</f>
        <v>(91) 9 8481-7391</v>
      </c>
      <c r="H85" s="7"/>
      <c r="I85" s="7"/>
      <c r="J85" s="7"/>
      <c r="K85" s="7" t="str">
        <f>IFERROR(__xludf.DUMMYFUNCTION("""COMPUTED_VALUE"""),"Garrafão do Norte")</f>
        <v>Garrafão do Norte</v>
      </c>
      <c r="L85" s="7" t="str">
        <f>IFERROR(__xludf.DUMMYFUNCTION("""COMPUTED_VALUE"""),"PA")</f>
        <v>PA</v>
      </c>
    </row>
    <row r="86">
      <c r="A86" s="7" t="str">
        <f>IFERROR(__xludf.DUMMYFUNCTION("""COMPUTED_VALUE"""),"PM Igarapé Açú")</f>
        <v>PM Igarapé Açú</v>
      </c>
      <c r="B86" s="7" t="str">
        <f>IFERROR(__xludf.DUMMYFUNCTION("""COMPUTED_VALUE"""),"Prefeitura Municipal de Igarapé Açú")</f>
        <v>Prefeitura Municipal de Igarapé Açú</v>
      </c>
      <c r="C86" s="7" t="str">
        <f>IFERROR(__xludf.DUMMYFUNCTION("""COMPUTED_VALUE"""),"Municipal")</f>
        <v>Municipal</v>
      </c>
      <c r="D86" s="7" t="str">
        <f>IFERROR(__xludf.DUMMYFUNCTION("""COMPUTED_VALUE"""),"05.149.117/0001-55")</f>
        <v>05.149.117/0001-55</v>
      </c>
      <c r="E86" s="7"/>
      <c r="F86" s="7"/>
      <c r="G86" s="7" t="str">
        <f>IFERROR(__xludf.DUMMYFUNCTION("""COMPUTED_VALUE"""),"(91) 9 8088-1026")</f>
        <v>(91) 9 8088-1026</v>
      </c>
      <c r="H86" s="7"/>
      <c r="I86" s="7"/>
      <c r="J86" s="7"/>
      <c r="K86" s="7" t="str">
        <f>IFERROR(__xludf.DUMMYFUNCTION("""COMPUTED_VALUE"""),"Igarapé Açú")</f>
        <v>Igarapé Açú</v>
      </c>
      <c r="L86" s="7" t="str">
        <f>IFERROR(__xludf.DUMMYFUNCTION("""COMPUTED_VALUE"""),"PA")</f>
        <v>PA</v>
      </c>
    </row>
    <row r="87">
      <c r="A87" s="7" t="str">
        <f>IFERROR(__xludf.DUMMYFUNCTION("""COMPUTED_VALUE"""),"PM Inhangapi")</f>
        <v>PM Inhangapi</v>
      </c>
      <c r="B87" s="7" t="str">
        <f>IFERROR(__xludf.DUMMYFUNCTION("""COMPUTED_VALUE"""),"Prefeitura Municipal de Inhangapi")</f>
        <v>Prefeitura Municipal de Inhangapi</v>
      </c>
      <c r="C87" s="7" t="str">
        <f>IFERROR(__xludf.DUMMYFUNCTION("""COMPUTED_VALUE"""),"Municipal")</f>
        <v>Municipal</v>
      </c>
      <c r="D87" s="7" t="str">
        <f>IFERROR(__xludf.DUMMYFUNCTION("""COMPUTED_VALUE"""),"05.171.921/0001-30")</f>
        <v>05.171.921/0001-30</v>
      </c>
      <c r="E87" s="7"/>
      <c r="F87" s="7"/>
      <c r="G87" s="7" t="str">
        <f>IFERROR(__xludf.DUMMYFUNCTION("""COMPUTED_VALUE""")," (91) 9 8503-2638 ")</f>
        <v> (91) 9 8503-2638 </v>
      </c>
      <c r="H87" s="7"/>
      <c r="I87" s="7"/>
      <c r="J87" s="7"/>
      <c r="K87" s="7" t="str">
        <f>IFERROR(__xludf.DUMMYFUNCTION("""COMPUTED_VALUE"""),"Inhangapi")</f>
        <v>Inhangapi</v>
      </c>
      <c r="L87" s="7" t="str">
        <f>IFERROR(__xludf.DUMMYFUNCTION("""COMPUTED_VALUE"""),"PA")</f>
        <v>PA</v>
      </c>
    </row>
    <row r="88">
      <c r="A88" s="7" t="str">
        <f>IFERROR(__xludf.DUMMYFUNCTION("""COMPUTED_VALUE"""),"PM Ipixuna do Pará")</f>
        <v>PM Ipixuna do Pará</v>
      </c>
      <c r="B88" s="7" t="str">
        <f>IFERROR(__xludf.DUMMYFUNCTION("""COMPUTED_VALUE"""),"Prefeitura Municipal de Ipixuna do Pará")</f>
        <v>Prefeitura Municipal de Ipixuna do Pará</v>
      </c>
      <c r="C88" s="7" t="str">
        <f>IFERROR(__xludf.DUMMYFUNCTION("""COMPUTED_VALUE"""),"Municipal")</f>
        <v>Municipal</v>
      </c>
      <c r="D88" s="7" t="str">
        <f>IFERROR(__xludf.DUMMYFUNCTION("""COMPUTED_VALUE"""),"83.268.011/0001-84")</f>
        <v>83.268.011/0001-84</v>
      </c>
      <c r="E88" s="7"/>
      <c r="F88" s="7"/>
      <c r="G88" s="7" t="str">
        <f>IFERROR(__xludf.DUMMYFUNCTION("""COMPUTED_VALUE"""),"9 9193-1584 (Venilson) 9 8841-6276 (Cristiane)")</f>
        <v>9 9193-1584 (Venilson) 9 8841-6276 (Cristiane)</v>
      </c>
      <c r="H88" s="7"/>
      <c r="I88" s="7"/>
      <c r="J88" s="7"/>
      <c r="K88" s="7" t="str">
        <f>IFERROR(__xludf.DUMMYFUNCTION("""COMPUTED_VALUE"""),"Ipixuna do Pará")</f>
        <v>Ipixuna do Pará</v>
      </c>
      <c r="L88" s="7" t="str">
        <f>IFERROR(__xludf.DUMMYFUNCTION("""COMPUTED_VALUE"""),"PA")</f>
        <v>PA</v>
      </c>
    </row>
    <row r="89">
      <c r="A89" s="7" t="str">
        <f>IFERROR(__xludf.DUMMYFUNCTION("""COMPUTED_VALUE"""),"PM Itupiranga")</f>
        <v>PM Itupiranga</v>
      </c>
      <c r="B89" s="7" t="str">
        <f>IFERROR(__xludf.DUMMYFUNCTION("""COMPUTED_VALUE"""),"Prefeitura Municipal de Itupiranga")</f>
        <v>Prefeitura Municipal de Itupiranga</v>
      </c>
      <c r="C89" s="7" t="str">
        <f>IFERROR(__xludf.DUMMYFUNCTION("""COMPUTED_VALUE"""),"Municipal")</f>
        <v>Municipal</v>
      </c>
      <c r="D89" s="7" t="str">
        <f>IFERROR(__xludf.DUMMYFUNCTION("""COMPUTED_VALUE"""),"05.077.102/0001-29")</f>
        <v>05.077.102/0001-29</v>
      </c>
      <c r="E89" s="7"/>
      <c r="F89" s="7"/>
      <c r="G89" s="7" t="str">
        <f>IFERROR(__xludf.DUMMYFUNCTION("""COMPUTED_VALUE"""),"(94) 9 9286-3939 (Zap) / 9 9184-6204 ")</f>
        <v>(94) 9 9286-3939 (Zap) / 9 9184-6204 </v>
      </c>
      <c r="H89" s="7"/>
      <c r="I89" s="7"/>
      <c r="J89" s="7"/>
      <c r="K89" s="7" t="str">
        <f>IFERROR(__xludf.DUMMYFUNCTION("""COMPUTED_VALUE"""),"Itupiranga")</f>
        <v>Itupiranga</v>
      </c>
      <c r="L89" s="7" t="str">
        <f>IFERROR(__xludf.DUMMYFUNCTION("""COMPUTED_VALUE"""),"PA")</f>
        <v>PA</v>
      </c>
    </row>
    <row r="90">
      <c r="A90" s="7" t="str">
        <f>IFERROR(__xludf.DUMMYFUNCTION("""COMPUTED_VALUE"""),"PM Jacareacanga")</f>
        <v>PM Jacareacanga</v>
      </c>
      <c r="B90" s="7" t="str">
        <f>IFERROR(__xludf.DUMMYFUNCTION("""COMPUTED_VALUE"""),"Prefeitura Municipal de Jacareacanga")</f>
        <v>Prefeitura Municipal de Jacareacanga</v>
      </c>
      <c r="C90" s="7" t="str">
        <f>IFERROR(__xludf.DUMMYFUNCTION("""COMPUTED_VALUE"""),"Municipal")</f>
        <v>Municipal</v>
      </c>
      <c r="D90" s="7" t="str">
        <f>IFERROR(__xludf.DUMMYFUNCTION("""COMPUTED_VALUE"""),"10.221.745/0001-34")</f>
        <v>10.221.745/0001-34</v>
      </c>
      <c r="E90" s="7"/>
      <c r="F90" s="7"/>
      <c r="G90" s="7" t="str">
        <f>IFERROR(__xludf.DUMMYFUNCTION("""COMPUTED_VALUE""")," (93) 9 9192-3267")</f>
        <v> (93) 9 9192-3267</v>
      </c>
      <c r="H90" s="7"/>
      <c r="I90" s="7"/>
      <c r="J90" s="7"/>
      <c r="K90" s="7" t="str">
        <f>IFERROR(__xludf.DUMMYFUNCTION("""COMPUTED_VALUE"""),"Jacareacanga")</f>
        <v>Jacareacanga</v>
      </c>
      <c r="L90" s="7" t="str">
        <f>IFERROR(__xludf.DUMMYFUNCTION("""COMPUTED_VALUE"""),"PA")</f>
        <v>PA</v>
      </c>
    </row>
    <row r="91">
      <c r="A91" s="7" t="str">
        <f>IFERROR(__xludf.DUMMYFUNCTION("""COMPUTED_VALUE"""),"PM Juruti")</f>
        <v>PM Juruti</v>
      </c>
      <c r="B91" s="7" t="str">
        <f>IFERROR(__xludf.DUMMYFUNCTION("""COMPUTED_VALUE"""),"Prefeitura Municipal de Juruti")</f>
        <v>Prefeitura Municipal de Juruti</v>
      </c>
      <c r="C91" s="7" t="str">
        <f>IFERROR(__xludf.DUMMYFUNCTION("""COMPUTED_VALUE"""),"Municipal")</f>
        <v>Municipal</v>
      </c>
      <c r="D91" s="7" t="str">
        <f>IFERROR(__xludf.DUMMYFUNCTION("""COMPUTED_VALUE"""),"05.257.555/0001-37")</f>
        <v>05.257.555/0001-37</v>
      </c>
      <c r="E91" s="7"/>
      <c r="F91" s="7"/>
      <c r="G91" s="7" t="str">
        <f>IFERROR(__xludf.DUMMYFUNCTION("""COMPUTED_VALUE"""),"(93) 9 9183-9920")</f>
        <v>(93) 9 9183-9920</v>
      </c>
      <c r="H91" s="7"/>
      <c r="I91" s="7"/>
      <c r="J91" s="7"/>
      <c r="K91" s="7" t="str">
        <f>IFERROR(__xludf.DUMMYFUNCTION("""COMPUTED_VALUE"""),"Juruti")</f>
        <v>Juruti</v>
      </c>
      <c r="L91" s="7" t="str">
        <f>IFERROR(__xludf.DUMMYFUNCTION("""COMPUTED_VALUE"""),"PA")</f>
        <v>PA</v>
      </c>
    </row>
    <row r="92">
      <c r="A92" s="7" t="str">
        <f>IFERROR(__xludf.DUMMYFUNCTION("""COMPUTED_VALUE"""),"PM Mãe do Rio")</f>
        <v>PM Mãe do Rio</v>
      </c>
      <c r="B92" s="7" t="str">
        <f>IFERROR(__xludf.DUMMYFUNCTION("""COMPUTED_VALUE"""),"Prefeitura Municipal de Mãe do Rio")</f>
        <v>Prefeitura Municipal de Mãe do Rio</v>
      </c>
      <c r="C92" s="7" t="str">
        <f>IFERROR(__xludf.DUMMYFUNCTION("""COMPUTED_VALUE"""),"Municipal")</f>
        <v>Municipal</v>
      </c>
      <c r="D92" s="7" t="str">
        <f>IFERROR(__xludf.DUMMYFUNCTION("""COMPUTED_VALUE"""),"05.363.023/0001-84")</f>
        <v>05.363.023/0001-84</v>
      </c>
      <c r="E92" s="7"/>
      <c r="F92" s="7"/>
      <c r="G92" s="7" t="str">
        <f>IFERROR(__xludf.DUMMYFUNCTION("""COMPUTED_VALUE"""),"(91) 9 8850-8335 / 9 8123-1045 ")</f>
        <v>(91) 9 8850-8335 / 9 8123-1045 </v>
      </c>
      <c r="H92" s="7"/>
      <c r="I92" s="7"/>
      <c r="J92" s="7"/>
      <c r="K92" s="7" t="str">
        <f>IFERROR(__xludf.DUMMYFUNCTION("""COMPUTED_VALUE"""),"Mãe do Rio")</f>
        <v>Mãe do Rio</v>
      </c>
      <c r="L92" s="7" t="str">
        <f>IFERROR(__xludf.DUMMYFUNCTION("""COMPUTED_VALUE"""),"PA")</f>
        <v>PA</v>
      </c>
    </row>
    <row r="93">
      <c r="A93" s="7" t="str">
        <f>IFERROR(__xludf.DUMMYFUNCTION("""COMPUTED_VALUE"""),"PM Magalhães Barata")</f>
        <v>PM Magalhães Barata</v>
      </c>
      <c r="B93" s="7" t="str">
        <f>IFERROR(__xludf.DUMMYFUNCTION("""COMPUTED_VALUE"""),"Prefeitura Municipal de Magalhães Barata")</f>
        <v>Prefeitura Municipal de Magalhães Barata</v>
      </c>
      <c r="C93" s="7" t="str">
        <f>IFERROR(__xludf.DUMMYFUNCTION("""COMPUTED_VALUE"""),"Municipal")</f>
        <v>Municipal</v>
      </c>
      <c r="D93" s="7" t="str">
        <f>IFERROR(__xludf.DUMMYFUNCTION("""COMPUTED_VALUE"""),"05.171.947/0001-89")</f>
        <v>05.171.947/0001-89</v>
      </c>
      <c r="E93" s="7"/>
      <c r="F93" s="7"/>
      <c r="G93" s="7" t="str">
        <f>IFERROR(__xludf.DUMMYFUNCTION("""COMPUTED_VALUE"""),"(91) 9 8143-4619 / 9  8609-1558")</f>
        <v>(91) 9 8143-4619 / 9  8609-1558</v>
      </c>
      <c r="H93" s="7"/>
      <c r="I93" s="7"/>
      <c r="J93" s="7"/>
      <c r="K93" s="7" t="str">
        <f>IFERROR(__xludf.DUMMYFUNCTION("""COMPUTED_VALUE"""),"Magalhães Barata")</f>
        <v>Magalhães Barata</v>
      </c>
      <c r="L93" s="7" t="str">
        <f>IFERROR(__xludf.DUMMYFUNCTION("""COMPUTED_VALUE"""),"PA")</f>
        <v>PA</v>
      </c>
    </row>
    <row r="94">
      <c r="A94" s="7" t="str">
        <f>IFERROR(__xludf.DUMMYFUNCTION("""COMPUTED_VALUE"""),"PM Maracanã")</f>
        <v>PM Maracanã</v>
      </c>
      <c r="B94" s="7" t="str">
        <f>IFERROR(__xludf.DUMMYFUNCTION("""COMPUTED_VALUE"""),"Prefeitura Municipal de Maracanã")</f>
        <v>Prefeitura Municipal de Maracanã</v>
      </c>
      <c r="C94" s="7" t="str">
        <f>IFERROR(__xludf.DUMMYFUNCTION("""COMPUTED_VALUE"""),"Municipal")</f>
        <v>Municipal</v>
      </c>
      <c r="D94" s="7" t="str">
        <f>IFERROR(__xludf.DUMMYFUNCTION("""COMPUTED_VALUE"""),"04.880.258/0001-80")</f>
        <v>04.880.258/0001-80</v>
      </c>
      <c r="E94" s="7"/>
      <c r="F94" s="7"/>
      <c r="G94" s="7" t="str">
        <f>IFERROR(__xludf.DUMMYFUNCTION("""COMPUTED_VALUE"""),"(91) 9 8889-1237 ")</f>
        <v>(91) 9 8889-1237 </v>
      </c>
      <c r="H94" s="7"/>
      <c r="I94" s="7"/>
      <c r="J94" s="7"/>
      <c r="K94" s="7" t="str">
        <f>IFERROR(__xludf.DUMMYFUNCTION("""COMPUTED_VALUE"""),"Maracanã")</f>
        <v>Maracanã</v>
      </c>
      <c r="L94" s="7" t="str">
        <f>IFERROR(__xludf.DUMMYFUNCTION("""COMPUTED_VALUE"""),"PA")</f>
        <v>PA</v>
      </c>
    </row>
    <row r="95">
      <c r="A95" s="7" t="str">
        <f>IFERROR(__xludf.DUMMYFUNCTION("""COMPUTED_VALUE"""),"PM Marituba")</f>
        <v>PM Marituba</v>
      </c>
      <c r="B95" s="7" t="str">
        <f>IFERROR(__xludf.DUMMYFUNCTION("""COMPUTED_VALUE"""),"Prefeitura Municipal de Maritubsa")</f>
        <v>Prefeitura Municipal de Maritubsa</v>
      </c>
      <c r="C95" s="7" t="str">
        <f>IFERROR(__xludf.DUMMYFUNCTION("""COMPUTED_VALUE"""),"Municipal")</f>
        <v>Municipal</v>
      </c>
      <c r="D95" s="7" t="str">
        <f>IFERROR(__xludf.DUMMYFUNCTION("""COMPUTED_VALUE"""),"01.611.666/0001-49")</f>
        <v>01.611.666/0001-49</v>
      </c>
      <c r="E95" s="7"/>
      <c r="F95" s="7"/>
      <c r="G95" s="7" t="str">
        <f>IFERROR(__xludf.DUMMYFUNCTION("""COMPUTED_VALUE""")," (91)  9 8737-0399 / 9 8397-3440 / 9 8192-0959")</f>
        <v> (91)  9 8737-0399 / 9 8397-3440 / 9 8192-0959</v>
      </c>
      <c r="H95" s="7"/>
      <c r="I95" s="7"/>
      <c r="J95" s="7"/>
      <c r="K95" s="7" t="str">
        <f>IFERROR(__xludf.DUMMYFUNCTION("""COMPUTED_VALUE"""),"Marituba")</f>
        <v>Marituba</v>
      </c>
      <c r="L95" s="7" t="str">
        <f>IFERROR(__xludf.DUMMYFUNCTION("""COMPUTED_VALUE"""),"PA")</f>
        <v>PA</v>
      </c>
    </row>
    <row r="96">
      <c r="A96" s="7" t="str">
        <f>IFERROR(__xludf.DUMMYFUNCTION("""COMPUTED_VALUE"""),"PM Medicilândia")</f>
        <v>PM Medicilândia</v>
      </c>
      <c r="B96" s="7" t="str">
        <f>IFERROR(__xludf.DUMMYFUNCTION("""COMPUTED_VALUE"""),"Prefeitura Municipal de Medicilândia")</f>
        <v>Prefeitura Municipal de Medicilândia</v>
      </c>
      <c r="C96" s="7" t="str">
        <f>IFERROR(__xludf.DUMMYFUNCTION("""COMPUTED_VALUE"""),"Municipal")</f>
        <v>Municipal</v>
      </c>
      <c r="D96" s="7" t="str">
        <f>IFERROR(__xludf.DUMMYFUNCTION("""COMPUTED_VALUE"""),"34.593.525/0001-08")</f>
        <v>34.593.525/0001-08</v>
      </c>
      <c r="E96" s="7"/>
      <c r="F96" s="7"/>
      <c r="G96" s="7" t="str">
        <f>IFERROR(__xludf.DUMMYFUNCTION("""COMPUTED_VALUE"""),"(93) 9 9153-8691 / 9 9159-9404 /  9 9115-5861")</f>
        <v>(93) 9 9153-8691 / 9 9159-9404 /  9 9115-5861</v>
      </c>
      <c r="H96" s="7"/>
      <c r="I96" s="7"/>
      <c r="J96" s="7"/>
      <c r="K96" s="7" t="str">
        <f>IFERROR(__xludf.DUMMYFUNCTION("""COMPUTED_VALUE"""),"Medicilândia")</f>
        <v>Medicilândia</v>
      </c>
      <c r="L96" s="7" t="str">
        <f>IFERROR(__xludf.DUMMYFUNCTION("""COMPUTED_VALUE"""),"PA")</f>
        <v>PA</v>
      </c>
    </row>
    <row r="97">
      <c r="A97" s="7" t="str">
        <f>IFERROR(__xludf.DUMMYFUNCTION("""COMPUTED_VALUE"""),"PM Melgaço")</f>
        <v>PM Melgaço</v>
      </c>
      <c r="B97" s="7" t="str">
        <f>IFERROR(__xludf.DUMMYFUNCTION("""COMPUTED_VALUE"""),"Prefeitura Municipal de Melgaço")</f>
        <v>Prefeitura Municipal de Melgaço</v>
      </c>
      <c r="C97" s="7" t="str">
        <f>IFERROR(__xludf.DUMMYFUNCTION("""COMPUTED_VALUE"""),"Municipal")</f>
        <v>Municipal</v>
      </c>
      <c r="D97" s="16" t="str">
        <f>IFERROR(__xludf.DUMMYFUNCTION("""COMPUTED_VALUE"""),"04.876.470/0001-74")</f>
        <v>04.876.470/0001-74</v>
      </c>
      <c r="E97" s="7"/>
      <c r="F97" s="7"/>
      <c r="G97" s="7" t="str">
        <f>IFERROR(__xludf.DUMMYFUNCTION("""COMPUTED_VALUE"""),"(91)  9 9234-5068 / (91) 9 9138-4324 / 9 9303-1322")</f>
        <v>(91)  9 9234-5068 / (91) 9 9138-4324 / 9 9303-1322</v>
      </c>
      <c r="H97" s="7"/>
      <c r="I97" s="7"/>
      <c r="J97" s="7"/>
      <c r="K97" s="7" t="str">
        <f>IFERROR(__xludf.DUMMYFUNCTION("""COMPUTED_VALUE"""),"Melgaço")</f>
        <v>Melgaço</v>
      </c>
      <c r="L97" s="7" t="str">
        <f>IFERROR(__xludf.DUMMYFUNCTION("""COMPUTED_VALUE"""),"PA")</f>
        <v>PA</v>
      </c>
    </row>
    <row r="98">
      <c r="A98" s="7" t="str">
        <f>IFERROR(__xludf.DUMMYFUNCTION("""COMPUTED_VALUE"""),"PM Mojú")</f>
        <v>PM Mojú</v>
      </c>
      <c r="B98" s="7" t="str">
        <f>IFERROR(__xludf.DUMMYFUNCTION("""COMPUTED_VALUE"""),"Prefeitura Municipal de Mojú")</f>
        <v>Prefeitura Municipal de Mojú</v>
      </c>
      <c r="C98" s="7" t="str">
        <f>IFERROR(__xludf.DUMMYFUNCTION("""COMPUTED_VALUE"""),"Municipal")</f>
        <v>Municipal</v>
      </c>
      <c r="D98" s="7" t="str">
        <f>IFERROR(__xludf.DUMMYFUNCTION("""COMPUTED_VALUE"""),"05.105.135/0001-35")</f>
        <v>05.105.135/0001-35</v>
      </c>
      <c r="E98" s="7"/>
      <c r="F98" s="7"/>
      <c r="G98" s="7" t="str">
        <f>IFERROR(__xludf.DUMMYFUNCTION("""COMPUTED_VALUE"""),"(91) 99229-0598 / 99121-2001 / 9121-2001")</f>
        <v>(91) 99229-0598 / 99121-2001 / 9121-2001</v>
      </c>
      <c r="H98" s="7"/>
      <c r="I98" s="7"/>
      <c r="J98" s="7"/>
      <c r="K98" s="7" t="str">
        <f>IFERROR(__xludf.DUMMYFUNCTION("""COMPUTED_VALUE"""),"Mojú")</f>
        <v>Mojú</v>
      </c>
      <c r="L98" s="7" t="str">
        <f>IFERROR(__xludf.DUMMYFUNCTION("""COMPUTED_VALUE"""),"PA")</f>
        <v>PA</v>
      </c>
    </row>
    <row r="99">
      <c r="A99" s="7" t="str">
        <f>IFERROR(__xludf.DUMMYFUNCTION("""COMPUTED_VALUE"""),"PM Mojui dos Campos")</f>
        <v>PM Mojui dos Campos</v>
      </c>
      <c r="B99" s="7" t="str">
        <f>IFERROR(__xludf.DUMMYFUNCTION("""COMPUTED_VALUE"""),"Prefeitura Municipal de Mojui dos Campos")</f>
        <v>Prefeitura Municipal de Mojui dos Campos</v>
      </c>
      <c r="C99" s="7" t="str">
        <f>IFERROR(__xludf.DUMMYFUNCTION("""COMPUTED_VALUE"""),"Municipal")</f>
        <v>Municipal</v>
      </c>
      <c r="D99" s="7" t="str">
        <f>IFERROR(__xludf.DUMMYFUNCTION("""COMPUTED_VALUE"""),"17.349.848/0001-23")</f>
        <v>17.349.848/0001-23</v>
      </c>
      <c r="E99" s="7"/>
      <c r="F99" s="7"/>
      <c r="G99" s="7" t="str">
        <f>IFERROR(__xludf.DUMMYFUNCTION("""COMPUTED_VALUE""")," (93)  9 9118-4101")</f>
        <v> (93)  9 9118-4101</v>
      </c>
      <c r="H99" s="7"/>
      <c r="I99" s="7"/>
      <c r="J99" s="7"/>
      <c r="K99" s="7" t="str">
        <f>IFERROR(__xludf.DUMMYFUNCTION("""COMPUTED_VALUE"""),"Mojuí dos Campos")</f>
        <v>Mojuí dos Campos</v>
      </c>
      <c r="L99" s="7" t="str">
        <f>IFERROR(__xludf.DUMMYFUNCTION("""COMPUTED_VALUE"""),"PA")</f>
        <v>PA</v>
      </c>
    </row>
    <row r="100">
      <c r="A100" s="7" t="str">
        <f>IFERROR(__xludf.DUMMYFUNCTION("""COMPUTED_VALUE"""),"PM Monte Alegre")</f>
        <v>PM Monte Alegre</v>
      </c>
      <c r="B100" s="7" t="str">
        <f>IFERROR(__xludf.DUMMYFUNCTION("""COMPUTED_VALUE"""),"Prefeitura Municipal de Monte Alegre")</f>
        <v>Prefeitura Municipal de Monte Alegre</v>
      </c>
      <c r="C100" s="7" t="str">
        <f>IFERROR(__xludf.DUMMYFUNCTION("""COMPUTED_VALUE"""),"Municipal")</f>
        <v>Municipal</v>
      </c>
      <c r="D100" s="7" t="str">
        <f>IFERROR(__xludf.DUMMYFUNCTION("""COMPUTED_VALUE"""),"04.838.496/0001-28")</f>
        <v>04.838.496/0001-28</v>
      </c>
      <c r="E100" s="7"/>
      <c r="F100" s="7"/>
      <c r="G100" s="7" t="str">
        <f>IFERROR(__xludf.DUMMYFUNCTION("""COMPUTED_VALUE""")," (93) 9 9152-6161 /  (61) 9 9801-6681 / 9 9182-9245")</f>
        <v> (93) 9 9152-6161 /  (61) 9 9801-6681 / 9 9182-9245</v>
      </c>
      <c r="H100" s="7"/>
      <c r="I100" s="7"/>
      <c r="J100" s="7"/>
      <c r="K100" s="7" t="str">
        <f>IFERROR(__xludf.DUMMYFUNCTION("""COMPUTED_VALUE"""),"Monte Alegre")</f>
        <v>Monte Alegre</v>
      </c>
      <c r="L100" s="7" t="str">
        <f>IFERROR(__xludf.DUMMYFUNCTION("""COMPUTED_VALUE"""),"PA")</f>
        <v>PA</v>
      </c>
    </row>
    <row r="101">
      <c r="A101" s="7" t="str">
        <f>IFERROR(__xludf.DUMMYFUNCTION("""COMPUTED_VALUE"""),"PM Nova Esperança do Piriá")</f>
        <v>PM Nova Esperança do Piriá</v>
      </c>
      <c r="B101" s="7" t="str">
        <f>IFERROR(__xludf.DUMMYFUNCTION("""COMPUTED_VALUE"""),"Prefeitura Municipal de Nova Esperança do Piriá")</f>
        <v>Prefeitura Municipal de Nova Esperança do Piriá</v>
      </c>
      <c r="C101" s="7" t="str">
        <f>IFERROR(__xludf.DUMMYFUNCTION("""COMPUTED_VALUE"""),"Municipal")</f>
        <v>Municipal</v>
      </c>
      <c r="D101" s="7" t="str">
        <f>IFERROR(__xludf.DUMMYFUNCTION("""COMPUTED_VALUE"""),"84.263.862/0001-05")</f>
        <v>84.263.862/0001-05</v>
      </c>
      <c r="E101" s="7"/>
      <c r="F101" s="7"/>
      <c r="G101" s="7" t="str">
        <f>IFERROR(__xludf.DUMMYFUNCTION("""COMPUTED_VALUE"""),"(91) 9 8485-4473 / 3817-1389 / 9 8474-0649")</f>
        <v>(91) 9 8485-4473 / 3817-1389 / 9 8474-0649</v>
      </c>
      <c r="H101" s="7"/>
      <c r="I101" s="7"/>
      <c r="J101" s="7"/>
      <c r="K101" s="7" t="str">
        <f>IFERROR(__xludf.DUMMYFUNCTION("""COMPUTED_VALUE"""),"Nova Esperança do Piriá")</f>
        <v>Nova Esperança do Piriá</v>
      </c>
      <c r="L101" s="7" t="str">
        <f>IFERROR(__xludf.DUMMYFUNCTION("""COMPUTED_VALUE"""),"PA")</f>
        <v>PA</v>
      </c>
    </row>
    <row r="102">
      <c r="A102" s="7" t="str">
        <f>IFERROR(__xludf.DUMMYFUNCTION("""COMPUTED_VALUE"""),"PM Nova Ipixuna do Pará")</f>
        <v>PM Nova Ipixuna do Pará</v>
      </c>
      <c r="B102" s="7" t="str">
        <f>IFERROR(__xludf.DUMMYFUNCTION("""COMPUTED_VALUE"""),"Prefeitura Municipal de Nova Ipixuna do Pará")</f>
        <v>Prefeitura Municipal de Nova Ipixuna do Pará</v>
      </c>
      <c r="C102" s="7" t="str">
        <f>IFERROR(__xludf.DUMMYFUNCTION("""COMPUTED_VALUE"""),"Municipal")</f>
        <v>Municipal</v>
      </c>
      <c r="D102" s="7" t="str">
        <f>IFERROR(__xludf.DUMMYFUNCTION("""COMPUTED_VALUE"""),"01.612.215/0001-26")</f>
        <v>01.612.215/0001-26</v>
      </c>
      <c r="E102" s="7"/>
      <c r="F102" s="7"/>
      <c r="G102" s="7" t="str">
        <f>IFERROR(__xludf.DUMMYFUNCTION("""COMPUTED_VALUE"""),"(94) 9 9181-9190 / 99134-9350")</f>
        <v>(94) 9 9181-9190 / 99134-9350</v>
      </c>
      <c r="H102" s="7"/>
      <c r="I102" s="7"/>
      <c r="J102" s="7"/>
      <c r="K102" s="7" t="str">
        <f>IFERROR(__xludf.DUMMYFUNCTION("""COMPUTED_VALUE"""),"Nova Ipixuna do Pará")</f>
        <v>Nova Ipixuna do Pará</v>
      </c>
      <c r="L102" s="7" t="str">
        <f>IFERROR(__xludf.DUMMYFUNCTION("""COMPUTED_VALUE"""),"PA")</f>
        <v>PA</v>
      </c>
    </row>
    <row r="103">
      <c r="A103" s="7" t="str">
        <f>IFERROR(__xludf.DUMMYFUNCTION("""COMPUTED_VALUE"""),"PM Novo Progresso")</f>
        <v>PM Novo Progresso</v>
      </c>
      <c r="B103" s="7" t="str">
        <f>IFERROR(__xludf.DUMMYFUNCTION("""COMPUTED_VALUE"""),"Prefeitura Municipal de Novo Progresso")</f>
        <v>Prefeitura Municipal de Novo Progresso</v>
      </c>
      <c r="C103" s="7" t="str">
        <f>IFERROR(__xludf.DUMMYFUNCTION("""COMPUTED_VALUE"""),"Municipal")</f>
        <v>Municipal</v>
      </c>
      <c r="D103" s="7" t="str">
        <f>IFERROR(__xludf.DUMMYFUNCTION("""COMPUTED_VALUE"""),"10.221.786/0001-20")</f>
        <v>10.221.786/0001-20</v>
      </c>
      <c r="E103" s="7"/>
      <c r="F103" s="7"/>
      <c r="G103" s="7" t="str">
        <f>IFERROR(__xludf.DUMMYFUNCTION("""COMPUTED_VALUE""")," (93) 98121-9341  /  98115-8402")</f>
        <v> (93) 98121-9341  /  98115-8402</v>
      </c>
      <c r="H103" s="7"/>
      <c r="I103" s="7"/>
      <c r="J103" s="7"/>
      <c r="K103" s="7" t="str">
        <f>IFERROR(__xludf.DUMMYFUNCTION("""COMPUTED_VALUE"""),"Novo Progresso")</f>
        <v>Novo Progresso</v>
      </c>
      <c r="L103" s="7" t="str">
        <f>IFERROR(__xludf.DUMMYFUNCTION("""COMPUTED_VALUE"""),"PA")</f>
        <v>PA</v>
      </c>
    </row>
    <row r="104">
      <c r="A104" s="7" t="str">
        <f>IFERROR(__xludf.DUMMYFUNCTION("""COMPUTED_VALUE"""),"PM Novo Repartimento")</f>
        <v>PM Novo Repartimento</v>
      </c>
      <c r="B104" s="7" t="str">
        <f>IFERROR(__xludf.DUMMYFUNCTION("""COMPUTED_VALUE"""),"Prefeitura Municipal de Novo Repartimento")</f>
        <v>Prefeitura Municipal de Novo Repartimento</v>
      </c>
      <c r="C104" s="7" t="str">
        <f>IFERROR(__xludf.DUMMYFUNCTION("""COMPUTED_VALUE"""),"Municipal")</f>
        <v>Municipal</v>
      </c>
      <c r="D104" s="7" t="str">
        <f>IFERROR(__xludf.DUMMYFUNCTION("""COMPUTED_VALUE"""),"34.626.416/0001-31")</f>
        <v>34.626.416/0001-31</v>
      </c>
      <c r="E104" s="7"/>
      <c r="F104" s="7"/>
      <c r="G104" s="7" t="str">
        <f>IFERROR(__xludf.DUMMYFUNCTION("""COMPUTED_VALUE"""),"(94) 99148-6965")</f>
        <v>(94) 99148-6965</v>
      </c>
      <c r="H104" s="7"/>
      <c r="I104" s="7"/>
      <c r="J104" s="7"/>
      <c r="K104" s="7" t="str">
        <f>IFERROR(__xludf.DUMMYFUNCTION("""COMPUTED_VALUE"""),"Novo Repartimento")</f>
        <v>Novo Repartimento</v>
      </c>
      <c r="L104" s="7" t="str">
        <f>IFERROR(__xludf.DUMMYFUNCTION("""COMPUTED_VALUE"""),"PA")</f>
        <v>PA</v>
      </c>
    </row>
    <row r="105">
      <c r="A105" s="7" t="str">
        <f>IFERROR(__xludf.DUMMYFUNCTION("""COMPUTED_VALUE"""),"PM Oeiras do Pará")</f>
        <v>PM Oeiras do Pará</v>
      </c>
      <c r="B105" s="7" t="str">
        <f>IFERROR(__xludf.DUMMYFUNCTION("""COMPUTED_VALUE"""),"Prefeitura Municipal de Oeiras do Pará")</f>
        <v>Prefeitura Municipal de Oeiras do Pará</v>
      </c>
      <c r="C105" s="7" t="str">
        <f>IFERROR(__xludf.DUMMYFUNCTION("""COMPUTED_VALUE"""),"Municipal")</f>
        <v>Municipal</v>
      </c>
      <c r="D105" s="7" t="str">
        <f>IFERROR(__xludf.DUMMYFUNCTION("""COMPUTED_VALUE"""),"04.876.413/0001-95")</f>
        <v>04.876.413/0001-95</v>
      </c>
      <c r="E105" s="7"/>
      <c r="F105" s="7"/>
      <c r="G105" s="7" t="str">
        <f>IFERROR(__xludf.DUMMYFUNCTION("""COMPUTED_VALUE""")," (91) 9  8411-5997 / 9 9214-8744")</f>
        <v> (91) 9  8411-5997 / 9 9214-8744</v>
      </c>
      <c r="H105" s="7"/>
      <c r="I105" s="7"/>
      <c r="J105" s="7"/>
      <c r="K105" s="7" t="str">
        <f>IFERROR(__xludf.DUMMYFUNCTION("""COMPUTED_VALUE"""),"Oeiras do Pará")</f>
        <v>Oeiras do Pará</v>
      </c>
      <c r="L105" s="7" t="str">
        <f>IFERROR(__xludf.DUMMYFUNCTION("""COMPUTED_VALUE"""),"PA")</f>
        <v>PA</v>
      </c>
    </row>
    <row r="106">
      <c r="A106" s="7" t="str">
        <f>IFERROR(__xludf.DUMMYFUNCTION("""COMPUTED_VALUE"""),"PM Oriximiná")</f>
        <v>PM Oriximiná</v>
      </c>
      <c r="B106" s="7" t="str">
        <f>IFERROR(__xludf.DUMMYFUNCTION("""COMPUTED_VALUE"""),"Prefeitura Municipal de Oriximiná")</f>
        <v>Prefeitura Municipal de Oriximiná</v>
      </c>
      <c r="C106" s="7" t="str">
        <f>IFERROR(__xludf.DUMMYFUNCTION("""COMPUTED_VALUE"""),"Municipal")</f>
        <v>Municipal</v>
      </c>
      <c r="D106" s="7" t="str">
        <f>IFERROR(__xludf.DUMMYFUNCTION("""COMPUTED_VALUE"""),"05.131.081/0001-82")</f>
        <v>05.131.081/0001-82</v>
      </c>
      <c r="E106" s="7"/>
      <c r="F106" s="7"/>
      <c r="G106" s="7" t="str">
        <f>IFERROR(__xludf.DUMMYFUNCTION("""COMPUTED_VALUE""")," (93) 3544-3833 / 99165-1094 / 9 9182-8145")</f>
        <v> (93) 3544-3833 / 99165-1094 / 9 9182-8145</v>
      </c>
      <c r="H106" s="7"/>
      <c r="I106" s="7"/>
      <c r="J106" s="7"/>
      <c r="K106" s="7" t="str">
        <f>IFERROR(__xludf.DUMMYFUNCTION("""COMPUTED_VALUE"""),"Oriximiná")</f>
        <v>Oriximiná</v>
      </c>
      <c r="L106" s="7" t="str">
        <f>IFERROR(__xludf.DUMMYFUNCTION("""COMPUTED_VALUE"""),"PA")</f>
        <v>PA</v>
      </c>
    </row>
    <row r="107">
      <c r="A107" s="7" t="str">
        <f>IFERROR(__xludf.DUMMYFUNCTION("""COMPUTED_VALUE"""),"PM Ourém")</f>
        <v>PM Ourém</v>
      </c>
      <c r="B107" s="7" t="str">
        <f>IFERROR(__xludf.DUMMYFUNCTION("""COMPUTED_VALUE"""),"Prefeitura Municipal de Ourém")</f>
        <v>Prefeitura Municipal de Ourém</v>
      </c>
      <c r="C107" s="7" t="str">
        <f>IFERROR(__xludf.DUMMYFUNCTION("""COMPUTED_VALUE"""),"Municipal")</f>
        <v>Municipal</v>
      </c>
      <c r="D107" s="7" t="str">
        <f>IFERROR(__xludf.DUMMYFUNCTION("""COMPUTED_VALUE"""),"09.649.183/0001-45")</f>
        <v>09.649.183/0001-45</v>
      </c>
      <c r="E107" s="7"/>
      <c r="F107" s="7"/>
      <c r="G107" s="7" t="str">
        <f>IFERROR(__xludf.DUMMYFUNCTION("""COMPUTED_VALUE"""),"(91) 9 8343-4950 ")</f>
        <v>(91) 9 8343-4950 </v>
      </c>
      <c r="H107" s="7"/>
      <c r="I107" s="7"/>
      <c r="J107" s="7"/>
      <c r="K107" s="7" t="str">
        <f>IFERROR(__xludf.DUMMYFUNCTION("""COMPUTED_VALUE"""),"Ourém")</f>
        <v>Ourém</v>
      </c>
      <c r="L107" s="7" t="str">
        <f>IFERROR(__xludf.DUMMYFUNCTION("""COMPUTED_VALUE"""),"PA")</f>
        <v>PA</v>
      </c>
    </row>
    <row r="108">
      <c r="A108" s="7" t="str">
        <f>IFERROR(__xludf.DUMMYFUNCTION("""COMPUTED_VALUE"""),"PM Ourilândia do Norte")</f>
        <v>PM Ourilândia do Norte</v>
      </c>
      <c r="B108" s="7" t="str">
        <f>IFERROR(__xludf.DUMMYFUNCTION("""COMPUTED_VALUE"""),"Prefeitura Municipal de Ourilândia do Norte")</f>
        <v>Prefeitura Municipal de Ourilândia do Norte</v>
      </c>
      <c r="C108" s="7" t="str">
        <f>IFERROR(__xludf.DUMMYFUNCTION("""COMPUTED_VALUE"""),"Municipal")</f>
        <v>Municipal</v>
      </c>
      <c r="D108" s="7" t="str">
        <f>IFERROR(__xludf.DUMMYFUNCTION("""COMPUTED_VALUE"""),"22.980.643/0001-81")</f>
        <v>22.980.643/0001-81</v>
      </c>
      <c r="E108" s="7"/>
      <c r="F108" s="7"/>
      <c r="G108" s="7" t="str">
        <f>IFERROR(__xludf.DUMMYFUNCTION("""COMPUTED_VALUE"""),"(94) 9 9136-7941(Marcos) / 9 9101-1747")</f>
        <v>(94) 9 9136-7941(Marcos) / 9 9101-1747</v>
      </c>
      <c r="H108" s="7"/>
      <c r="I108" s="7"/>
      <c r="J108" s="7"/>
      <c r="K108" s="7" t="str">
        <f>IFERROR(__xludf.DUMMYFUNCTION("""COMPUTED_VALUE"""),"Ourilândia do Norte")</f>
        <v>Ourilândia do Norte</v>
      </c>
      <c r="L108" s="7" t="str">
        <f>IFERROR(__xludf.DUMMYFUNCTION("""COMPUTED_VALUE"""),"PA")</f>
        <v>PA</v>
      </c>
    </row>
    <row r="109">
      <c r="A109" s="7" t="str">
        <f>IFERROR(__xludf.DUMMYFUNCTION("""COMPUTED_VALUE"""),"PM Palestina do Pará")</f>
        <v>PM Palestina do Pará</v>
      </c>
      <c r="B109" s="7" t="str">
        <f>IFERROR(__xludf.DUMMYFUNCTION("""COMPUTED_VALUE"""),"Prefeitura Municipal de Palestina do Pará")</f>
        <v>Prefeitura Municipal de Palestina do Pará</v>
      </c>
      <c r="C109" s="7" t="str">
        <f>IFERROR(__xludf.DUMMYFUNCTION("""COMPUTED_VALUE"""),"Municipal")</f>
        <v>Municipal</v>
      </c>
      <c r="D109" s="7" t="str">
        <f>IFERROR(__xludf.DUMMYFUNCTION("""COMPUTED_VALUE"""),"83.211.417/0001-20")</f>
        <v>83.211.417/0001-20</v>
      </c>
      <c r="E109" s="7"/>
      <c r="F109" s="7"/>
      <c r="G109" s="7" t="str">
        <f>IFERROR(__xludf.DUMMYFUNCTION("""COMPUTED_VALUE""")," (94) 9 9109-8994 / 98183-2204")</f>
        <v> (94) 9 9109-8994 / 98183-2204</v>
      </c>
      <c r="H109" s="7"/>
      <c r="I109" s="7"/>
      <c r="J109" s="7"/>
      <c r="K109" s="7" t="str">
        <f>IFERROR(__xludf.DUMMYFUNCTION("""COMPUTED_VALUE"""),"Palestina do Pará")</f>
        <v>Palestina do Pará</v>
      </c>
      <c r="L109" s="7" t="str">
        <f>IFERROR(__xludf.DUMMYFUNCTION("""COMPUTED_VALUE"""),"PA")</f>
        <v>PA</v>
      </c>
    </row>
    <row r="110">
      <c r="A110" s="7" t="str">
        <f>IFERROR(__xludf.DUMMYFUNCTION("""COMPUTED_VALUE"""),"PM Paragominas")</f>
        <v>PM Paragominas</v>
      </c>
      <c r="B110" s="7" t="str">
        <f>IFERROR(__xludf.DUMMYFUNCTION("""COMPUTED_VALUE"""),"Prefeitura Municipal de Paragominas")</f>
        <v>Prefeitura Municipal de Paragominas</v>
      </c>
      <c r="C110" s="7" t="str">
        <f>IFERROR(__xludf.DUMMYFUNCTION("""COMPUTED_VALUE"""),"Municipal")</f>
        <v>Municipal</v>
      </c>
      <c r="D110" s="7" t="str">
        <f>IFERROR(__xludf.DUMMYFUNCTION("""COMPUTED_VALUE"""),"05.193.057/0001-78")</f>
        <v>05.193.057/0001-78</v>
      </c>
      <c r="E110" s="7"/>
      <c r="F110" s="7"/>
      <c r="G110" s="7" t="str">
        <f>IFERROR(__xludf.DUMMYFUNCTION("""COMPUTED_VALUE"""),"(91) 9 8200-1639 (Sr. Sergio) /  9 8417-8271(")</f>
        <v>(91) 9 8200-1639 (Sr. Sergio) /  9 8417-8271(</v>
      </c>
      <c r="H110" s="7"/>
      <c r="I110" s="7"/>
      <c r="J110" s="7"/>
      <c r="K110" s="7" t="str">
        <f>IFERROR(__xludf.DUMMYFUNCTION("""COMPUTED_VALUE"""),"Paragominas")</f>
        <v>Paragominas</v>
      </c>
      <c r="L110" s="7" t="str">
        <f>IFERROR(__xludf.DUMMYFUNCTION("""COMPUTED_VALUE"""),"PA")</f>
        <v>PA</v>
      </c>
    </row>
    <row r="111">
      <c r="A111" s="7" t="str">
        <f>IFERROR(__xludf.DUMMYFUNCTION("""COMPUTED_VALUE"""),"PM Parauapebas")</f>
        <v>PM Parauapebas</v>
      </c>
      <c r="B111" s="7" t="str">
        <f>IFERROR(__xludf.DUMMYFUNCTION("""COMPUTED_VALUE"""),"Prefeitura Municipal de Parauapebas")</f>
        <v>Prefeitura Municipal de Parauapebas</v>
      </c>
      <c r="C111" s="7" t="str">
        <f>IFERROR(__xludf.DUMMYFUNCTION("""COMPUTED_VALUE"""),"Municipal")</f>
        <v>Municipal</v>
      </c>
      <c r="D111" s="7" t="str">
        <f>IFERROR(__xludf.DUMMYFUNCTION("""COMPUTED_VALUE"""),"22.980.999/0001-15")</f>
        <v>22.980.999/0001-15</v>
      </c>
      <c r="E111" s="7"/>
      <c r="F111" s="7"/>
      <c r="G111" s="7" t="str">
        <f>IFERROR(__xludf.DUMMYFUNCTION("""COMPUTED_VALUE""")," (94) 9 9263-3834 / 3346-2182")</f>
        <v> (94) 9 9263-3834 / 3346-2182</v>
      </c>
      <c r="H111" s="7"/>
      <c r="I111" s="7"/>
      <c r="J111" s="7"/>
      <c r="K111" s="7" t="str">
        <f>IFERROR(__xludf.DUMMYFUNCTION("""COMPUTED_VALUE"""),"Parauapebas")</f>
        <v>Parauapebas</v>
      </c>
      <c r="L111" s="7" t="str">
        <f>IFERROR(__xludf.DUMMYFUNCTION("""COMPUTED_VALUE"""),"PA")</f>
        <v>PA</v>
      </c>
    </row>
    <row r="112">
      <c r="A112" s="7" t="str">
        <f>IFERROR(__xludf.DUMMYFUNCTION("""COMPUTED_VALUE"""),"PM Piçarra")</f>
        <v>PM Piçarra</v>
      </c>
      <c r="B112" s="7" t="str">
        <f>IFERROR(__xludf.DUMMYFUNCTION("""COMPUTED_VALUE"""),"Prefeitura Municipal de Piçarra")</f>
        <v>Prefeitura Municipal de Piçarra</v>
      </c>
      <c r="C112" s="7" t="str">
        <f>IFERROR(__xludf.DUMMYFUNCTION("""COMPUTED_VALUE"""),"Municipal")</f>
        <v>Municipal</v>
      </c>
      <c r="D112" s="7" t="str">
        <f>IFERROR(__xludf.DUMMYFUNCTION("""COMPUTED_VALUE"""),"01.612.163/0001-98")</f>
        <v>01.612.163/0001-98</v>
      </c>
      <c r="E112" s="7"/>
      <c r="F112" s="7"/>
      <c r="G112" s="7" t="str">
        <f>IFERROR(__xludf.DUMMYFUNCTION("""COMPUTED_VALUE"""),"(94) 9 9199-4012 / 9 9170-6284 / 3422-1309 / 9 9158-8066")</f>
        <v>(94) 9 9199-4012 / 9 9170-6284 / 3422-1309 / 9 9158-8066</v>
      </c>
      <c r="H112" s="7"/>
      <c r="I112" s="7"/>
      <c r="J112" s="7"/>
      <c r="K112" s="7" t="str">
        <f>IFERROR(__xludf.DUMMYFUNCTION("""COMPUTED_VALUE"""),"Piçarra")</f>
        <v>Piçarra</v>
      </c>
      <c r="L112" s="7" t="str">
        <f>IFERROR(__xludf.DUMMYFUNCTION("""COMPUTED_VALUE"""),"PA")</f>
        <v>PA</v>
      </c>
    </row>
    <row r="113">
      <c r="A113" s="7" t="str">
        <f>IFERROR(__xludf.DUMMYFUNCTION("""COMPUTED_VALUE"""),"PM Placas")</f>
        <v>PM Placas</v>
      </c>
      <c r="B113" s="7" t="str">
        <f>IFERROR(__xludf.DUMMYFUNCTION("""COMPUTED_VALUE"""),"Prefeitura Municipal de Placas")</f>
        <v>Prefeitura Municipal de Placas</v>
      </c>
      <c r="C113" s="7" t="str">
        <f>IFERROR(__xludf.DUMMYFUNCTION("""COMPUTED_VALUE"""),"Municipal")</f>
        <v>Municipal</v>
      </c>
      <c r="D113" s="7" t="str">
        <f>IFERROR(__xludf.DUMMYFUNCTION("""COMPUTED_VALUE"""),"01.611.858/0001-55")</f>
        <v>01.611.858/0001-55</v>
      </c>
      <c r="E113" s="7"/>
      <c r="F113" s="7"/>
      <c r="G113" s="7" t="str">
        <f>IFERROR(__xludf.DUMMYFUNCTION("""COMPUTED_VALUE""")," (93) 9 9156-6075(Shayane) / 9 8108-3614(André)")</f>
        <v> (93) 9 9156-6075(Shayane) / 9 8108-3614(André)</v>
      </c>
      <c r="H113" s="7"/>
      <c r="I113" s="7"/>
      <c r="J113" s="7"/>
      <c r="K113" s="7" t="str">
        <f>IFERROR(__xludf.DUMMYFUNCTION("""COMPUTED_VALUE"""),"Placas")</f>
        <v>Placas</v>
      </c>
      <c r="L113" s="7" t="str">
        <f>IFERROR(__xludf.DUMMYFUNCTION("""COMPUTED_VALUE"""),"PA")</f>
        <v>PA</v>
      </c>
    </row>
    <row r="114">
      <c r="A114" s="7" t="str">
        <f>IFERROR(__xludf.DUMMYFUNCTION("""COMPUTED_VALUE"""),"PM Ponta de Pedras")</f>
        <v>PM Ponta de Pedras</v>
      </c>
      <c r="B114" s="7" t="str">
        <f>IFERROR(__xludf.DUMMYFUNCTION("""COMPUTED_VALUE"""),"Prefeitura Municipal de Ponta de Pedras")</f>
        <v>Prefeitura Municipal de Ponta de Pedras</v>
      </c>
      <c r="C114" s="7" t="str">
        <f>IFERROR(__xludf.DUMMYFUNCTION("""COMPUTED_VALUE"""),"Municipal")</f>
        <v>Municipal</v>
      </c>
      <c r="D114" s="7" t="str">
        <f>IFERROR(__xludf.DUMMYFUNCTION("""COMPUTED_VALUE"""),"05.132.436/0001-58")</f>
        <v>05.132.436/0001-58</v>
      </c>
      <c r="E114" s="7"/>
      <c r="F114" s="7"/>
      <c r="G114" s="7" t="str">
        <f>IFERROR(__xludf.DUMMYFUNCTION("""COMPUTED_VALUE"""),"(91) 9 8425-5086 / 9 8405-6716 / 98419-4843")</f>
        <v>(91) 9 8425-5086 / 9 8405-6716 / 98419-4843</v>
      </c>
      <c r="H114" s="7"/>
      <c r="I114" s="7"/>
      <c r="J114" s="7"/>
      <c r="K114" s="7" t="str">
        <f>IFERROR(__xludf.DUMMYFUNCTION("""COMPUTED_VALUE"""),"Ponta de Pedras")</f>
        <v>Ponta de Pedras</v>
      </c>
      <c r="L114" s="7" t="str">
        <f>IFERROR(__xludf.DUMMYFUNCTION("""COMPUTED_VALUE"""),"PA")</f>
        <v>PA</v>
      </c>
    </row>
    <row r="115">
      <c r="A115" s="7" t="str">
        <f>IFERROR(__xludf.DUMMYFUNCTION("""COMPUTED_VALUE"""),"PM Portel")</f>
        <v>PM Portel</v>
      </c>
      <c r="B115" s="7" t="str">
        <f>IFERROR(__xludf.DUMMYFUNCTION("""COMPUTED_VALUE"""),"Prefeitura Municipal de Portel")</f>
        <v>Prefeitura Municipal de Portel</v>
      </c>
      <c r="C115" s="7" t="str">
        <f>IFERROR(__xludf.DUMMYFUNCTION("""COMPUTED_VALUE"""),"Municipal")</f>
        <v>Municipal</v>
      </c>
      <c r="D115" s="7" t="str">
        <f>IFERROR(__xludf.DUMMYFUNCTION("""COMPUTED_VALUE"""),"04.876.447/0001-80")</f>
        <v>04.876.447/0001-80</v>
      </c>
      <c r="E115" s="7"/>
      <c r="F115" s="7"/>
      <c r="G115" s="7" t="str">
        <f>IFERROR(__xludf.DUMMYFUNCTION("""COMPUTED_VALUE"""),"(91)  9 8275-2732 (David) /   9 9384-0933")</f>
        <v>(91)  9 8275-2732 (David) /   9 9384-0933</v>
      </c>
      <c r="H115" s="7"/>
      <c r="I115" s="7"/>
      <c r="J115" s="7"/>
      <c r="K115" s="7" t="str">
        <f>IFERROR(__xludf.DUMMYFUNCTION("""COMPUTED_VALUE"""),"Portel")</f>
        <v>Portel</v>
      </c>
      <c r="L115" s="7" t="str">
        <f>IFERROR(__xludf.DUMMYFUNCTION("""COMPUTED_VALUE"""),"PA")</f>
        <v>PA</v>
      </c>
    </row>
    <row r="116">
      <c r="A116" s="7" t="str">
        <f>IFERROR(__xludf.DUMMYFUNCTION("""COMPUTED_VALUE"""),"PM Porto de Moz")</f>
        <v>PM Porto de Moz</v>
      </c>
      <c r="B116" s="7" t="str">
        <f>IFERROR(__xludf.DUMMYFUNCTION("""COMPUTED_VALUE"""),"Prefeitura Municipal de Porto de Moz")</f>
        <v>Prefeitura Municipal de Porto de Moz</v>
      </c>
      <c r="C116" s="7" t="str">
        <f>IFERROR(__xludf.DUMMYFUNCTION("""COMPUTED_VALUE"""),"Municipal")</f>
        <v>Municipal</v>
      </c>
      <c r="D116" s="7" t="str">
        <f>IFERROR(__xludf.DUMMYFUNCTION("""COMPUTED_VALUE"""),"05.582.132/0001-92")</f>
        <v>05.582.132/0001-92</v>
      </c>
      <c r="E116" s="7"/>
      <c r="F116" s="7"/>
      <c r="G116" s="7" t="str">
        <f>IFERROR(__xludf.DUMMYFUNCTION("""COMPUTED_VALUE""")," (93) 9 8427-9105  / 98413-7407 /  98503-4584")</f>
        <v> (93) 9 8427-9105  / 98413-7407 /  98503-4584</v>
      </c>
      <c r="H116" s="7"/>
      <c r="I116" s="7"/>
      <c r="J116" s="7"/>
      <c r="K116" s="7" t="str">
        <f>IFERROR(__xludf.DUMMYFUNCTION("""COMPUTED_VALUE"""),"Porte de Moz")</f>
        <v>Porte de Moz</v>
      </c>
      <c r="L116" s="7" t="str">
        <f>IFERROR(__xludf.DUMMYFUNCTION("""COMPUTED_VALUE"""),"PA")</f>
        <v>PA</v>
      </c>
    </row>
    <row r="117">
      <c r="A117" s="7" t="str">
        <f>IFERROR(__xludf.DUMMYFUNCTION("""COMPUTED_VALUE"""),"PM Prainha")</f>
        <v>PM Prainha</v>
      </c>
      <c r="B117" s="7" t="str">
        <f>IFERROR(__xludf.DUMMYFUNCTION("""COMPUTED_VALUE"""),"Prefeitura Municipal de Prainha")</f>
        <v>Prefeitura Municipal de Prainha</v>
      </c>
      <c r="C117" s="7" t="str">
        <f>IFERROR(__xludf.DUMMYFUNCTION("""COMPUTED_VALUE"""),"Municipal")</f>
        <v>Municipal</v>
      </c>
      <c r="D117" s="7" t="str">
        <f>IFERROR(__xludf.DUMMYFUNCTION("""COMPUTED_VALUE"""),"04.860.854/0001-07")</f>
        <v>04.860.854/0001-07</v>
      </c>
      <c r="E117" s="7"/>
      <c r="F117" s="7"/>
      <c r="G117" s="7" t="str">
        <f>IFERROR(__xludf.DUMMYFUNCTION("""COMPUTED_VALUE"""),"(93) 9 8406-1825 / 98413-8273")</f>
        <v>(93) 9 8406-1825 / 98413-8273</v>
      </c>
      <c r="H117" s="7"/>
      <c r="I117" s="7"/>
      <c r="J117" s="7"/>
      <c r="K117" s="7" t="str">
        <f>IFERROR(__xludf.DUMMYFUNCTION("""COMPUTED_VALUE"""),"Prainha")</f>
        <v>Prainha</v>
      </c>
      <c r="L117" s="7" t="str">
        <f>IFERROR(__xludf.DUMMYFUNCTION("""COMPUTED_VALUE"""),"PA")</f>
        <v>PA</v>
      </c>
    </row>
    <row r="118">
      <c r="A118" s="7" t="str">
        <f>IFERROR(__xludf.DUMMYFUNCTION("""COMPUTED_VALUE"""),"PM Primavera")</f>
        <v>PM Primavera</v>
      </c>
      <c r="B118" s="7" t="str">
        <f>IFERROR(__xludf.DUMMYFUNCTION("""COMPUTED_VALUE"""),"Prefeitura Municipal de Primavera")</f>
        <v>Prefeitura Municipal de Primavera</v>
      </c>
      <c r="C118" s="7" t="str">
        <f>IFERROR(__xludf.DUMMYFUNCTION("""COMPUTED_VALUE"""),"Municipal")</f>
        <v>Municipal</v>
      </c>
      <c r="D118" s="7" t="str">
        <f>IFERROR(__xludf.DUMMYFUNCTION("""COMPUTED_VALUE"""),"05.149.141/0001-94")</f>
        <v>05.149.141/0001-94</v>
      </c>
      <c r="E118" s="7" t="str">
        <f>IFERROR(__xludf.DUMMYFUNCTION("""COMPUTED_VALUE"""),"Áureo B. Gomes")</f>
        <v>Áureo B. Gomes</v>
      </c>
      <c r="F118" s="7" t="str">
        <f>IFERROR(__xludf.DUMMYFUNCTION("""COMPUTED_VALUE"""),"Prefeito")</f>
        <v>Prefeito</v>
      </c>
      <c r="G118" s="7" t="str">
        <f>IFERROR(__xludf.DUMMYFUNCTION("""COMPUTED_VALUE"""),"(91) 9 9310-2378 / 9 8529-3636")</f>
        <v>(91) 9 9310-2378 / 9 8529-3636</v>
      </c>
      <c r="H118" s="7"/>
      <c r="I118" s="7"/>
      <c r="J118" s="7"/>
      <c r="K118" s="7" t="str">
        <f>IFERROR(__xludf.DUMMYFUNCTION("""COMPUTED_VALUE"""),"Primavera")</f>
        <v>Primavera</v>
      </c>
      <c r="L118" s="7" t="str">
        <f>IFERROR(__xludf.DUMMYFUNCTION("""COMPUTED_VALUE"""),"PA")</f>
        <v>PA</v>
      </c>
    </row>
    <row r="119">
      <c r="A119" s="7" t="str">
        <f>IFERROR(__xludf.DUMMYFUNCTION("""COMPUTED_VALUE"""),"PM Rio Maria")</f>
        <v>PM Rio Maria</v>
      </c>
      <c r="B119" s="7" t="str">
        <f>IFERROR(__xludf.DUMMYFUNCTION("""COMPUTED_VALUE"""),"Prefeitura Municipal de Rio Maria")</f>
        <v>Prefeitura Municipal de Rio Maria</v>
      </c>
      <c r="C119" s="7" t="str">
        <f>IFERROR(__xludf.DUMMYFUNCTION("""COMPUTED_VALUE"""),"Municipal")</f>
        <v>Municipal</v>
      </c>
      <c r="D119" s="7" t="str">
        <f>IFERROR(__xludf.DUMMYFUNCTION("""COMPUTED_VALUE"""),"04.144.176/0001-78")</f>
        <v>04.144.176/0001-78</v>
      </c>
      <c r="E119" s="7" t="str">
        <f>IFERROR(__xludf.DUMMYFUNCTION("""COMPUTED_VALUE"""),"Francisco Paulo Barros Dias")</f>
        <v>Francisco Paulo Barros Dias</v>
      </c>
      <c r="F119" s="7" t="str">
        <f>IFERROR(__xludf.DUMMYFUNCTION("""COMPUTED_VALUE"""),"Prefeito")</f>
        <v>Prefeito</v>
      </c>
      <c r="G119" s="7"/>
      <c r="H119" s="7" t="str">
        <f>IFERROR(__xludf.DUMMYFUNCTION("""COMPUTED_VALUE"""),"Avenida Rio Maria, 660")</f>
        <v>Avenida Rio Maria, 660</v>
      </c>
      <c r="I119" s="7" t="str">
        <f>IFERROR(__xludf.DUMMYFUNCTION("""COMPUTED_VALUE"""),"Centro")</f>
        <v>Centro</v>
      </c>
      <c r="J119" s="7" t="str">
        <f>IFERROR(__xludf.DUMMYFUNCTION("""COMPUTED_VALUE"""),"68.530-000")</f>
        <v>68.530-000</v>
      </c>
      <c r="K119" s="7" t="str">
        <f>IFERROR(__xludf.DUMMYFUNCTION("""COMPUTED_VALUE"""),"Rio Maria")</f>
        <v>Rio Maria</v>
      </c>
      <c r="L119" s="7" t="str">
        <f>IFERROR(__xludf.DUMMYFUNCTION("""COMPUTED_VALUE"""),"PA")</f>
        <v>PA</v>
      </c>
    </row>
    <row r="120">
      <c r="A120" s="7" t="str">
        <f>IFERROR(__xludf.DUMMYFUNCTION("""COMPUTED_VALUE"""),"PM Rio Maria ")</f>
        <v>PM Rio Maria </v>
      </c>
      <c r="B120" s="7" t="str">
        <f>IFERROR(__xludf.DUMMYFUNCTION("""COMPUTED_VALUE"""),"Prefeitura MUnicipal de Rio Maria")</f>
        <v>Prefeitura MUnicipal de Rio Maria</v>
      </c>
      <c r="C120" s="7" t="str">
        <f>IFERROR(__xludf.DUMMYFUNCTION("""COMPUTED_VALUE"""),"Municipal")</f>
        <v>Municipal</v>
      </c>
      <c r="D120" s="7" t="str">
        <f>IFERROR(__xludf.DUMMYFUNCTION("""COMPUTED_VALUE"""),"18.402.566/0001-05")</f>
        <v>18.402.566/0001-05</v>
      </c>
      <c r="E120" s="7"/>
      <c r="F120" s="7"/>
      <c r="G120" s="7" t="str">
        <f>IFERROR(__xludf.DUMMYFUNCTION("""COMPUTED_VALUE"""),"(91) 9 8403--1045 ")</f>
        <v>(91) 9 8403--1045 </v>
      </c>
      <c r="H120" s="7"/>
      <c r="I120" s="7"/>
      <c r="J120" s="7"/>
      <c r="K120" s="7" t="str">
        <f>IFERROR(__xludf.DUMMYFUNCTION("""COMPUTED_VALUE"""),"Rio Maria")</f>
        <v>Rio Maria</v>
      </c>
      <c r="L120" s="7" t="str">
        <f>IFERROR(__xludf.DUMMYFUNCTION("""COMPUTED_VALUE"""),"PA")</f>
        <v>PA</v>
      </c>
    </row>
    <row r="121">
      <c r="A121" s="7" t="str">
        <f>IFERROR(__xludf.DUMMYFUNCTION("""COMPUTED_VALUE"""),"PM Rodon do Pará")</f>
        <v>PM Rodon do Pará</v>
      </c>
      <c r="B121" s="7" t="str">
        <f>IFERROR(__xludf.DUMMYFUNCTION("""COMPUTED_VALUE"""),"Prefeitura MUnicipal de Rondon do Pará")</f>
        <v>Prefeitura MUnicipal de Rondon do Pará</v>
      </c>
      <c r="C121" s="7" t="str">
        <f>IFERROR(__xludf.DUMMYFUNCTION("""COMPUTED_VALUE"""),"Municipal")</f>
        <v>Municipal</v>
      </c>
      <c r="D121" s="7" t="str">
        <f>IFERROR(__xludf.DUMMYFUNCTION("""COMPUTED_VALUE"""),"04.780.953/0001-70")</f>
        <v>04.780.953/0001-70</v>
      </c>
      <c r="E121" s="7" t="str">
        <f>IFERROR(__xludf.DUMMYFUNCTION("""COMPUTED_VALUE"""),"EDILSON O. PEREIRA")</f>
        <v>EDILSON O. PEREIRA</v>
      </c>
      <c r="F121" s="7" t="str">
        <f>IFERROR(__xludf.DUMMYFUNCTION("""COMPUTED_VALUE"""),"PREFEITO")</f>
        <v>PREFEITO</v>
      </c>
      <c r="G121" s="7" t="str">
        <f>IFERROR(__xludf.DUMMYFUNCTION("""COMPUTED_VALUE"""),"(94) 99191-7868 ")</f>
        <v>(94) 99191-7868 </v>
      </c>
      <c r="H121" s="7"/>
      <c r="I121" s="7"/>
      <c r="J121" s="7"/>
      <c r="K121" s="7" t="str">
        <f>IFERROR(__xludf.DUMMYFUNCTION("""COMPUTED_VALUE"""),"Rondon do Pará")</f>
        <v>Rondon do Pará</v>
      </c>
      <c r="L121" s="7" t="str">
        <f>IFERROR(__xludf.DUMMYFUNCTION("""COMPUTED_VALUE"""),"PA")</f>
        <v>PA</v>
      </c>
    </row>
    <row r="122">
      <c r="A122" s="7" t="str">
        <f>IFERROR(__xludf.DUMMYFUNCTION("""COMPUTED_VALUE"""),"PM Salinópolis")</f>
        <v>PM Salinópolis</v>
      </c>
      <c r="B122" s="7" t="str">
        <f>IFERROR(__xludf.DUMMYFUNCTION("""COMPUTED_VALUE"""),"Prefeitura MUnicipal de Salinópolis")</f>
        <v>Prefeitura MUnicipal de Salinópolis</v>
      </c>
      <c r="C122" s="7" t="str">
        <f>IFERROR(__xludf.DUMMYFUNCTION("""COMPUTED_VALUE"""),"Municipal")</f>
        <v>Municipal</v>
      </c>
      <c r="D122" s="7" t="str">
        <f>IFERROR(__xludf.DUMMYFUNCTION("""COMPUTED_VALUE"""),"05.149.166/0001-98")</f>
        <v>05.149.166/0001-98</v>
      </c>
      <c r="E122" s="7"/>
      <c r="F122" s="7"/>
      <c r="G122" s="7" t="str">
        <f>IFERROR(__xludf.DUMMYFUNCTION("""COMPUTED_VALUE"""),"(91) 98345-6828 ")</f>
        <v>(91) 98345-6828 </v>
      </c>
      <c r="H122" s="7"/>
      <c r="I122" s="7"/>
      <c r="J122" s="7"/>
      <c r="K122" s="7" t="str">
        <f>IFERROR(__xludf.DUMMYFUNCTION("""COMPUTED_VALUE"""),"Salinópolis")</f>
        <v>Salinópolis</v>
      </c>
      <c r="L122" s="7" t="str">
        <f>IFERROR(__xludf.DUMMYFUNCTION("""COMPUTED_VALUE"""),"PA")</f>
        <v>PA</v>
      </c>
    </row>
    <row r="123">
      <c r="A123" s="7" t="str">
        <f>IFERROR(__xludf.DUMMYFUNCTION("""COMPUTED_VALUE"""),"PM Salinópolis")</f>
        <v>PM Salinópolis</v>
      </c>
      <c r="B123" s="7" t="str">
        <f>IFERROR(__xludf.DUMMYFUNCTION("""COMPUTED_VALUE"""),"Prefeitura Municipal de Salinópolis")</f>
        <v>Prefeitura Municipal de Salinópolis</v>
      </c>
      <c r="C123" s="7" t="str">
        <f>IFERROR(__xludf.DUMMYFUNCTION("""COMPUTED_VALUE"""),"Municipal")</f>
        <v>Municipal</v>
      </c>
      <c r="D123" s="7"/>
      <c r="E123" s="7"/>
      <c r="F123" s="7"/>
      <c r="G123" s="7"/>
      <c r="H123" s="7"/>
      <c r="I123" s="7"/>
      <c r="J123" s="7"/>
      <c r="K123" s="7" t="str">
        <f>IFERROR(__xludf.DUMMYFUNCTION("""COMPUTED_VALUE"""),"Salinópolis")</f>
        <v>Salinópolis</v>
      </c>
      <c r="L123" s="7" t="str">
        <f>IFERROR(__xludf.DUMMYFUNCTION("""COMPUTED_VALUE"""),"PA")</f>
        <v>PA</v>
      </c>
    </row>
    <row r="124">
      <c r="A124" s="7" t="str">
        <f>IFERROR(__xludf.DUMMYFUNCTION("""COMPUTED_VALUE"""),"PM Santa Izabel do Pará")</f>
        <v>PM Santa Izabel do Pará</v>
      </c>
      <c r="B124" s="7" t="str">
        <f>IFERROR(__xludf.DUMMYFUNCTION("""COMPUTED_VALUE"""),"Prefeitura Municipal de Santa Izabel do Pará")</f>
        <v>Prefeitura Municipal de Santa Izabel do Pará</v>
      </c>
      <c r="C124" s="7" t="str">
        <f>IFERROR(__xludf.DUMMYFUNCTION("""COMPUTED_VALUE"""),"Municipal")</f>
        <v>Municipal</v>
      </c>
      <c r="D124" s="7"/>
      <c r="E124" s="7"/>
      <c r="F124" s="7"/>
      <c r="G124" s="7"/>
      <c r="H124" s="7"/>
      <c r="I124" s="7"/>
      <c r="J124" s="7"/>
      <c r="K124" s="7" t="str">
        <f>IFERROR(__xludf.DUMMYFUNCTION("""COMPUTED_VALUE"""),"Santa Izabel do Pará")</f>
        <v>Santa Izabel do Pará</v>
      </c>
      <c r="L124" s="7" t="str">
        <f>IFERROR(__xludf.DUMMYFUNCTION("""COMPUTED_VALUE"""),"PA")</f>
        <v>PA</v>
      </c>
    </row>
    <row r="125">
      <c r="A125" s="7" t="str">
        <f>IFERROR(__xludf.DUMMYFUNCTION("""COMPUTED_VALUE"""),"PM Santa Izabel so Pará")</f>
        <v>PM Santa Izabel so Pará</v>
      </c>
      <c r="B125" s="7" t="str">
        <f>IFERROR(__xludf.DUMMYFUNCTION("""COMPUTED_VALUE"""),"Prefeitura MUnicipal de Santa Izabel do Pará")</f>
        <v>Prefeitura MUnicipal de Santa Izabel do Pará</v>
      </c>
      <c r="C125" s="7" t="str">
        <f>IFERROR(__xludf.DUMMYFUNCTION("""COMPUTED_VALUE"""),"Estadual")</f>
        <v>Estadual</v>
      </c>
      <c r="D125" s="7" t="str">
        <f>IFERROR(__xludf.DUMMYFUNCTION("""COMPUTED_VALUE"""),"05.171.699/0001-76")</f>
        <v>05.171.699/0001-76</v>
      </c>
      <c r="E125" s="7" t="str">
        <f>IFERROR(__xludf.DUMMYFUNCTION("""COMPUTED_VALUE"""),"Gessé")</f>
        <v>Gessé</v>
      </c>
      <c r="F125" s="7"/>
      <c r="G125" s="7" t="str">
        <f>IFERROR(__xludf.DUMMYFUNCTION("""COMPUTED_VALUE"""),"(91)  9 8948-3588 ")</f>
        <v>(91)  9 8948-3588 </v>
      </c>
      <c r="H125" s="7"/>
      <c r="I125" s="7"/>
      <c r="J125" s="7"/>
      <c r="K125" s="7"/>
      <c r="L125" s="7" t="str">
        <f>IFERROR(__xludf.DUMMYFUNCTION("""COMPUTED_VALUE"""),"PA")</f>
        <v>PA</v>
      </c>
    </row>
    <row r="126">
      <c r="A126" s="7" t="str">
        <f>IFERROR(__xludf.DUMMYFUNCTION("""COMPUTED_VALUE"""),"PM Santa Maria das Barreiras")</f>
        <v>PM Santa Maria das Barreiras</v>
      </c>
      <c r="B126" s="7" t="str">
        <f>IFERROR(__xludf.DUMMYFUNCTION("""COMPUTED_VALUE"""),"Prefeitura Municipal de Santa Maria das Barreiras")</f>
        <v>Prefeitura Municipal de Santa Maria das Barreiras</v>
      </c>
      <c r="C126" s="7" t="str">
        <f>IFERROR(__xludf.DUMMYFUNCTION("""COMPUTED_VALUE"""),"Municipal")</f>
        <v>Municipal</v>
      </c>
      <c r="D126" s="7" t="str">
        <f>IFERROR(__xludf.DUMMYFUNCTION("""COMPUTED_VALUE"""),"10.249.381/0001-09")</f>
        <v>10.249.381/0001-09</v>
      </c>
      <c r="E126" s="7"/>
      <c r="F126" s="7"/>
      <c r="G126" s="7" t="str">
        <f>IFERROR(__xludf.DUMMYFUNCTION("""COMPUTED_VALUE""")," (94) 9 8412-3820 / 9 8430-6020")</f>
        <v> (94) 9 8412-3820 / 9 8430-6020</v>
      </c>
      <c r="H126" s="7"/>
      <c r="I126" s="7"/>
      <c r="J126" s="7"/>
      <c r="K126" s="7" t="str">
        <f>IFERROR(__xludf.DUMMYFUNCTION("""COMPUTED_VALUE"""),"Santa Maria das Barreiras")</f>
        <v>Santa Maria das Barreiras</v>
      </c>
      <c r="L126" s="7" t="str">
        <f>IFERROR(__xludf.DUMMYFUNCTION("""COMPUTED_VALUE"""),"PA")</f>
        <v>PA</v>
      </c>
    </row>
    <row r="127">
      <c r="A127" s="7" t="str">
        <f>IFERROR(__xludf.DUMMYFUNCTION("""COMPUTED_VALUE"""),"PM Santa MAria das Barreiras")</f>
        <v>PM Santa MAria das Barreiras</v>
      </c>
      <c r="B127" s="7" t="str">
        <f>IFERROR(__xludf.DUMMYFUNCTION("""COMPUTED_VALUE"""),"Prefeitura Municipal de Santa Maria das Barreiras")</f>
        <v>Prefeitura Municipal de Santa Maria das Barreiras</v>
      </c>
      <c r="C127" s="7" t="str">
        <f>IFERROR(__xludf.DUMMYFUNCTION("""COMPUTED_VALUE"""),"Municipal")</f>
        <v>Municipal</v>
      </c>
      <c r="D127" s="7"/>
      <c r="E127" s="7"/>
      <c r="F127" s="7"/>
      <c r="G127" s="7"/>
      <c r="H127" s="7"/>
      <c r="I127" s="7"/>
      <c r="J127" s="7"/>
      <c r="K127" s="7" t="str">
        <f>IFERROR(__xludf.DUMMYFUNCTION("""COMPUTED_VALUE"""),"Santa Maria das Barreiras")</f>
        <v>Santa Maria das Barreiras</v>
      </c>
      <c r="L127" s="7" t="str">
        <f>IFERROR(__xludf.DUMMYFUNCTION("""COMPUTED_VALUE"""),"PA")</f>
        <v>PA</v>
      </c>
    </row>
    <row r="128">
      <c r="A128" s="7" t="str">
        <f>IFERROR(__xludf.DUMMYFUNCTION("""COMPUTED_VALUE"""),"PM Santo Antonio do Taua")</f>
        <v>PM Santo Antonio do Taua</v>
      </c>
      <c r="B128" s="7" t="str">
        <f>IFERROR(__xludf.DUMMYFUNCTION("""COMPUTED_VALUE"""),"Prefeitura Municipal de Santo Antonio do Tauá")</f>
        <v>Prefeitura Municipal de Santo Antonio do Tauá</v>
      </c>
      <c r="C128" s="7" t="str">
        <f>IFERROR(__xludf.DUMMYFUNCTION("""COMPUTED_VALUE"""),"Municipal")</f>
        <v>Municipal</v>
      </c>
      <c r="D128" s="7" t="str">
        <f>IFERROR(__xludf.DUMMYFUNCTION("""COMPUTED_VALUE"""),"05.059.936/0001-01")</f>
        <v>05.059.936/0001-01</v>
      </c>
      <c r="E128" s="7"/>
      <c r="F128" s="7"/>
      <c r="G128" s="7" t="str">
        <f>IFERROR(__xludf.DUMMYFUNCTION("""COMPUTED_VALUE""")," (91) 9 9279-4586 /  9 8222-6711")</f>
        <v> (91) 9 9279-4586 /  9 8222-6711</v>
      </c>
      <c r="H128" s="7"/>
      <c r="I128" s="7"/>
      <c r="J128" s="7"/>
      <c r="K128" s="7" t="str">
        <f>IFERROR(__xludf.DUMMYFUNCTION("""COMPUTED_VALUE"""),"Santo Antonio do Tauá")</f>
        <v>Santo Antonio do Tauá</v>
      </c>
      <c r="L128" s="7" t="str">
        <f>IFERROR(__xludf.DUMMYFUNCTION("""COMPUTED_VALUE"""),"PA")</f>
        <v>PA</v>
      </c>
    </row>
    <row r="129">
      <c r="A129" s="7" t="str">
        <f>IFERROR(__xludf.DUMMYFUNCTION("""COMPUTED_VALUE"""),"PM São Caetano de Odivelas")</f>
        <v>PM São Caetano de Odivelas</v>
      </c>
      <c r="B129" s="7" t="str">
        <f>IFERROR(__xludf.DUMMYFUNCTION("""COMPUTED_VALUE"""),"Prefeitura Municipal de São Caetano de Odivelas")</f>
        <v>Prefeitura Municipal de São Caetano de Odivelas</v>
      </c>
      <c r="C129" s="7" t="str">
        <f>IFERROR(__xludf.DUMMYFUNCTION("""COMPUTED_VALUE"""),"Municipal")</f>
        <v>Municipal</v>
      </c>
      <c r="D129" s="7" t="str">
        <f>IFERROR(__xludf.DUMMYFUNCTION("""COMPUTED_VALUE"""),"05.351.614/0001-31")</f>
        <v>05.351.614/0001-31</v>
      </c>
      <c r="E129" s="7" t="str">
        <f>IFERROR(__xludf.DUMMYFUNCTION("""COMPUTED_VALUE"""),"MAURO R. CHAGAS")</f>
        <v>MAURO R. CHAGAS</v>
      </c>
      <c r="F129" s="7" t="str">
        <f>IFERROR(__xludf.DUMMYFUNCTION("""COMPUTED_VALUE"""),"PREFEITO")</f>
        <v>PREFEITO</v>
      </c>
      <c r="G129" s="7"/>
      <c r="H129" s="7"/>
      <c r="I129" s="7"/>
      <c r="J129" s="7"/>
      <c r="K129" s="7" t="str">
        <f>IFERROR(__xludf.DUMMYFUNCTION("""COMPUTED_VALUE"""),"São Caetano de Odivelas")</f>
        <v>São Caetano de Odivelas</v>
      </c>
      <c r="L129" s="7" t="str">
        <f>IFERROR(__xludf.DUMMYFUNCTION("""COMPUTED_VALUE"""),"PA")</f>
        <v>PA</v>
      </c>
    </row>
    <row r="130">
      <c r="A130" s="7" t="str">
        <f>IFERROR(__xludf.DUMMYFUNCTION("""COMPUTED_VALUE"""),"PM São Domingos do Araguaia")</f>
        <v>PM São Domingos do Araguaia</v>
      </c>
      <c r="B130" s="7" t="str">
        <f>IFERROR(__xludf.DUMMYFUNCTION("""COMPUTED_VALUE"""),"Prefeitura Municipal de São Domingos do Araguaia")</f>
        <v>Prefeitura Municipal de São Domingos do Araguaia</v>
      </c>
      <c r="C130" s="7" t="str">
        <f>IFERROR(__xludf.DUMMYFUNCTION("""COMPUTED_VALUE"""),"Municipal")</f>
        <v>Municipal</v>
      </c>
      <c r="D130" s="7" t="str">
        <f>IFERROR(__xludf.DUMMYFUNCTION("""COMPUTED_VALUE"""),"83.211.391/0001-10")</f>
        <v>83.211.391/0001-10</v>
      </c>
      <c r="E130" s="7"/>
      <c r="F130" s="7"/>
      <c r="G130" s="7" t="str">
        <f>IFERROR(__xludf.DUMMYFUNCTION("""COMPUTED_VALUE""")," (94) 9 9157-78-31 / 98423-0402 / 9 8410-2788 / 9 8411-208")</f>
        <v> (94) 9 9157-78-31 / 98423-0402 / 9 8410-2788 / 9 8411-208</v>
      </c>
      <c r="H130" s="7"/>
      <c r="I130" s="7"/>
      <c r="J130" s="7"/>
      <c r="K130" s="7" t="str">
        <f>IFERROR(__xludf.DUMMYFUNCTION("""COMPUTED_VALUE"""),"São Domingos do Araguaia")</f>
        <v>São Domingos do Araguaia</v>
      </c>
      <c r="L130" s="7" t="str">
        <f>IFERROR(__xludf.DUMMYFUNCTION("""COMPUTED_VALUE"""),"PA")</f>
        <v>PA</v>
      </c>
    </row>
    <row r="131">
      <c r="A131" s="7" t="str">
        <f>IFERROR(__xludf.DUMMYFUNCTION("""COMPUTED_VALUE"""),"PM São Domingos do Araguaia")</f>
        <v>PM São Domingos do Araguaia</v>
      </c>
      <c r="B131" s="7" t="str">
        <f>IFERROR(__xludf.DUMMYFUNCTION("""COMPUTED_VALUE"""),"Prefeitura Municipal de São Domingos do Araguaia")</f>
        <v>Prefeitura Municipal de São Domingos do Araguaia</v>
      </c>
      <c r="C131" s="7" t="str">
        <f>IFERROR(__xludf.DUMMYFUNCTION("""COMPUTED_VALUE"""),"Municipal")</f>
        <v>Municipal</v>
      </c>
      <c r="D131" s="7"/>
      <c r="E131" s="7"/>
      <c r="F131" s="7"/>
      <c r="G131" s="7"/>
      <c r="H131" s="7"/>
      <c r="I131" s="7"/>
      <c r="J131" s="7"/>
      <c r="K131" s="7" t="str">
        <f>IFERROR(__xludf.DUMMYFUNCTION("""COMPUTED_VALUE"""),"São Domingos do Araguaia")</f>
        <v>São Domingos do Araguaia</v>
      </c>
      <c r="L131" s="7" t="str">
        <f>IFERROR(__xludf.DUMMYFUNCTION("""COMPUTED_VALUE"""),"PA")</f>
        <v>PA</v>
      </c>
    </row>
    <row r="132">
      <c r="A132" s="7" t="str">
        <f>IFERROR(__xludf.DUMMYFUNCTION("""COMPUTED_VALUE"""),"PM São Felix do Xingu")</f>
        <v>PM São Felix do Xingu</v>
      </c>
      <c r="B132" s="7" t="str">
        <f>IFERROR(__xludf.DUMMYFUNCTION("""COMPUTED_VALUE"""),"Prefeitura Municipal de São Félix do Xingu")</f>
        <v>Prefeitura Municipal de São Félix do Xingu</v>
      </c>
      <c r="C132" s="7" t="str">
        <f>IFERROR(__xludf.DUMMYFUNCTION("""COMPUTED_VALUE"""),"Municipal")</f>
        <v>Municipal</v>
      </c>
      <c r="D132" s="7" t="str">
        <f>IFERROR(__xludf.DUMMYFUNCTION("""COMPUTED_VALUE"""),"05.421.300/0001-68")</f>
        <v>05.421.300/0001-68</v>
      </c>
      <c r="E132" s="7"/>
      <c r="F132" s="7"/>
      <c r="G132" s="7" t="str">
        <f>IFERROR(__xludf.DUMMYFUNCTION("""COMPUTED_VALUE""")," (94) 9 9972-7518 / 9 8418-4111 / 9 9220-847")</f>
        <v> (94) 9 9972-7518 / 9 8418-4111 / 9 9220-847</v>
      </c>
      <c r="H132" s="7"/>
      <c r="I132" s="7"/>
      <c r="J132" s="7"/>
      <c r="K132" s="7" t="str">
        <f>IFERROR(__xludf.DUMMYFUNCTION("""COMPUTED_VALUE"""),"São Félixa do Xingu")</f>
        <v>São Félixa do Xingu</v>
      </c>
      <c r="L132" s="7" t="str">
        <f>IFERROR(__xludf.DUMMYFUNCTION("""COMPUTED_VALUE"""),"PA")</f>
        <v>PA</v>
      </c>
    </row>
    <row r="133">
      <c r="A133" s="7" t="str">
        <f>IFERROR(__xludf.DUMMYFUNCTION("""COMPUTED_VALUE"""),"PM São Félix do Xingu")</f>
        <v>PM São Félix do Xingu</v>
      </c>
      <c r="B133" s="7" t="str">
        <f>IFERROR(__xludf.DUMMYFUNCTION("""COMPUTED_VALUE"""),"Prefeitura Municipal de São Félix do Xingu")</f>
        <v>Prefeitura Municipal de São Félix do Xingu</v>
      </c>
      <c r="C133" s="7" t="str">
        <f>IFERROR(__xludf.DUMMYFUNCTION("""COMPUTED_VALUE"""),"Municipal")</f>
        <v>Municipal</v>
      </c>
      <c r="D133" s="7"/>
      <c r="E133" s="7"/>
      <c r="F133" s="7"/>
      <c r="G133" s="7"/>
      <c r="H133" s="7"/>
      <c r="I133" s="7"/>
      <c r="J133" s="7"/>
      <c r="K133" s="7" t="str">
        <f>IFERROR(__xludf.DUMMYFUNCTION("""COMPUTED_VALUE"""),"São Felix do Xingu")</f>
        <v>São Felix do Xingu</v>
      </c>
      <c r="L133" s="7" t="str">
        <f>IFERROR(__xludf.DUMMYFUNCTION("""COMPUTED_VALUE"""),"PA")</f>
        <v>PA</v>
      </c>
    </row>
    <row r="134">
      <c r="A134" s="7" t="str">
        <f>IFERROR(__xludf.DUMMYFUNCTION("""COMPUTED_VALUE"""),"PM São Geraldo do Araguaia")</f>
        <v>PM São Geraldo do Araguaia</v>
      </c>
      <c r="B134" s="7" t="str">
        <f>IFERROR(__xludf.DUMMYFUNCTION("""COMPUTED_VALUE"""),"Prefeitura Municipal de São Geraldo do Araguaia")</f>
        <v>Prefeitura Municipal de São Geraldo do Araguaia</v>
      </c>
      <c r="C134" s="7" t="str">
        <f>IFERROR(__xludf.DUMMYFUNCTION("""COMPUTED_VALUE"""),"Municipal")</f>
        <v>Municipal</v>
      </c>
      <c r="D134" s="7" t="str">
        <f>IFERROR(__xludf.DUMMYFUNCTION("""COMPUTED_VALUE"""),"10.249.241/0001-22")</f>
        <v>10.249.241/0001-22</v>
      </c>
      <c r="E134" s="7"/>
      <c r="F134" s="7"/>
      <c r="G134" s="7" t="str">
        <f>IFERROR(__xludf.DUMMYFUNCTION("""COMPUTED_VALUE"""),"(94) 9 9182-3803 / 9 9176-3569 ")</f>
        <v>(94) 9 9182-3803 / 9 9176-3569 </v>
      </c>
      <c r="H134" s="7"/>
      <c r="I134" s="7"/>
      <c r="J134" s="7"/>
      <c r="K134" s="7" t="str">
        <f>IFERROR(__xludf.DUMMYFUNCTION("""COMPUTED_VALUE"""),"São Geraldo do Araguaia")</f>
        <v>São Geraldo do Araguaia</v>
      </c>
      <c r="L134" s="7" t="str">
        <f>IFERROR(__xludf.DUMMYFUNCTION("""COMPUTED_VALUE"""),"PA")</f>
        <v>PA</v>
      </c>
    </row>
    <row r="135">
      <c r="A135" s="7" t="str">
        <f>IFERROR(__xludf.DUMMYFUNCTION("""COMPUTED_VALUE"""),"PM São Geraldo do Araguaia")</f>
        <v>PM São Geraldo do Araguaia</v>
      </c>
      <c r="B135" s="7" t="str">
        <f>IFERROR(__xludf.DUMMYFUNCTION("""COMPUTED_VALUE"""),"Prefeitura Municipal de São Geraldo do Araguaia")</f>
        <v>Prefeitura Municipal de São Geraldo do Araguaia</v>
      </c>
      <c r="C135" s="7" t="str">
        <f>IFERROR(__xludf.DUMMYFUNCTION("""COMPUTED_VALUE"""),"Municipal")</f>
        <v>Municipal</v>
      </c>
      <c r="D135" s="7"/>
      <c r="E135" s="7"/>
      <c r="F135" s="7"/>
      <c r="G135" s="7"/>
      <c r="H135" s="7"/>
      <c r="I135" s="7"/>
      <c r="J135" s="7"/>
      <c r="K135" s="7" t="str">
        <f>IFERROR(__xludf.DUMMYFUNCTION("""COMPUTED_VALUE"""),"São Geraldo do Araguaia")</f>
        <v>São Geraldo do Araguaia</v>
      </c>
      <c r="L135" s="7" t="str">
        <f>IFERROR(__xludf.DUMMYFUNCTION("""COMPUTED_VALUE"""),"PA")</f>
        <v>PA</v>
      </c>
    </row>
    <row r="136">
      <c r="A136" s="7" t="str">
        <f>IFERROR(__xludf.DUMMYFUNCTION("""COMPUTED_VALUE"""),"PM São João do Araguaia")</f>
        <v>PM São João do Araguaia</v>
      </c>
      <c r="B136" s="7" t="str">
        <f>IFERROR(__xludf.DUMMYFUNCTION("""COMPUTED_VALUE"""),"Prefeitura Municipal de São João do Araguaia")</f>
        <v>Prefeitura Municipal de São João do Araguaia</v>
      </c>
      <c r="C136" s="7" t="str">
        <f>IFERROR(__xludf.DUMMYFUNCTION("""COMPUTED_VALUE"""),"Municipal")</f>
        <v>Municipal</v>
      </c>
      <c r="D136" s="7" t="str">
        <f>IFERROR(__xludf.DUMMYFUNCTION("""COMPUTED_VALUE"""),"05.854.534/0001-07")</f>
        <v>05.854.534/0001-07</v>
      </c>
      <c r="E136" s="7"/>
      <c r="F136" s="7"/>
      <c r="G136" s="7" t="str">
        <f>IFERROR(__xludf.DUMMYFUNCTION("""COMPUTED_VALUE"""),"(94) 9 8429-1446(José) / 9 8150-065")</f>
        <v>(94) 9 8429-1446(José) / 9 8150-065</v>
      </c>
      <c r="H136" s="7"/>
      <c r="I136" s="7"/>
      <c r="J136" s="7"/>
      <c r="K136" s="7" t="str">
        <f>IFERROR(__xludf.DUMMYFUNCTION("""COMPUTED_VALUE"""),"São João do Araguaia")</f>
        <v>São João do Araguaia</v>
      </c>
      <c r="L136" s="7" t="str">
        <f>IFERROR(__xludf.DUMMYFUNCTION("""COMPUTED_VALUE"""),"PA")</f>
        <v>PA</v>
      </c>
    </row>
    <row r="137">
      <c r="A137" s="7" t="str">
        <f>IFERROR(__xludf.DUMMYFUNCTION("""COMPUTED_VALUE"""),"PM São João do Araguaia")</f>
        <v>PM São João do Araguaia</v>
      </c>
      <c r="B137" s="7" t="str">
        <f>IFERROR(__xludf.DUMMYFUNCTION("""COMPUTED_VALUE"""),"Prefeitura Municipal de São João do Araguaia")</f>
        <v>Prefeitura Municipal de São João do Araguaia</v>
      </c>
      <c r="C137" s="7" t="str">
        <f>IFERROR(__xludf.DUMMYFUNCTION("""COMPUTED_VALUE"""),"Municipal")</f>
        <v>Municipal</v>
      </c>
      <c r="D137" s="7"/>
      <c r="E137" s="7"/>
      <c r="F137" s="7"/>
      <c r="G137" s="7"/>
      <c r="H137" s="7"/>
      <c r="I137" s="7"/>
      <c r="J137" s="7"/>
      <c r="K137" s="7" t="str">
        <f>IFERROR(__xludf.DUMMYFUNCTION("""COMPUTED_VALUE"""),"São João do Araguaia")</f>
        <v>São João do Araguaia</v>
      </c>
      <c r="L137" s="7" t="str">
        <f>IFERROR(__xludf.DUMMYFUNCTION("""COMPUTED_VALUE"""),"PA")</f>
        <v>PA</v>
      </c>
    </row>
    <row r="138">
      <c r="A138" s="7" t="str">
        <f>IFERROR(__xludf.DUMMYFUNCTION("""COMPUTED_VALUE"""),"PM São MIguel do Guamá")</f>
        <v>PM São MIguel do Guamá</v>
      </c>
      <c r="B138" s="7" t="str">
        <f>IFERROR(__xludf.DUMMYFUNCTION("""COMPUTED_VALUE"""),"Prefeitura Municipal de São Miguel do Guamá")</f>
        <v>Prefeitura Municipal de São Miguel do Guamá</v>
      </c>
      <c r="C138" s="7" t="str">
        <f>IFERROR(__xludf.DUMMYFUNCTION("""COMPUTED_VALUE"""),"Municipal")</f>
        <v>Municipal</v>
      </c>
      <c r="D138" s="7" t="str">
        <f>IFERROR(__xludf.DUMMYFUNCTION("""COMPUTED_VALUE"""),"05.193.073/0001-60")</f>
        <v>05.193.073/0001-60</v>
      </c>
      <c r="E138" s="7"/>
      <c r="F138" s="7"/>
      <c r="G138" s="7" t="str">
        <f>IFERROR(__xludf.DUMMYFUNCTION("""COMPUTED_VALUE""")," (91) 98863-6321")</f>
        <v> (91) 98863-6321</v>
      </c>
      <c r="H138" s="7"/>
      <c r="I138" s="7"/>
      <c r="J138" s="7"/>
      <c r="K138" s="7" t="str">
        <f>IFERROR(__xludf.DUMMYFUNCTION("""COMPUTED_VALUE"""),"São Miguel do Guamá")</f>
        <v>São Miguel do Guamá</v>
      </c>
      <c r="L138" s="7" t="str">
        <f>IFERROR(__xludf.DUMMYFUNCTION("""COMPUTED_VALUE"""),"PA")</f>
        <v>PA</v>
      </c>
    </row>
    <row r="139">
      <c r="A139" s="7" t="str">
        <f>IFERROR(__xludf.DUMMYFUNCTION("""COMPUTED_VALUE"""),"PM São Sebastião da Boa vista")</f>
        <v>PM São Sebastião da Boa vista</v>
      </c>
      <c r="B139" s="7" t="str">
        <f>IFERROR(__xludf.DUMMYFUNCTION("""COMPUTED_VALUE"""),"Prefeitura Municipal de São Sebastião da Boa vista")</f>
        <v>Prefeitura Municipal de São Sebastião da Boa vista</v>
      </c>
      <c r="C139" s="7" t="str">
        <f>IFERROR(__xludf.DUMMYFUNCTION("""COMPUTED_VALUE"""),"Municipal")</f>
        <v>Municipal</v>
      </c>
      <c r="D139" s="7" t="str">
        <f>IFERROR(__xludf.DUMMYFUNCTION("""COMPUTED_VALUE"""),"05.105.143/0001-81")</f>
        <v>05.105.143/0001-81</v>
      </c>
      <c r="E139" s="7"/>
      <c r="F139" s="7"/>
      <c r="G139" s="7" t="str">
        <f>IFERROR(__xludf.DUMMYFUNCTION("""COMPUTED_VALUE""")," (91) 9 9339-8076 / 9 9396-8317")</f>
        <v> (91) 9 9339-8076 / 9 9396-8317</v>
      </c>
      <c r="H139" s="7"/>
      <c r="I139" s="7"/>
      <c r="J139" s="7"/>
      <c r="K139" s="7" t="str">
        <f>IFERROR(__xludf.DUMMYFUNCTION("""COMPUTED_VALUE"""),"São Sebastião da Boa Vista")</f>
        <v>São Sebastião da Boa Vista</v>
      </c>
      <c r="L139" s="7" t="str">
        <f>IFERROR(__xludf.DUMMYFUNCTION("""COMPUTED_VALUE"""),"PA")</f>
        <v>PA</v>
      </c>
    </row>
    <row r="140">
      <c r="A140" s="7" t="str">
        <f>IFERROR(__xludf.DUMMYFUNCTION("""COMPUTED_VALUE"""),"PM Sapucaia")</f>
        <v>PM Sapucaia</v>
      </c>
      <c r="B140" s="7" t="str">
        <f>IFERROR(__xludf.DUMMYFUNCTION("""COMPUTED_VALUE"""),"Prefeitura MUnicipal de Sapucaia")</f>
        <v>Prefeitura MUnicipal de Sapucaia</v>
      </c>
      <c r="C140" s="7" t="str">
        <f>IFERROR(__xludf.DUMMYFUNCTION("""COMPUTED_VALUE"""),"Municipal")</f>
        <v>Municipal</v>
      </c>
      <c r="D140" s="7" t="str">
        <f>IFERROR(__xludf.DUMMYFUNCTION("""COMPUTED_VALUE"""),"01.617.317/0001-34")</f>
        <v>01.617.317/0001-34</v>
      </c>
      <c r="E140" s="7"/>
      <c r="F140" s="7"/>
      <c r="G140" s="7" t="str">
        <f>IFERROR(__xludf.DUMMYFUNCTION("""COMPUTED_VALUE"""),"(94) 3382-2111 / 9 9155-4608(Fabio) / 9 9153-8457")</f>
        <v>(94) 3382-2111 / 9 9155-4608(Fabio) / 9 9153-8457</v>
      </c>
      <c r="H140" s="7"/>
      <c r="I140" s="7"/>
      <c r="J140" s="7"/>
      <c r="K140" s="7" t="str">
        <f>IFERROR(__xludf.DUMMYFUNCTION("""COMPUTED_VALUE"""),"Sapucaia")</f>
        <v>Sapucaia</v>
      </c>
      <c r="L140" s="7" t="str">
        <f>IFERROR(__xludf.DUMMYFUNCTION("""COMPUTED_VALUE"""),"PA")</f>
        <v>PA</v>
      </c>
    </row>
    <row r="141">
      <c r="A141" s="7" t="str">
        <f>IFERROR(__xludf.DUMMYFUNCTION("""COMPUTED_VALUE"""),"PM Senador José Porfírio")</f>
        <v>PM Senador José Porfírio</v>
      </c>
      <c r="B141" s="7" t="str">
        <f>IFERROR(__xludf.DUMMYFUNCTION("""COMPUTED_VALUE"""),"Prefeitura Municipal de Senador José Porfírio")</f>
        <v>Prefeitura Municipal de Senador José Porfírio</v>
      </c>
      <c r="C141" s="7" t="str">
        <f>IFERROR(__xludf.DUMMYFUNCTION("""COMPUTED_VALUE"""),"Municipal")</f>
        <v>Municipal</v>
      </c>
      <c r="D141" s="7" t="str">
        <f>IFERROR(__xludf.DUMMYFUNCTION("""COMPUTED_VALUE"""),"05.421.110/0001-40")</f>
        <v>05.421.110/0001-40</v>
      </c>
      <c r="E141" s="7"/>
      <c r="F141" s="7"/>
      <c r="G141" s="7" t="str">
        <f>IFERROR(__xludf.DUMMYFUNCTION("""COMPUTED_VALUE"""),"(93) 9 9125-625")</f>
        <v>(93) 9 9125-625</v>
      </c>
      <c r="H141" s="7"/>
      <c r="I141" s="7"/>
      <c r="J141" s="7"/>
      <c r="K141" s="7" t="str">
        <f>IFERROR(__xludf.DUMMYFUNCTION("""COMPUTED_VALUE"""),"Prefeitura Municipal de Senador José Porfírio")</f>
        <v>Prefeitura Municipal de Senador José Porfírio</v>
      </c>
      <c r="L141" s="7" t="str">
        <f>IFERROR(__xludf.DUMMYFUNCTION("""COMPUTED_VALUE"""),"PA")</f>
        <v>PA</v>
      </c>
    </row>
    <row r="142">
      <c r="A142" s="7" t="str">
        <f>IFERROR(__xludf.DUMMYFUNCTION("""COMPUTED_VALUE"""),"PM Soure")</f>
        <v>PM Soure</v>
      </c>
      <c r="B142" s="7" t="str">
        <f>IFERROR(__xludf.DUMMYFUNCTION("""COMPUTED_VALUE"""),"Prefeitura Municipal de Soure")</f>
        <v>Prefeitura Municipal de Soure</v>
      </c>
      <c r="C142" s="7" t="str">
        <f>IFERROR(__xludf.DUMMYFUNCTION("""COMPUTED_VALUE"""),"Municipal")</f>
        <v>Municipal</v>
      </c>
      <c r="D142" s="7" t="str">
        <f>IFERROR(__xludf.DUMMYFUNCTION("""COMPUTED_VALUE"""),"05.133.863/0001-50")</f>
        <v>05.133.863/0001-50</v>
      </c>
      <c r="E142" s="7"/>
      <c r="F142" s="7"/>
      <c r="G142" s="7" t="str">
        <f>IFERROR(__xludf.DUMMYFUNCTION("""COMPUTED_VALUE"""),"(91) 98354-9217 / 98346-5507")</f>
        <v>(91) 98354-9217 / 98346-5507</v>
      </c>
      <c r="H142" s="7"/>
      <c r="I142" s="7"/>
      <c r="J142" s="7"/>
      <c r="K142" s="7" t="str">
        <f>IFERROR(__xludf.DUMMYFUNCTION("""COMPUTED_VALUE"""),"Soure")</f>
        <v>Soure</v>
      </c>
      <c r="L142" s="7" t="str">
        <f>IFERROR(__xludf.DUMMYFUNCTION("""COMPUTED_VALUE"""),"PA")</f>
        <v>PA</v>
      </c>
    </row>
    <row r="143">
      <c r="A143" s="7" t="str">
        <f>IFERROR(__xludf.DUMMYFUNCTION("""COMPUTED_VALUE"""),"PM Tailândia")</f>
        <v>PM Tailândia</v>
      </c>
      <c r="B143" s="7" t="str">
        <f>IFERROR(__xludf.DUMMYFUNCTION("""COMPUTED_VALUE"""),"Prefeitura Municipal de Tailândia")</f>
        <v>Prefeitura Municipal de Tailândia</v>
      </c>
      <c r="C143" s="7" t="str">
        <f>IFERROR(__xludf.DUMMYFUNCTION("""COMPUTED_VALUE"""),"Municipal")</f>
        <v>Municipal</v>
      </c>
      <c r="D143" s="7" t="str">
        <f>IFERROR(__xludf.DUMMYFUNCTION("""COMPUTED_VALUE"""),"22.941.355/0001-18")</f>
        <v>22.941.355/0001-18</v>
      </c>
      <c r="E143" s="7"/>
      <c r="F143" s="7"/>
      <c r="G143" s="7" t="str">
        <f>IFERROR(__xludf.DUMMYFUNCTION("""COMPUTED_VALUE"""),"(91) 99178-0777")</f>
        <v>(91) 99178-0777</v>
      </c>
      <c r="H143" s="7"/>
      <c r="I143" s="7"/>
      <c r="J143" s="7"/>
      <c r="K143" s="7" t="str">
        <f>IFERROR(__xludf.DUMMYFUNCTION("""COMPUTED_VALUE"""),"Tailândia")</f>
        <v>Tailândia</v>
      </c>
      <c r="L143" s="7" t="str">
        <f>IFERROR(__xludf.DUMMYFUNCTION("""COMPUTED_VALUE"""),"PA")</f>
        <v>PA</v>
      </c>
    </row>
    <row r="144">
      <c r="A144" s="7" t="str">
        <f>IFERROR(__xludf.DUMMYFUNCTION("""COMPUTED_VALUE"""),"PM Terra Santa")</f>
        <v>PM Terra Santa</v>
      </c>
      <c r="B144" s="7" t="str">
        <f>IFERROR(__xludf.DUMMYFUNCTION("""COMPUTED_VALUE"""),"Prefeitura Municipal de Terra Santa")</f>
        <v>Prefeitura Municipal de Terra Santa</v>
      </c>
      <c r="C144" s="7" t="str">
        <f>IFERROR(__xludf.DUMMYFUNCTION("""COMPUTED_VALUE"""),"Municipal")</f>
        <v>Municipal</v>
      </c>
      <c r="D144" s="7" t="str">
        <f>IFERROR(__xludf.DUMMYFUNCTION("""COMPUTED_VALUE"""),"23.060.866/0001-93")</f>
        <v>23.060.866/0001-93</v>
      </c>
      <c r="E144" s="7"/>
      <c r="F144" s="7"/>
      <c r="G144" s="7" t="str">
        <f>IFERROR(__xludf.DUMMYFUNCTION("""COMPUTED_VALUE"""),"(93) 9 9227-3068 / 99134-3848")</f>
        <v>(93) 9 9227-3068 / 99134-3848</v>
      </c>
      <c r="H144" s="7"/>
      <c r="I144" s="7"/>
      <c r="J144" s="7"/>
      <c r="K144" s="7" t="str">
        <f>IFERROR(__xludf.DUMMYFUNCTION("""COMPUTED_VALUE"""),"Terra Santa")</f>
        <v>Terra Santa</v>
      </c>
      <c r="L144" s="7" t="str">
        <f>IFERROR(__xludf.DUMMYFUNCTION("""COMPUTED_VALUE"""),"PA")</f>
        <v>PA</v>
      </c>
    </row>
    <row r="145">
      <c r="A145" s="7" t="str">
        <f>IFERROR(__xludf.DUMMYFUNCTION("""COMPUTED_VALUE"""),"PM Tomé Açu")</f>
        <v>PM Tomé Açu</v>
      </c>
      <c r="B145" s="7" t="str">
        <f>IFERROR(__xludf.DUMMYFUNCTION("""COMPUTED_VALUE"""),"Prefeitura Municipal de Tomé Açu")</f>
        <v>Prefeitura Municipal de Tomé Açu</v>
      </c>
      <c r="C145" s="7" t="str">
        <f>IFERROR(__xludf.DUMMYFUNCTION("""COMPUTED_VALUE"""),"Municipal")</f>
        <v>Municipal</v>
      </c>
      <c r="D145" s="7" t="str">
        <f>IFERROR(__xludf.DUMMYFUNCTION("""COMPUTED_VALUE"""),"05.196.530/0001-70")</f>
        <v>05.196.530/0001-70</v>
      </c>
      <c r="E145" s="7"/>
      <c r="F145" s="7"/>
      <c r="G145" s="7" t="str">
        <f>IFERROR(__xludf.DUMMYFUNCTION("""COMPUTED_VALUE"""),"(91) 9 8176-4636 (WhatsApp) / 9 9327-5745 ")</f>
        <v>(91) 9 8176-4636 (WhatsApp) / 9 9327-5745 </v>
      </c>
      <c r="H145" s="7"/>
      <c r="I145" s="7"/>
      <c r="J145" s="7"/>
      <c r="K145" s="7" t="str">
        <f>IFERROR(__xludf.DUMMYFUNCTION("""COMPUTED_VALUE"""),"Tomé Açu")</f>
        <v>Tomé Açu</v>
      </c>
      <c r="L145" s="7" t="str">
        <f>IFERROR(__xludf.DUMMYFUNCTION("""COMPUTED_VALUE"""),"PA")</f>
        <v>PA</v>
      </c>
    </row>
    <row r="146">
      <c r="A146" s="7" t="str">
        <f>IFERROR(__xludf.DUMMYFUNCTION("""COMPUTED_VALUE"""),"PM Tracuateua")</f>
        <v>PM Tracuateua</v>
      </c>
      <c r="B146" s="7" t="str">
        <f>IFERROR(__xludf.DUMMYFUNCTION("""COMPUTED_VALUE"""),"Prefeitura Municipal de Tracuateua")</f>
        <v>Prefeitura Municipal de Tracuateua</v>
      </c>
      <c r="C146" s="7" t="str">
        <f>IFERROR(__xludf.DUMMYFUNCTION("""COMPUTED_VALUE"""),"Municipal")</f>
        <v>Municipal</v>
      </c>
      <c r="D146" s="7" t="str">
        <f>IFERROR(__xludf.DUMMYFUNCTION("""COMPUTED_VALUE"""),"01.612.999/0001-92")</f>
        <v>01.612.999/0001-92</v>
      </c>
      <c r="E146" s="7"/>
      <c r="F146" s="7"/>
      <c r="G146" s="7" t="str">
        <f>IFERROR(__xludf.DUMMYFUNCTION("""COMPUTED_VALUE"""),"(91) 9 8416-6497")</f>
        <v>(91) 9 8416-6497</v>
      </c>
      <c r="H146" s="7"/>
      <c r="I146" s="7"/>
      <c r="J146" s="7"/>
      <c r="K146" s="7" t="str">
        <f>IFERROR(__xludf.DUMMYFUNCTION("""COMPUTED_VALUE"""),"Tracauateua")</f>
        <v>Tracauateua</v>
      </c>
      <c r="L146" s="7" t="str">
        <f>IFERROR(__xludf.DUMMYFUNCTION("""COMPUTED_VALUE"""),"PA")</f>
        <v>PA</v>
      </c>
    </row>
    <row r="147">
      <c r="A147" s="7" t="str">
        <f>IFERROR(__xludf.DUMMYFUNCTION("""COMPUTED_VALUE"""),"PM Tucumã")</f>
        <v>PM Tucumã</v>
      </c>
      <c r="B147" s="7" t="str">
        <f>IFERROR(__xludf.DUMMYFUNCTION("""COMPUTED_VALUE"""),"Prefeitura Municipal de Tucumã")</f>
        <v>Prefeitura Municipal de Tucumã</v>
      </c>
      <c r="C147" s="7" t="str">
        <f>IFERROR(__xludf.DUMMYFUNCTION("""COMPUTED_VALUE"""),"Municipal")</f>
        <v>Municipal</v>
      </c>
      <c r="D147" s="7"/>
      <c r="E147" s="7"/>
      <c r="F147" s="7"/>
      <c r="G147" s="7"/>
      <c r="H147" s="7"/>
      <c r="I147" s="7"/>
      <c r="J147" s="7"/>
      <c r="K147" s="7" t="str">
        <f>IFERROR(__xludf.DUMMYFUNCTION("""COMPUTED_VALUE"""),"Tucumã")</f>
        <v>Tucumã</v>
      </c>
      <c r="L147" s="7" t="str">
        <f>IFERROR(__xludf.DUMMYFUNCTION("""COMPUTED_VALUE"""),"PA")</f>
        <v>PA</v>
      </c>
    </row>
    <row r="148">
      <c r="A148" s="7" t="str">
        <f>IFERROR(__xludf.DUMMYFUNCTION("""COMPUTED_VALUE"""),"PM Tucuruí")</f>
        <v>PM Tucuruí</v>
      </c>
      <c r="B148" s="7" t="str">
        <f>IFERROR(__xludf.DUMMYFUNCTION("""COMPUTED_VALUE"""),"Prefeitura Municipal de Tucuruí")</f>
        <v>Prefeitura Municipal de Tucuruí</v>
      </c>
      <c r="C148" s="7" t="str">
        <f>IFERROR(__xludf.DUMMYFUNCTION("""COMPUTED_VALUE"""),"Municipal")</f>
        <v>Municipal</v>
      </c>
      <c r="D148" s="7" t="str">
        <f>IFERROR(__xludf.DUMMYFUNCTION("""COMPUTED_VALUE"""),"05.251.632/0001-41")</f>
        <v>05.251.632/0001-41</v>
      </c>
      <c r="E148" s="7" t="str">
        <f>IFERROR(__xludf.DUMMYFUNCTION("""COMPUTED_VALUE"""),"JONES WILLIAM DA SILVA GALVAO")</f>
        <v>JONES WILLIAM DA SILVA GALVAO</v>
      </c>
      <c r="F148" s="7" t="str">
        <f>IFERROR(__xludf.DUMMYFUNCTION("""COMPUTED_VALUE"""),"PREFEITO")</f>
        <v>PREFEITO</v>
      </c>
      <c r="G148" s="7" t="str">
        <f>IFERROR(__xludf.DUMMYFUNCTION("""COMPUTED_VALUE"""),"(94) 9 8133-2885, 3787-3299 /  9 9904-2898 ")</f>
        <v>(94) 9 8133-2885, 3787-3299 /  9 9904-2898 </v>
      </c>
      <c r="H148" s="7"/>
      <c r="I148" s="7"/>
      <c r="J148" s="7"/>
      <c r="K148" s="7" t="str">
        <f>IFERROR(__xludf.DUMMYFUNCTION("""COMPUTED_VALUE"""),"Tucuruí")</f>
        <v>Tucuruí</v>
      </c>
      <c r="L148" s="7" t="str">
        <f>IFERROR(__xludf.DUMMYFUNCTION("""COMPUTED_VALUE"""),"PA")</f>
        <v>PA</v>
      </c>
    </row>
    <row r="149">
      <c r="A149" s="7" t="str">
        <f>IFERROR(__xludf.DUMMYFUNCTION("""COMPUTED_VALUE"""),"PM Viseu")</f>
        <v>PM Viseu</v>
      </c>
      <c r="B149" s="7" t="str">
        <f>IFERROR(__xludf.DUMMYFUNCTION("""COMPUTED_VALUE"""),"Prefeitura Municipal de Viseu")</f>
        <v>Prefeitura Municipal de Viseu</v>
      </c>
      <c r="C149" s="7" t="str">
        <f>IFERROR(__xludf.DUMMYFUNCTION("""COMPUTED_VALUE"""),"Municipal")</f>
        <v>Municipal</v>
      </c>
      <c r="D149" s="16" t="str">
        <f>IFERROR(__xludf.DUMMYFUNCTION("""COMPUTED_VALUE"""),"04.873.618/0001-17")</f>
        <v>04.873.618/0001-17</v>
      </c>
      <c r="E149" s="7" t="str">
        <f>IFERROR(__xludf.DUMMYFUNCTION("""COMPUTED_VALUE"""),"ISAIAS JOSÉ SILVA O. NETO")</f>
        <v>ISAIAS JOSÉ SILVA O. NETO</v>
      </c>
      <c r="F149" s="7" t="str">
        <f>IFERROR(__xludf.DUMMYFUNCTION("""COMPUTED_VALUE"""),"PREFEITO")</f>
        <v>PREFEITO</v>
      </c>
      <c r="G149" s="7" t="str">
        <f>IFERROR(__xludf.DUMMYFUNCTION("""COMPUTED_VALUE"""),"(91) 9 9136-4762 / 9 8454-9150 / 9 84812056")</f>
        <v>(91) 9 9136-4762 / 9 8454-9150 / 9 84812056</v>
      </c>
      <c r="H149" s="7"/>
      <c r="I149" s="7"/>
      <c r="J149" s="7"/>
      <c r="K149" s="7" t="str">
        <f>IFERROR(__xludf.DUMMYFUNCTION("""COMPUTED_VALUE"""),"Viseu")</f>
        <v>Viseu</v>
      </c>
      <c r="L149" s="7" t="str">
        <f>IFERROR(__xludf.DUMMYFUNCTION("""COMPUTED_VALUE"""),"PA")</f>
        <v>PA</v>
      </c>
    </row>
    <row r="150">
      <c r="A150" s="7" t="str">
        <f>IFERROR(__xludf.DUMMYFUNCTION("""COMPUTED_VALUE"""),"PM Vitoria do Xingú")</f>
        <v>PM Vitoria do Xingú</v>
      </c>
      <c r="B150" s="7" t="str">
        <f>IFERROR(__xludf.DUMMYFUNCTION("""COMPUTED_VALUE"""),"Prefeitura Municipal de Vitoria do Xingú")</f>
        <v>Prefeitura Municipal de Vitoria do Xingú</v>
      </c>
      <c r="C150" s="7" t="str">
        <f>IFERROR(__xludf.DUMMYFUNCTION("""COMPUTED_VALUE"""),"Municipal")</f>
        <v>Municipal</v>
      </c>
      <c r="D150" s="16" t="str">
        <f>IFERROR(__xludf.DUMMYFUNCTION("""COMPUTED_VALUE"""),"34.887.935/0001-53")</f>
        <v>34.887.935/0001-53</v>
      </c>
      <c r="E150" s="7" t="str">
        <f>IFERROR(__xludf.DUMMYFUNCTION("""COMPUTED_VALUE"""),"ERIVANDO O.  AMARAL")</f>
        <v>ERIVANDO O.  AMARAL</v>
      </c>
      <c r="F150" s="7" t="str">
        <f>IFERROR(__xludf.DUMMYFUNCTION("""COMPUTED_VALUE"""),"PREFEITO")</f>
        <v>PREFEITO</v>
      </c>
      <c r="G150" s="7" t="str">
        <f>IFERROR(__xludf.DUMMYFUNCTION("""COMPUTED_VALUE"""),"(93) 9 9143-3511 / 9 9171-1022 / 9 9131-6879")</f>
        <v>(93) 9 9143-3511 / 9 9171-1022 / 9 9131-6879</v>
      </c>
      <c r="H150" s="7"/>
      <c r="I150" s="7"/>
      <c r="J150" s="7"/>
      <c r="K150" s="7" t="str">
        <f>IFERROR(__xludf.DUMMYFUNCTION("""COMPUTED_VALUE"""),"Vitória do Xingú")</f>
        <v>Vitória do Xingú</v>
      </c>
      <c r="L150" s="7" t="str">
        <f>IFERROR(__xludf.DUMMYFUNCTION("""COMPUTED_VALUE"""),"PA")</f>
        <v>PA</v>
      </c>
    </row>
    <row r="151">
      <c r="A151" s="7" t="str">
        <f>IFERROR(__xludf.DUMMYFUNCTION("""COMPUTED_VALUE"""),"PM Xinguara")</f>
        <v>PM Xinguara</v>
      </c>
      <c r="B151" s="7" t="str">
        <f>IFERROR(__xludf.DUMMYFUNCTION("""COMPUTED_VALUE"""),"Prefeitura Municipal de Xinguara")</f>
        <v>Prefeitura Municipal de Xinguara</v>
      </c>
      <c r="C151" s="7" t="str">
        <f>IFERROR(__xludf.DUMMYFUNCTION("""COMPUTED_VALUE"""),"Municipal")</f>
        <v>Municipal</v>
      </c>
      <c r="D151" s="16" t="str">
        <f>IFERROR(__xludf.DUMMYFUNCTION("""COMPUTED_VALUE"""),"04.144.150/0001-20")</f>
        <v>04.144.150/0001-20</v>
      </c>
      <c r="E151" s="7" t="str">
        <f>IFERROR(__xludf.DUMMYFUNCTION("""COMPUTED_VALUE"""),"OSVALDO DE OLIVEIRA A. JUNIOR")</f>
        <v>OSVALDO DE OLIVEIRA A. JUNIOR</v>
      </c>
      <c r="F151" s="7" t="str">
        <f>IFERROR(__xludf.DUMMYFUNCTION("""COMPUTED_VALUE"""),"PREFEITO")</f>
        <v>PREFEITO</v>
      </c>
      <c r="G151" s="7" t="str">
        <f>IFERROR(__xludf.DUMMYFUNCTION("""COMPUTED_VALUE"""),"(94) 99201-1255 / 9 8411-2235 (Walter) / 9 9147-3274")</f>
        <v>(94) 99201-1255 / 9 8411-2235 (Walter) / 9 9147-3274</v>
      </c>
      <c r="H151" s="7"/>
      <c r="I151" s="7"/>
      <c r="J151" s="7"/>
      <c r="K151" s="7" t="str">
        <f>IFERROR(__xludf.DUMMYFUNCTION("""COMPUTED_VALUE"""),"Xinguara")</f>
        <v>Xinguara</v>
      </c>
      <c r="L151" s="7" t="str">
        <f>IFERROR(__xludf.DUMMYFUNCTION("""COMPUTED_VALUE"""),"PA")</f>
        <v>PA</v>
      </c>
    </row>
    <row r="152">
      <c r="A152" s="7" t="str">
        <f>IFERROR(__xludf.DUMMYFUNCTION("""COMPUTED_VALUE"""),"PGE")</f>
        <v>PGE</v>
      </c>
      <c r="B152" s="7" t="str">
        <f>IFERROR(__xludf.DUMMYFUNCTION("""COMPUTED_VALUE"""),"Procuradoria Geral do Estado")</f>
        <v>Procuradoria Geral do Estado</v>
      </c>
      <c r="C152" s="7" t="str">
        <f>IFERROR(__xludf.DUMMYFUNCTION("""COMPUTED_VALUE"""),"Estadual")</f>
        <v>Estadual</v>
      </c>
      <c r="D152" s="7" t="str">
        <f>IFERROR(__xludf.DUMMYFUNCTION("""COMPUTED_VALUE"""),"34.921.759/0001-29")</f>
        <v>34.921.759/0001-29</v>
      </c>
      <c r="E152" s="7" t="str">
        <f>IFERROR(__xludf.DUMMYFUNCTION("""COMPUTED_VALUE"""),"Ricardo Nasser nSefer")</f>
        <v>Ricardo Nasser nSefer</v>
      </c>
      <c r="F152" s="7" t="str">
        <f>IFERROR(__xludf.DUMMYFUNCTION("""COMPUTED_VALUE"""),"Procurador")</f>
        <v>Procurador</v>
      </c>
      <c r="G152" s="7" t="str">
        <f>IFERROR(__xludf.DUMMYFUNCTION("""COMPUTED_VALUE"""),"(91) 3344-2781")</f>
        <v>(91) 3344-2781</v>
      </c>
      <c r="H152" s="7" t="str">
        <f>IFERROR(__xludf.DUMMYFUNCTION("""COMPUTED_VALUE"""),"Rua dos Tamoios, nº 1671")</f>
        <v>Rua dos Tamoios, nº 1671</v>
      </c>
      <c r="I152" s="7" t="str">
        <f>IFERROR(__xludf.DUMMYFUNCTION("""COMPUTED_VALUE"""),"Batista Campos")</f>
        <v>Batista Campos</v>
      </c>
      <c r="J152" s="7" t="str">
        <f>IFERROR(__xludf.DUMMYFUNCTION("""COMPUTED_VALUE"""),"66.025-540")</f>
        <v>66.025-540</v>
      </c>
      <c r="K152" s="7" t="str">
        <f>IFERROR(__xludf.DUMMYFUNCTION("""COMPUTED_VALUE"""),"Belém")</f>
        <v>Belém</v>
      </c>
      <c r="L152" s="7" t="str">
        <f>IFERROR(__xludf.DUMMYFUNCTION("""COMPUTED_VALUE"""),"PA")</f>
        <v>PA</v>
      </c>
    </row>
    <row r="153">
      <c r="A153" s="7" t="str">
        <f>IFERROR(__xludf.DUMMYFUNCTION("""COMPUTED_VALUE"""),"SECTET")</f>
        <v>SECTET</v>
      </c>
      <c r="B153" s="7" t="str">
        <f>IFERROR(__xludf.DUMMYFUNCTION("""COMPUTED_VALUE"""),"Secretaria de Ciência, Tecnologia e Educação Superior, Profissional e Tecnológica")</f>
        <v>Secretaria de Ciência, Tecnologia e Educação Superior, Profissional e Tecnológica</v>
      </c>
      <c r="C153" s="7" t="str">
        <f>IFERROR(__xludf.DUMMYFUNCTION("""COMPUTED_VALUE"""),"Estadual")</f>
        <v>Estadual</v>
      </c>
      <c r="D153" s="7"/>
      <c r="E153" s="7"/>
      <c r="F153" s="7"/>
      <c r="G153" s="7"/>
      <c r="H153" s="7"/>
      <c r="I153" s="7"/>
      <c r="J153" s="7"/>
      <c r="K153" s="7" t="str">
        <f>IFERROR(__xludf.DUMMYFUNCTION("""COMPUTED_VALUE"""),"Belém")</f>
        <v>Belém</v>
      </c>
      <c r="L153" s="7" t="str">
        <f>IFERROR(__xludf.DUMMYFUNCTION("""COMPUTED_VALUE"""),"PA")</f>
        <v>PA</v>
      </c>
    </row>
    <row r="154">
      <c r="A154" s="7" t="str">
        <f>IFERROR(__xludf.DUMMYFUNCTION("""COMPUTED_VALUE"""),"SEEL")</f>
        <v>SEEL</v>
      </c>
      <c r="B154" s="7" t="str">
        <f>IFERROR(__xludf.DUMMYFUNCTION("""COMPUTED_VALUE"""),"Secretaria de Esporte e Lazer")</f>
        <v>Secretaria de Esporte e Lazer</v>
      </c>
      <c r="C154" s="7" t="str">
        <f>IFERROR(__xludf.DUMMYFUNCTION("""COMPUTED_VALUE"""),"Estadual")</f>
        <v>Estadual</v>
      </c>
      <c r="D154" s="7" t="str">
        <f>IFERROR(__xludf.DUMMYFUNCTION("""COMPUTED_VALUE"""),"03.143.730/0001-30")</f>
        <v>03.143.730/0001-30</v>
      </c>
      <c r="E154" s="7" t="str">
        <f>IFERROR(__xludf.DUMMYFUNCTION("""COMPUTED_VALUE"""),"Cássio Coelho Andrade")</f>
        <v>Cássio Coelho Andrade</v>
      </c>
      <c r="F154" s="7" t="str">
        <f>IFERROR(__xludf.DUMMYFUNCTION("""COMPUTED_VALUE"""),"Secretário de Estado")</f>
        <v>Secretário de Estado</v>
      </c>
      <c r="G154" s="7"/>
      <c r="H154" s="7" t="str">
        <f>IFERROR(__xludf.DUMMYFUNCTION("""COMPUTED_VALUE"""),"Rodovia Augusto Montenegro, Km 3, s/n")</f>
        <v>Rodovia Augusto Montenegro, Km 3, s/n</v>
      </c>
      <c r="I154" s="7" t="str">
        <f>IFERROR(__xludf.DUMMYFUNCTION("""COMPUTED_VALUE"""),"Mangueirão")</f>
        <v>Mangueirão</v>
      </c>
      <c r="J154" s="7" t="str">
        <f>IFERROR(__xludf.DUMMYFUNCTION("""COMPUTED_VALUE"""),"66640-000")</f>
        <v>66640-000</v>
      </c>
      <c r="K154" s="7" t="str">
        <f>IFERROR(__xludf.DUMMYFUNCTION("""COMPUTED_VALUE"""),"Belém")</f>
        <v>Belém</v>
      </c>
      <c r="L154" s="7" t="str">
        <f>IFERROR(__xludf.DUMMYFUNCTION("""COMPUTED_VALUE"""),"PA")</f>
        <v>PA</v>
      </c>
    </row>
    <row r="155">
      <c r="A155" s="7" t="str">
        <f>IFERROR(__xludf.DUMMYFUNCTION("""COMPUTED_VALUE"""),"SECIR")</f>
        <v>SECIR</v>
      </c>
      <c r="B155" s="7" t="str">
        <f>IFERROR(__xludf.DUMMYFUNCTION("""COMPUTED_VALUE"""),"Secretaria de Estado das Cidades e Integração Regional")</f>
        <v>Secretaria de Estado das Cidades e Integração Regional</v>
      </c>
      <c r="C155" s="7" t="str">
        <f>IFERROR(__xludf.DUMMYFUNCTION("""COMPUTED_VALUE"""),"Estadual")</f>
        <v>Estadual</v>
      </c>
      <c r="D155" s="7"/>
      <c r="E155" s="7"/>
      <c r="F155" s="7"/>
      <c r="G155" s="7"/>
      <c r="H155" s="7"/>
      <c r="I155" s="7"/>
      <c r="J155" s="7"/>
      <c r="K155" s="7" t="str">
        <f>IFERROR(__xludf.DUMMYFUNCTION("""COMPUTED_VALUE"""),"Belém")</f>
        <v>Belém</v>
      </c>
      <c r="L155" s="7" t="str">
        <f>IFERROR(__xludf.DUMMYFUNCTION("""COMPUTED_VALUE"""),"PA")</f>
        <v>PA</v>
      </c>
    </row>
    <row r="156">
      <c r="A156" s="7" t="str">
        <f>IFERROR(__xludf.DUMMYFUNCTION("""COMPUTED_VALUE"""),"SEDUC")</f>
        <v>SEDUC</v>
      </c>
      <c r="B156" s="7" t="str">
        <f>IFERROR(__xludf.DUMMYFUNCTION("""COMPUTED_VALUE"""),"Secretaria de Estado da Educação")</f>
        <v>Secretaria de Estado da Educação</v>
      </c>
      <c r="C156" s="7" t="str">
        <f>IFERROR(__xludf.DUMMYFUNCTION("""COMPUTED_VALUE"""),"Estadual")</f>
        <v>Estadual</v>
      </c>
      <c r="D156" s="7"/>
      <c r="E156" s="7"/>
      <c r="F156" s="7"/>
      <c r="G156" s="7"/>
      <c r="H156" s="7"/>
      <c r="I156" s="7"/>
      <c r="J156" s="7"/>
      <c r="K156" s="7"/>
      <c r="L156" s="7" t="str">
        <f>IFERROR(__xludf.DUMMYFUNCTION("""COMPUTED_VALUE"""),"PA")</f>
        <v>PA</v>
      </c>
    </row>
    <row r="157">
      <c r="A157" s="7" t="str">
        <f>IFERROR(__xludf.DUMMYFUNCTION("""COMPUTED_VALUE"""),"SEMU")</f>
        <v>SEMU</v>
      </c>
      <c r="B157" s="7" t="str">
        <f>IFERROR(__xludf.DUMMYFUNCTION("""COMPUTED_VALUE"""),"Secretaria de Estado das Mulheres")</f>
        <v>Secretaria de Estado das Mulheres</v>
      </c>
      <c r="C157" s="7" t="str">
        <f>IFERROR(__xludf.DUMMYFUNCTION("""COMPUTED_VALUE"""),"Estadual")</f>
        <v>Estadual</v>
      </c>
      <c r="D157" s="7" t="str">
        <f>IFERROR(__xludf.DUMMYFUNCTION("""COMPUTED_VALUE"""),"50.008.131/0001-93")</f>
        <v>50.008.131/0001-93</v>
      </c>
      <c r="E157" s="7"/>
      <c r="F157" s="7"/>
      <c r="G157" s="7"/>
      <c r="H157" s="7" t="str">
        <f>IFERROR(__xludf.DUMMYFUNCTION("""COMPUTED_VALUE"""),"Av. Governador José Malcher, 2803-A")</f>
        <v>Av. Governador José Malcher, 2803-A</v>
      </c>
      <c r="I157" s="7" t="str">
        <f>IFERROR(__xludf.DUMMYFUNCTION("""COMPUTED_VALUE"""),"São Braz")</f>
        <v>São Braz</v>
      </c>
      <c r="J157" s="7" t="str">
        <f>IFERROR(__xludf.DUMMYFUNCTION("""COMPUTED_VALUE"""),"66090-100")</f>
        <v>66090-100</v>
      </c>
      <c r="K157" s="7" t="str">
        <f>IFERROR(__xludf.DUMMYFUNCTION("""COMPUTED_VALUE"""),"Belém")</f>
        <v>Belém</v>
      </c>
      <c r="L157" s="7" t="str">
        <f>IFERROR(__xludf.DUMMYFUNCTION("""COMPUTED_VALUE"""),"PA")</f>
        <v>PA</v>
      </c>
    </row>
    <row r="158">
      <c r="A158" s="7" t="str">
        <f>IFERROR(__xludf.DUMMYFUNCTION("""COMPUTED_VALUE"""),"SEAP")</f>
        <v>SEAP</v>
      </c>
      <c r="B158" s="7" t="str">
        <f>IFERROR(__xludf.DUMMYFUNCTION("""COMPUTED_VALUE"""),"Secretaria de Estado de Administração Previdenciária")</f>
        <v>Secretaria de Estado de Administração Previdenciária</v>
      </c>
      <c r="C158" s="7" t="str">
        <f>IFERROR(__xludf.DUMMYFUNCTION("""COMPUTED_VALUE"""),"Estadual")</f>
        <v>Estadual</v>
      </c>
      <c r="D158" s="7"/>
      <c r="E158" s="7"/>
      <c r="F158" s="7"/>
      <c r="G158" s="7"/>
      <c r="H158" s="7" t="str">
        <f>IFERROR(__xludf.DUMMYFUNCTION("""COMPUTED_VALUE"""),"Av. João Paulo II, 602")</f>
        <v>Av. João Paulo II, 602</v>
      </c>
      <c r="I158" s="7" t="str">
        <f>IFERROR(__xludf.DUMMYFUNCTION("""COMPUTED_VALUE"""),"Marco")</f>
        <v>Marco</v>
      </c>
      <c r="J158" s="7" t="str">
        <f>IFERROR(__xludf.DUMMYFUNCTION("""COMPUTED_VALUE"""),"66095-492")</f>
        <v>66095-492</v>
      </c>
      <c r="K158" s="7" t="str">
        <f>IFERROR(__xludf.DUMMYFUNCTION("""COMPUTED_VALUE"""),"Belém")</f>
        <v>Belém</v>
      </c>
      <c r="L158" s="7" t="str">
        <f>IFERROR(__xludf.DUMMYFUNCTION("""COMPUTED_VALUE"""),"PA")</f>
        <v>PA</v>
      </c>
    </row>
    <row r="159">
      <c r="A159" s="7" t="str">
        <f>IFERROR(__xludf.DUMMYFUNCTION("""COMPUTED_VALUE"""),"SEAF")</f>
        <v>SEAF</v>
      </c>
      <c r="B159" s="7" t="str">
        <f>IFERROR(__xludf.DUMMYFUNCTION("""COMPUTED_VALUE"""),"Secretaria de Estado de Agricultura Familiar")</f>
        <v>Secretaria de Estado de Agricultura Familiar</v>
      </c>
      <c r="C159" s="7" t="str">
        <f>IFERROR(__xludf.DUMMYFUNCTION("""COMPUTED_VALUE"""),"Estadual")</f>
        <v>Estadual</v>
      </c>
      <c r="D159" s="7"/>
      <c r="E159" s="7"/>
      <c r="F159" s="7"/>
      <c r="G159" s="7"/>
      <c r="H159" s="7"/>
      <c r="I159" s="7"/>
      <c r="J159" s="7"/>
      <c r="K159" s="7"/>
      <c r="L159" s="7" t="str">
        <f>IFERROR(__xludf.DUMMYFUNCTION("""COMPUTED_VALUE"""),"PA")</f>
        <v>PA</v>
      </c>
    </row>
    <row r="160">
      <c r="A160" s="7" t="str">
        <f>IFERROR(__xludf.DUMMYFUNCTION("""COMPUTED_VALUE"""),"SEAC")</f>
        <v>SEAC</v>
      </c>
      <c r="B160" s="7" t="str">
        <f>IFERROR(__xludf.DUMMYFUNCTION("""COMPUTED_VALUE"""),"Secretaria de Estado de articulação da Cidadania")</f>
        <v>Secretaria de Estado de articulação da Cidadania</v>
      </c>
      <c r="C160" s="7" t="str">
        <f>IFERROR(__xludf.DUMMYFUNCTION("""COMPUTED_VALUE"""),"Estadual")</f>
        <v>Estadual</v>
      </c>
      <c r="D160" s="16" t="str">
        <f>IFERROR(__xludf.DUMMYFUNCTION("""COMPUTED_VALUE"""),"37.205.760/0001-45")</f>
        <v>37.205.760/0001-45</v>
      </c>
      <c r="E160" s="7" t="str">
        <f>IFERROR(__xludf.DUMMYFUNCTION("""COMPUTED_VALUE"""),"Elieth de Fátima da Silva Braga")</f>
        <v>Elieth de Fátima da Silva Braga</v>
      </c>
      <c r="F160" s="7" t="str">
        <f>IFERROR(__xludf.DUMMYFUNCTION("""COMPUTED_VALUE"""),"Secretário")</f>
        <v>Secretário</v>
      </c>
      <c r="G160" s="7" t="str">
        <f>IFERROR(__xludf.DUMMYFUNCTION("""COMPUTED_VALUE"""),"(91) 98404-6851/ 98546-8668")</f>
        <v>(91) 98404-6851/ 98546-8668</v>
      </c>
      <c r="H160" s="7" t="str">
        <f>IFERROR(__xludf.DUMMYFUNCTION("""COMPUTED_VALUE"""),"Avenida Doutor Freitas, 2531")</f>
        <v>Avenida Doutor Freitas, 2531</v>
      </c>
      <c r="I160" s="7"/>
      <c r="J160" s="7" t="str">
        <f>IFERROR(__xludf.DUMMYFUNCTION("""COMPUTED_VALUE"""),"66.087-812")</f>
        <v>66.087-812</v>
      </c>
      <c r="K160" s="7"/>
      <c r="L160" s="7" t="str">
        <f>IFERROR(__xludf.DUMMYFUNCTION("""COMPUTED_VALUE"""),"PA")</f>
        <v>PA</v>
      </c>
    </row>
    <row r="161">
      <c r="A161" s="7" t="str">
        <f>IFERROR(__xludf.DUMMYFUNCTION("""COMPUTED_VALUE"""),"SEASTER")</f>
        <v>SEASTER</v>
      </c>
      <c r="B161" s="7" t="str">
        <f>IFERROR(__xludf.DUMMYFUNCTION("""COMPUTED_VALUE"""),"Secretaria de Estado de Assistência Social, Trabalho, Emprego e Renda")</f>
        <v>Secretaria de Estado de Assistência Social, Trabalho, Emprego e Renda</v>
      </c>
      <c r="C161" s="7" t="str">
        <f>IFERROR(__xludf.DUMMYFUNCTION("""COMPUTED_VALUE"""),"Estadual")</f>
        <v>Estadual</v>
      </c>
      <c r="D161" s="7" t="str">
        <f>IFERROR(__xludf.DUMMYFUNCTION("""COMPUTED_VALUE"""),"08.995.816/0001-04")</f>
        <v>08.995.816/0001-04</v>
      </c>
      <c r="E161" s="7" t="str">
        <f>IFERROR(__xludf.DUMMYFUNCTION("""COMPUTED_VALUE"""),"Inocêncio Renato Gasparim")</f>
        <v>Inocêncio Renato Gasparim</v>
      </c>
      <c r="F161" s="7" t="str">
        <f>IFERROR(__xludf.DUMMYFUNCTION("""COMPUTED_VALUE"""),"Secretário de Estado")</f>
        <v>Secretário de Estado</v>
      </c>
      <c r="G161" s="7"/>
      <c r="H161" s="7" t="str">
        <f>IFERROR(__xludf.DUMMYFUNCTION("""COMPUTED_VALUE"""),"Av. Gov. José Malcher, 1018")</f>
        <v>Av. Gov. José Malcher, 1018</v>
      </c>
      <c r="I161" s="7" t="str">
        <f>IFERROR(__xludf.DUMMYFUNCTION("""COMPUTED_VALUE"""),"Nazaré")</f>
        <v>Nazaré</v>
      </c>
      <c r="J161" s="7" t="str">
        <f>IFERROR(__xludf.DUMMYFUNCTION("""COMPUTED_VALUE"""),"66055-260")</f>
        <v>66055-260</v>
      </c>
      <c r="K161" s="7" t="str">
        <f>IFERROR(__xludf.DUMMYFUNCTION("""COMPUTED_VALUE"""),"Belém")</f>
        <v>Belém</v>
      </c>
      <c r="L161" s="7" t="str">
        <f>IFERROR(__xludf.DUMMYFUNCTION("""COMPUTED_VALUE"""),"PA")</f>
        <v>PA</v>
      </c>
    </row>
    <row r="162">
      <c r="A162" s="7" t="str">
        <f>IFERROR(__xludf.DUMMYFUNCTION("""COMPUTED_VALUE"""),"SEINFRA")</f>
        <v>SEINFRA</v>
      </c>
      <c r="B162" s="7" t="str">
        <f>IFERROR(__xludf.DUMMYFUNCTION("""COMPUTED_VALUE"""),"Secretaria de Estado de Infraestrutura e Logística")</f>
        <v>Secretaria de Estado de Infraestrutura e Logística</v>
      </c>
      <c r="C162" s="7" t="str">
        <f>IFERROR(__xludf.DUMMYFUNCTION("""COMPUTED_VALUE"""),"Estadual")</f>
        <v>Estadual</v>
      </c>
      <c r="D162" s="7"/>
      <c r="E162" s="7"/>
      <c r="F162" s="7"/>
      <c r="G162" s="7"/>
      <c r="H162" s="7"/>
      <c r="I162" s="7"/>
      <c r="J162" s="7"/>
      <c r="K162" s="7" t="str">
        <f>IFERROR(__xludf.DUMMYFUNCTION("""COMPUTED_VALUE"""),"Belém")</f>
        <v>Belém</v>
      </c>
      <c r="L162" s="7" t="str">
        <f>IFERROR(__xludf.DUMMYFUNCTION("""COMPUTED_VALUE"""),"PA")</f>
        <v>PA</v>
      </c>
    </row>
    <row r="163">
      <c r="A163" s="7" t="str">
        <f>IFERROR(__xludf.DUMMYFUNCTION("""COMPUTED_VALUE"""),"SEJU")</f>
        <v>SEJU</v>
      </c>
      <c r="B163" s="7" t="str">
        <f>IFERROR(__xludf.DUMMYFUNCTION("""COMPUTED_VALUE"""),"Secretaria de Estado de Justiça do Pará")</f>
        <v>Secretaria de Estado de Justiça do Pará</v>
      </c>
      <c r="C163" s="7" t="str">
        <f>IFERROR(__xludf.DUMMYFUNCTION("""COMPUTED_VALUE"""),"Estadual")</f>
        <v>Estadual</v>
      </c>
      <c r="D163" s="7" t="str">
        <f>IFERROR(__xludf.DUMMYFUNCTION("""COMPUTED_VALUE"""),"05.054.895/0001-60")</f>
        <v>05.054.895/0001-60</v>
      </c>
      <c r="E163" s="7"/>
      <c r="F163" s="7"/>
      <c r="G163" s="7"/>
      <c r="H163" s="7" t="str">
        <f>IFERROR(__xludf.DUMMYFUNCTION("""COMPUTED_VALUE"""),"Rua Vinte e Oito de Setembro, 339")</f>
        <v>Rua Vinte e Oito de Setembro, 339</v>
      </c>
      <c r="I163" s="7" t="str">
        <f>IFERROR(__xludf.DUMMYFUNCTION("""COMPUTED_VALUE"""),"Campina")</f>
        <v>Campina</v>
      </c>
      <c r="J163" s="7" t="str">
        <f>IFERROR(__xludf.DUMMYFUNCTION("""COMPUTED_VALUE"""),"66.010-100")</f>
        <v>66.010-100</v>
      </c>
      <c r="K163" s="7" t="str">
        <f>IFERROR(__xludf.DUMMYFUNCTION("""COMPUTED_VALUE"""),"Belém")</f>
        <v>Belém</v>
      </c>
      <c r="L163" s="7" t="str">
        <f>IFERROR(__xludf.DUMMYFUNCTION("""COMPUTED_VALUE"""),"PA")</f>
        <v>PA</v>
      </c>
    </row>
    <row r="164">
      <c r="A164" s="7" t="str">
        <f>IFERROR(__xludf.DUMMYFUNCTION("""COMPUTED_VALUE"""),"SEMAS")</f>
        <v>SEMAS</v>
      </c>
      <c r="B164" s="7" t="str">
        <f>IFERROR(__xludf.DUMMYFUNCTION("""COMPUTED_VALUE"""),"Secretaria de Estado de Meio Ambiente e Sustentabilidade")</f>
        <v>Secretaria de Estado de Meio Ambiente e Sustentabilidade</v>
      </c>
      <c r="C164" s="7" t="str">
        <f>IFERROR(__xludf.DUMMYFUNCTION("""COMPUTED_VALUE"""),"Estadual")</f>
        <v>Estadual</v>
      </c>
      <c r="D164" s="7" t="str">
        <f>IFERROR(__xludf.DUMMYFUNCTION("""COMPUTED_VALUE"""),"01.518.993/0001-50")</f>
        <v>01.518.993/0001-50</v>
      </c>
      <c r="E164" s="7"/>
      <c r="F164" s="7"/>
      <c r="G164" s="7"/>
      <c r="H164" s="7" t="str">
        <f>IFERROR(__xludf.DUMMYFUNCTION("""COMPUTED_VALUE"""),"Tv. Lomas Valentinas, 2717")</f>
        <v>Tv. Lomas Valentinas, 2717</v>
      </c>
      <c r="I164" s="7" t="str">
        <f>IFERROR(__xludf.DUMMYFUNCTION("""COMPUTED_VALUE"""),"Marco")</f>
        <v>Marco</v>
      </c>
      <c r="J164" s="7" t="str">
        <f>IFERROR(__xludf.DUMMYFUNCTION("""COMPUTED_VALUE"""),"66093-677")</f>
        <v>66093-677</v>
      </c>
      <c r="K164" s="7" t="str">
        <f>IFERROR(__xludf.DUMMYFUNCTION("""COMPUTED_VALUE"""),"Belém")</f>
        <v>Belém</v>
      </c>
      <c r="L164" s="7" t="str">
        <f>IFERROR(__xludf.DUMMYFUNCTION("""COMPUTED_VALUE"""),"PA")</f>
        <v>PA</v>
      </c>
    </row>
    <row r="165">
      <c r="A165" s="7" t="str">
        <f>IFERROR(__xludf.DUMMYFUNCTION("""COMPUTED_VALUE"""),"SEPLAD")</f>
        <v>SEPLAD</v>
      </c>
      <c r="B165" s="7" t="str">
        <f>IFERROR(__xludf.DUMMYFUNCTION("""COMPUTED_VALUE"""),"Secretaria de Estado de planejamento e Administração")</f>
        <v>Secretaria de Estado de planejamento e Administração</v>
      </c>
      <c r="C165" s="7" t="str">
        <f>IFERROR(__xludf.DUMMYFUNCTION("""COMPUTED_VALUE"""),"Estadual")</f>
        <v>Estadual</v>
      </c>
      <c r="D165" s="16" t="str">
        <f>IFERROR(__xludf.DUMMYFUNCTION("""COMPUTED_VALUE"""),"35.747.782/0001-01")</f>
        <v>35.747.782/0001-01</v>
      </c>
      <c r="E165" s="7" t="str">
        <f>IFERROR(__xludf.DUMMYFUNCTION("""COMPUTED_VALUE"""),"Hana Ghassan Tuma")</f>
        <v>Hana Ghassan Tuma</v>
      </c>
      <c r="F165" s="7" t="str">
        <f>IFERROR(__xludf.DUMMYFUNCTION("""COMPUTED_VALUE"""),"Secretária")</f>
        <v>Secretária</v>
      </c>
      <c r="G165" s="7" t="str">
        <f>IFERROR(__xludf.DUMMYFUNCTION("""COMPUTED_VALUE"""),"91) 3251-2800 // 3251-2654")</f>
        <v>91) 3251-2800 // 3251-2654</v>
      </c>
      <c r="H165" s="7" t="str">
        <f>IFERROR(__xludf.DUMMYFUNCTION("""COMPUTED_VALUE"""),"Travessa do Chaco, 2350")</f>
        <v>Travessa do Chaco, 2350</v>
      </c>
      <c r="I165" s="7" t="str">
        <f>IFERROR(__xludf.DUMMYFUNCTION("""COMPUTED_VALUE"""),"Marco")</f>
        <v>Marco</v>
      </c>
      <c r="J165" s="7" t="str">
        <f>IFERROR(__xludf.DUMMYFUNCTION("""COMPUTED_VALUE"""),"66093-542")</f>
        <v>66093-542</v>
      </c>
      <c r="K165" s="7"/>
      <c r="L165" s="7" t="str">
        <f>IFERROR(__xludf.DUMMYFUNCTION("""COMPUTED_VALUE"""),"PA")</f>
        <v>PA</v>
      </c>
    </row>
    <row r="166">
      <c r="A166" s="7" t="str">
        <f>IFERROR(__xludf.DUMMYFUNCTION("""COMPUTED_VALUE"""),"SESPA")</f>
        <v>SESPA</v>
      </c>
      <c r="B166" s="7" t="str">
        <f>IFERROR(__xludf.DUMMYFUNCTION("""COMPUTED_VALUE"""),"Secretaria de Estado de Saúde do Estado do Pará")</f>
        <v>Secretaria de Estado de Saúde do Estado do Pará</v>
      </c>
      <c r="C166" s="7" t="str">
        <f>IFERROR(__xludf.DUMMYFUNCTION("""COMPUTED_VALUE"""),"Estadual")</f>
        <v>Estadual</v>
      </c>
      <c r="D166" s="7" t="str">
        <f>IFERROR(__xludf.DUMMYFUNCTION("""COMPUTED_VALUE"""),"05.054.929/0001-17")</f>
        <v>05.054.929/0001-17</v>
      </c>
      <c r="E166" s="7"/>
      <c r="F166" s="7"/>
      <c r="G166" s="7"/>
      <c r="H166" s="7" t="str">
        <f>IFERROR(__xludf.DUMMYFUNCTION("""COMPUTED_VALUE"""),"Travessa Lomas Valentina, 2190")</f>
        <v>Travessa Lomas Valentina, 2190</v>
      </c>
      <c r="I166" s="7" t="str">
        <f>IFERROR(__xludf.DUMMYFUNCTION("""COMPUTED_VALUE"""),"Marco")</f>
        <v>Marco</v>
      </c>
      <c r="J166" s="7" t="str">
        <f>IFERROR(__xludf.DUMMYFUNCTION("""COMPUTED_VALUE"""),"6093-677")</f>
        <v>6093-677</v>
      </c>
      <c r="K166" s="7" t="str">
        <f>IFERROR(__xludf.DUMMYFUNCTION("""COMPUTED_VALUE"""),"Belém")</f>
        <v>Belém</v>
      </c>
      <c r="L166" s="7" t="str">
        <f>IFERROR(__xludf.DUMMYFUNCTION("""COMPUTED_VALUE"""),"PA")</f>
        <v>PA</v>
      </c>
    </row>
    <row r="167">
      <c r="A167" s="7" t="str">
        <f>IFERROR(__xludf.DUMMYFUNCTION("""COMPUTED_VALUE"""),"SEIRDH")</f>
        <v>SEIRDH</v>
      </c>
      <c r="B167" s="7" t="str">
        <f>IFERROR(__xludf.DUMMYFUNCTION("""COMPUTED_VALUE"""),"Secretaria de Igualdade Racial e Direitos Humanos")</f>
        <v>Secretaria de Igualdade Racial e Direitos Humanos</v>
      </c>
      <c r="C167" s="7" t="str">
        <f>IFERROR(__xludf.DUMMYFUNCTION("""COMPUTED_VALUE"""),"Estadual")</f>
        <v>Estadual</v>
      </c>
      <c r="D167" s="7" t="str">
        <f>IFERROR(__xludf.DUMMYFUNCTION("""COMPUTED_VALUE"""),"50.452.946/0001-67")</f>
        <v>50.452.946/0001-67</v>
      </c>
      <c r="E167" s="7"/>
      <c r="F167" s="7"/>
      <c r="G167" s="7"/>
      <c r="H167" s="7"/>
      <c r="I167" s="7"/>
      <c r="J167" s="7"/>
      <c r="K167" s="7" t="str">
        <f>IFERROR(__xludf.DUMMYFUNCTION("""COMPUTED_VALUE"""),"Belém")</f>
        <v>Belém</v>
      </c>
      <c r="L167" s="7" t="str">
        <f>IFERROR(__xludf.DUMMYFUNCTION("""COMPUTED_VALUE"""),"PA")</f>
        <v>PA</v>
      </c>
    </row>
    <row r="168">
      <c r="A168" s="7" t="str">
        <f>IFERROR(__xludf.DUMMYFUNCTION("""COMPUTED_VALUE"""),"SRGRT")</f>
        <v>SRGRT</v>
      </c>
      <c r="B168" s="7" t="str">
        <f>IFERROR(__xludf.DUMMYFUNCTION("""COMPUTED_VALUE"""),"Secretaria Regional de Governo da Regiao do Tapajos do Para")</f>
        <v>Secretaria Regional de Governo da Regiao do Tapajos do Para</v>
      </c>
      <c r="C168" s="7" t="str">
        <f>IFERROR(__xludf.DUMMYFUNCTION("""COMPUTED_VALUE"""),"Estadual")</f>
        <v>Estadual</v>
      </c>
      <c r="D168" s="16" t="str">
        <f>IFERROR(__xludf.DUMMYFUNCTION("""COMPUTED_VALUE"""),"03.137.985/0001-90")</f>
        <v>03.137.985/0001-90</v>
      </c>
      <c r="E168" s="7" t="str">
        <f>IFERROR(__xludf.DUMMYFUNCTION("""COMPUTED_VALUE"""),"Hilton Alves de Aguiar")</f>
        <v>Hilton Alves de Aguiar</v>
      </c>
      <c r="F168" s="7" t="str">
        <f>IFERROR(__xludf.DUMMYFUNCTION("""COMPUTED_VALUE"""),"Secretário")</f>
        <v>Secretário</v>
      </c>
      <c r="G168" s="7" t="str">
        <f>IFERROR(__xludf.DUMMYFUNCTION("""COMPUTED_VALUE"""),"(93) 99157-7364")</f>
        <v>(93) 99157-7364</v>
      </c>
      <c r="H168" s="7"/>
      <c r="I168" s="7"/>
      <c r="J168" s="7"/>
      <c r="K168" s="7"/>
      <c r="L168" s="7" t="str">
        <f>IFERROR(__xludf.DUMMYFUNCTION("""COMPUTED_VALUE"""),"PA")</f>
        <v>PA</v>
      </c>
    </row>
    <row r="169">
      <c r="A169" s="7" t="str">
        <f>IFERROR(__xludf.DUMMYFUNCTION("""COMPUTED_VALUE"""),"SRGBA")</f>
        <v>SRGBA</v>
      </c>
      <c r="B169" s="7" t="str">
        <f>IFERROR(__xludf.DUMMYFUNCTION("""COMPUTED_VALUE"""),"Secretaria Regional de Governo do Baixo Amazonas do Pará")</f>
        <v>Secretaria Regional de Governo do Baixo Amazonas do Pará</v>
      </c>
      <c r="C169" s="7" t="str">
        <f>IFERROR(__xludf.DUMMYFUNCTION("""COMPUTED_VALUE"""),"Estadual")</f>
        <v>Estadual</v>
      </c>
      <c r="D169" s="16" t="str">
        <f>IFERROR(__xludf.DUMMYFUNCTION("""COMPUTED_VALUE"""),"29.615.667/0001-80")</f>
        <v>29.615.667/0001-80</v>
      </c>
      <c r="E169" s="7" t="str">
        <f>IFERROR(__xludf.DUMMYFUNCTION("""COMPUTED_VALUE"""),"Francisco Nélio Aguiar da Silva")</f>
        <v>Francisco Nélio Aguiar da Silva</v>
      </c>
      <c r="F169" s="7" t="str">
        <f>IFERROR(__xludf.DUMMYFUNCTION("""COMPUTED_VALUE"""),"Secretario")</f>
        <v>Secretario</v>
      </c>
      <c r="G169" s="7" t="str">
        <f>IFERROR(__xludf.DUMMYFUNCTION("""COMPUTED_VALUE"""),"(93) 99164-8608")</f>
        <v>(93) 99164-8608</v>
      </c>
      <c r="H169" s="7" t="str">
        <f>IFERROR(__xludf.DUMMYFUNCTION("""COMPUTED_VALUE"""),"Travessa 15 de Agosto, 120")</f>
        <v>Travessa 15 de Agosto, 120</v>
      </c>
      <c r="I169" s="7" t="str">
        <f>IFERROR(__xludf.DUMMYFUNCTION("""COMPUTED_VALUE"""),"Centro")</f>
        <v>Centro</v>
      </c>
      <c r="J169" s="7" t="str">
        <f>IFERROR(__xludf.DUMMYFUNCTION("""COMPUTED_VALUE"""),"68005-300")</f>
        <v>68005-300</v>
      </c>
      <c r="K169" s="7" t="str">
        <f>IFERROR(__xludf.DUMMYFUNCTION("""COMPUTED_VALUE"""),"Santarém")</f>
        <v>Santarém</v>
      </c>
      <c r="L169" s="7" t="str">
        <f>IFERROR(__xludf.DUMMYFUNCTION("""COMPUTED_VALUE"""),"PA")</f>
        <v>PA</v>
      </c>
    </row>
    <row r="170">
      <c r="A170" s="7" t="str">
        <f>IFERROR(__xludf.DUMMYFUNCTION("""COMPUTED_VALUE"""),"SRGM")</f>
        <v>SRGM</v>
      </c>
      <c r="B170" s="7" t="str">
        <f>IFERROR(__xludf.DUMMYFUNCTION("""COMPUTED_VALUE"""),"Secretaria Regional de Governo do Marajó")</f>
        <v>Secretaria Regional de Governo do Marajó</v>
      </c>
      <c r="C170" s="7" t="str">
        <f>IFERROR(__xludf.DUMMYFUNCTION("""COMPUTED_VALUE"""),"Estadual")</f>
        <v>Estadual</v>
      </c>
      <c r="D170" s="7"/>
      <c r="E170" s="7" t="str">
        <f>IFERROR(__xludf.DUMMYFUNCTION("""COMPUTED_VALUE"""),"Odimar Wanderley Salomão")</f>
        <v>Odimar Wanderley Salomão</v>
      </c>
      <c r="F170" s="7" t="str">
        <f>IFERROR(__xludf.DUMMYFUNCTION("""COMPUTED_VALUE"""),"Secretário")</f>
        <v>Secretário</v>
      </c>
      <c r="G170" s="7" t="str">
        <f>IFERROR(__xludf.DUMMYFUNCTION("""COMPUTED_VALUE"""),"(91) 98585-2595")</f>
        <v>(91) 98585-2595</v>
      </c>
      <c r="H170" s="7" t="str">
        <f>IFERROR(__xludf.DUMMYFUNCTION("""COMPUTED_VALUE"""),"Avenida Doutor Freitas, 2.531")</f>
        <v>Avenida Doutor Freitas, 2.531</v>
      </c>
      <c r="I170" s="7" t="str">
        <f>IFERROR(__xludf.DUMMYFUNCTION("""COMPUTED_VALUE"""),"Marco")</f>
        <v>Marco</v>
      </c>
      <c r="J170" s="7"/>
      <c r="K170" s="7"/>
      <c r="L170" s="7" t="str">
        <f>IFERROR(__xludf.DUMMYFUNCTION("""COMPUTED_VALUE"""),"PA")</f>
        <v>PA</v>
      </c>
    </row>
    <row r="171">
      <c r="A171" s="7" t="str">
        <f>IFERROR(__xludf.DUMMYFUNCTION("""COMPUTED_VALUE"""),"CRG")</f>
        <v>CRG</v>
      </c>
      <c r="B171" s="7" t="str">
        <f>IFERROR(__xludf.DUMMYFUNCTION("""COMPUTED_VALUE"""),"Secretaria Regional de Governo do Sudeste do Pará")</f>
        <v>Secretaria Regional de Governo do Sudeste do Pará</v>
      </c>
      <c r="C171" s="7" t="str">
        <f>IFERROR(__xludf.DUMMYFUNCTION("""COMPUTED_VALUE"""),"Estadual")</f>
        <v>Estadual</v>
      </c>
      <c r="D171" s="16" t="str">
        <f>IFERROR(__xludf.DUMMYFUNCTION("""COMPUTED_VALUE"""),"29.697.645/0001-07")</f>
        <v>29.697.645/0001-07</v>
      </c>
      <c r="E171" s="7" t="str">
        <f>IFERROR(__xludf.DUMMYFUNCTION("""COMPUTED_VALUE"""),"João Chamon Neto")</f>
        <v>João Chamon Neto</v>
      </c>
      <c r="F171" s="7" t="str">
        <f>IFERROR(__xludf.DUMMYFUNCTION("""COMPUTED_VALUE"""),"Secretário")</f>
        <v>Secretário</v>
      </c>
      <c r="G171" s="7" t="str">
        <f>IFERROR(__xludf.DUMMYFUNCTION("""COMPUTED_VALUE"""),"94) 98402-9275 / 98404-7928")</f>
        <v>94) 98402-9275 / 98404-7928</v>
      </c>
      <c r="H171" s="7" t="str">
        <f>IFERROR(__xludf.DUMMYFUNCTION("""COMPUTED_VALUE"""),"Rodovia BR-222, Folha 30 -Carajás")</f>
        <v>Rodovia BR-222, Folha 30 -Carajás</v>
      </c>
      <c r="I171" s="7"/>
      <c r="J171" s="7"/>
      <c r="K171" s="7"/>
      <c r="L171" s="7" t="str">
        <f>IFERROR(__xludf.DUMMYFUNCTION("""COMPUTED_VALUE"""),"PA")</f>
        <v>PA</v>
      </c>
    </row>
    <row r="172">
      <c r="A172" s="7" t="str">
        <f>IFERROR(__xludf.DUMMYFUNCTION("""COMPUTED_VALUE"""),"TJ")</f>
        <v>TJ</v>
      </c>
      <c r="B172" s="7" t="str">
        <f>IFERROR(__xludf.DUMMYFUNCTION("""COMPUTED_VALUE"""),"Tribunal de Justiça do Estado do Pará")</f>
        <v>Tribunal de Justiça do Estado do Pará</v>
      </c>
      <c r="C172" s="7" t="str">
        <f>IFERROR(__xludf.DUMMYFUNCTION("""COMPUTED_VALUE"""),"Estadual")</f>
        <v>Estadual</v>
      </c>
      <c r="D172" s="16" t="str">
        <f>IFERROR(__xludf.DUMMYFUNCTION("""COMPUTED_VALUE"""),"04.567.897/0001-90")</f>
        <v>04.567.897/0001-90</v>
      </c>
      <c r="E172" s="7" t="str">
        <f>IFERROR(__xludf.DUMMYFUNCTION("""COMPUTED_VALUE"""),"Maria de Nazaré Silva Gouveia dos Santos")</f>
        <v>Maria de Nazaré Silva Gouveia dos Santos</v>
      </c>
      <c r="F172" s="7" t="str">
        <f>IFERROR(__xludf.DUMMYFUNCTION("""COMPUTED_VALUE"""),"Desembargador - Presidente")</f>
        <v>Desembargador - Presidente</v>
      </c>
      <c r="G172" s="7"/>
      <c r="H172" s="7" t="str">
        <f>IFERROR(__xludf.DUMMYFUNCTION("""COMPUTED_VALUE"""),"Avenida Almirante Barroso, 3089")</f>
        <v>Avenida Almirante Barroso, 3089</v>
      </c>
      <c r="I172" s="7" t="str">
        <f>IFERROR(__xludf.DUMMYFUNCTION("""COMPUTED_VALUE"""),"Souza")</f>
        <v>Souza</v>
      </c>
      <c r="J172" s="7" t="str">
        <f>IFERROR(__xludf.DUMMYFUNCTION("""COMPUTED_VALUE"""),"66613-710")</f>
        <v>66613-710</v>
      </c>
      <c r="K172" s="7" t="str">
        <f>IFERROR(__xludf.DUMMYFUNCTION("""COMPUTED_VALUE"""),"Belém")</f>
        <v>Belém</v>
      </c>
      <c r="L172" s="7" t="str">
        <f>IFERROR(__xludf.DUMMYFUNCTION("""COMPUTED_VALUE"""),"PA")</f>
        <v>PA</v>
      </c>
    </row>
    <row r="173">
      <c r="A173" s="7" t="str">
        <f>IFERROR(__xludf.DUMMYFUNCTION("""COMPUTED_VALUE"""),"TRT 8")</f>
        <v>TRT 8</v>
      </c>
      <c r="B173" s="7" t="str">
        <f>IFERROR(__xludf.DUMMYFUNCTION("""COMPUTED_VALUE"""),"Tribunal Regional do Trabalho - 8ª Região")</f>
        <v>Tribunal Regional do Trabalho - 8ª Região</v>
      </c>
      <c r="C173" s="7" t="str">
        <f>IFERROR(__xludf.DUMMYFUNCTION("""COMPUTED_VALUE"""),"Estadual")</f>
        <v>Estadual</v>
      </c>
      <c r="D173" s="7" t="str">
        <f>IFERROR(__xludf.DUMMYFUNCTION("""COMPUTED_VALUE"""),"01.547.343/0001-33")</f>
        <v>01.547.343/0001-33</v>
      </c>
      <c r="E173" s="7"/>
      <c r="F173" s="7"/>
      <c r="G173" s="7"/>
      <c r="H173" s="7" t="str">
        <f>IFERROR(__xludf.DUMMYFUNCTION("""COMPUTED_VALUE"""),"Tv. Dom Pedro I, 746")</f>
        <v>Tv. Dom Pedro I, 746</v>
      </c>
      <c r="I173" s="7" t="str">
        <f>IFERROR(__xludf.DUMMYFUNCTION("""COMPUTED_VALUE"""),"Umarizal")</f>
        <v>Umarizal</v>
      </c>
      <c r="J173" s="7" t="str">
        <f>IFERROR(__xludf.DUMMYFUNCTION("""COMPUTED_VALUE"""),"66050-100")</f>
        <v>66050-100</v>
      </c>
      <c r="K173" s="7" t="str">
        <f>IFERROR(__xludf.DUMMYFUNCTION("""COMPUTED_VALUE"""),"Belém")</f>
        <v>Belém</v>
      </c>
      <c r="L173" s="7" t="str">
        <f>IFERROR(__xludf.DUMMYFUNCTION("""COMPUTED_VALUE"""),"PA")</f>
        <v>PA</v>
      </c>
    </row>
    <row r="174">
      <c r="A174" s="7" t="str">
        <f>IFERROR(__xludf.DUMMYFUNCTION("""COMPUTED_VALUE"""),"TRE")</f>
        <v>TRE</v>
      </c>
      <c r="B174" s="7" t="str">
        <f>IFERROR(__xludf.DUMMYFUNCTION("""COMPUTED_VALUE"""),"Tribunal Regional Eleitoral")</f>
        <v>Tribunal Regional Eleitoral</v>
      </c>
      <c r="C174" s="7" t="str">
        <f>IFERROR(__xludf.DUMMYFUNCTION("""COMPUTED_VALUE"""),"Estadual")</f>
        <v>Estadual</v>
      </c>
      <c r="D174" s="16" t="str">
        <f>IFERROR(__xludf.DUMMYFUNCTION("""COMPUTED_VALUE"""),"05.703.755.0001-76")</f>
        <v>05.703.755.0001-76</v>
      </c>
      <c r="E174" s="7" t="str">
        <f>IFERROR(__xludf.DUMMYFUNCTION("""COMPUTED_VALUE"""),"José Maria Teixeira do Rosário")</f>
        <v>José Maria Teixeira do Rosário</v>
      </c>
      <c r="F174" s="7" t="str">
        <f>IFERROR(__xludf.DUMMYFUNCTION("""COMPUTED_VALUE"""),"Desembargador - Presidente")</f>
        <v>Desembargador - Presidente</v>
      </c>
      <c r="G174" s="7"/>
      <c r="H174" s="7" t="str">
        <f>IFERROR(__xludf.DUMMYFUNCTION("""COMPUTED_VALUE"""),"R. João Diogo, 288")</f>
        <v>R. João Diogo, 288</v>
      </c>
      <c r="I174" s="7" t="str">
        <f>IFERROR(__xludf.DUMMYFUNCTION("""COMPUTED_VALUE"""),"Campina")</f>
        <v>Campina</v>
      </c>
      <c r="J174" s="7" t="str">
        <f>IFERROR(__xludf.DUMMYFUNCTION("""COMPUTED_VALUE"""),"66015-902")</f>
        <v>66015-902</v>
      </c>
      <c r="K174" s="7" t="str">
        <f>IFERROR(__xludf.DUMMYFUNCTION("""COMPUTED_VALUE"""),"Belém")</f>
        <v>Belém</v>
      </c>
      <c r="L174" s="7" t="str">
        <f>IFERROR(__xludf.DUMMYFUNCTION("""COMPUTED_VALUE"""),"PA")</f>
        <v>PA</v>
      </c>
    </row>
    <row r="175">
      <c r="A175" s="7" t="str">
        <f>IFERROR(__xludf.DUMMYFUNCTION("""COMPUTED_VALUE"""),"COREN")</f>
        <v>COREN</v>
      </c>
      <c r="B175" s="7" t="str">
        <f>IFERROR(__xludf.DUMMYFUNCTION("""COMPUTED_VALUE"""),"Conselho Regional de Enfermagem")</f>
        <v>Conselho Regional de Enfermagem</v>
      </c>
      <c r="C175" s="7" t="str">
        <f>IFERROR(__xludf.DUMMYFUNCTION("""COMPUTED_VALUE"""),"Federal")</f>
        <v>Federal</v>
      </c>
      <c r="D175" s="16" t="str">
        <f>IFERROR(__xludf.DUMMYFUNCTION("""COMPUTED_VALUE"""),"04.734.406/0001-59")</f>
        <v>04.734.406/0001-59</v>
      </c>
      <c r="E175" s="7"/>
      <c r="F175" s="7"/>
      <c r="G175" s="7" t="str">
        <f>IFERROR(__xludf.DUMMYFUNCTION("""COMPUTED_VALUE"""),"(91) 3226-1435")</f>
        <v>(91) 3226-1435</v>
      </c>
      <c r="H175" s="7" t="str">
        <f>IFERROR(__xludf.DUMMYFUNCTION("""COMPUTED_VALUE"""),"Rua dos Caripunas, 2762")</f>
        <v>Rua dos Caripunas, 2762</v>
      </c>
      <c r="I175" s="7" t="str">
        <f>IFERROR(__xludf.DUMMYFUNCTION("""COMPUTED_VALUE"""),"Cremação")</f>
        <v>Cremação</v>
      </c>
      <c r="J175" s="7" t="str">
        <f>IFERROR(__xludf.DUMMYFUNCTION("""COMPUTED_VALUE"""),"66045-143")</f>
        <v>66045-143</v>
      </c>
      <c r="K175" s="7" t="str">
        <f>IFERROR(__xludf.DUMMYFUNCTION("""COMPUTED_VALUE"""),"Belém")</f>
        <v>Belém</v>
      </c>
      <c r="L175" s="7" t="str">
        <f>IFERROR(__xludf.DUMMYFUNCTION("""COMPUTED_VALUE"""),"PA")</f>
        <v>PA</v>
      </c>
    </row>
    <row r="176">
      <c r="A176" s="7" t="str">
        <f>IFERROR(__xludf.DUMMYFUNCTION("""COMPUTED_VALUE"""),"CAPP")</f>
        <v>CAPP</v>
      </c>
      <c r="B176" s="7" t="str">
        <f>IFERROR(__xludf.DUMMYFUNCTION("""COMPUTED_VALUE"""),"Companhia de Ativos Ambientais e Participações do Pará")</f>
        <v>Companhia de Ativos Ambientais e Participações do Pará</v>
      </c>
      <c r="C176" s="7" t="str">
        <f>IFERROR(__xludf.DUMMYFUNCTION("""COMPUTED_VALUE"""),"Estadual")</f>
        <v>Estadual</v>
      </c>
      <c r="D176" s="7"/>
      <c r="E176" s="7" t="str">
        <f>IFERROR(__xludf.DUMMYFUNCTION("""COMPUTED_VALUE"""),"Wagner")</f>
        <v>Wagner</v>
      </c>
      <c r="F176" s="7" t="str">
        <f>IFERROR(__xludf.DUMMYFUNCTION("""COMPUTED_VALUE"""),"Presidente")</f>
        <v>Presidente</v>
      </c>
      <c r="G176" s="7" t="str">
        <f>IFERROR(__xludf.DUMMYFUNCTION("""COMPUTED_VALUE"""),"(91) 98111-4567")</f>
        <v>(91) 98111-4567</v>
      </c>
      <c r="H176" s="7"/>
      <c r="I176" s="7"/>
      <c r="J176" s="7"/>
      <c r="K176" s="7"/>
      <c r="L176" s="7" t="str">
        <f>IFERROR(__xludf.DUMMYFUNCTION("""COMPUTED_VALUE"""),"PA")</f>
        <v>PA</v>
      </c>
    </row>
    <row r="177">
      <c r="A177" s="7" t="str">
        <f>IFERROR(__xludf.DUMMYFUNCTION("""COMPUTED_VALUE"""),"SEGUP")</f>
        <v>SEGUP</v>
      </c>
      <c r="B177" s="7" t="str">
        <f>IFERROR(__xludf.DUMMYFUNCTION("""COMPUTED_VALUE"""),"Secretaria de Estado de Segurança Pública e Defesa Social")</f>
        <v>Secretaria de Estado de Segurança Pública e Defesa Social</v>
      </c>
      <c r="C177" s="7" t="str">
        <f>IFERROR(__xludf.DUMMYFUNCTION("""COMPUTED_VALUE"""),"Estadual")</f>
        <v>Estadual</v>
      </c>
      <c r="D177" s="16" t="str">
        <f>IFERROR(__xludf.DUMMYFUNCTION("""COMPUTED_VALUE"""),"05.054.952/0001-01")</f>
        <v>05.054.952/0001-01</v>
      </c>
      <c r="E177" s="7" t="str">
        <f>IFERROR(__xludf.DUMMYFUNCTION("""COMPUTED_VALUE"""),"Rhuan Eleres")</f>
        <v>Rhuan Eleres</v>
      </c>
      <c r="F177" s="7" t="str">
        <f>IFERROR(__xludf.DUMMYFUNCTION("""COMPUTED_VALUE"""),"Coordenador de TI")</f>
        <v>Coordenador de TI</v>
      </c>
      <c r="G177" s="7" t="str">
        <f>IFERROR(__xludf.DUMMYFUNCTION("""COMPUTED_VALUE"""),"(91) 98231-7068")</f>
        <v>(91) 98231-7068</v>
      </c>
      <c r="H177" s="7" t="str">
        <f>IFERROR(__xludf.DUMMYFUNCTION("""COMPUTED_VALUE"""),"Avenida Almirante Barroso, 735")</f>
        <v>Avenida Almirante Barroso, 735</v>
      </c>
      <c r="I177" s="7" t="str">
        <f>IFERROR(__xludf.DUMMYFUNCTION("""COMPUTED_VALUE"""),"Marco ")</f>
        <v>Marco </v>
      </c>
      <c r="J177" s="7" t="str">
        <f>IFERROR(__xludf.DUMMYFUNCTION("""COMPUTED_VALUE"""),"66023-700")</f>
        <v>66023-700</v>
      </c>
      <c r="K177" s="7" t="str">
        <f>IFERROR(__xludf.DUMMYFUNCTION("""COMPUTED_VALUE"""),"Belém")</f>
        <v>Belém</v>
      </c>
      <c r="L177" s="7" t="str">
        <f>IFERROR(__xludf.DUMMYFUNCTION("""COMPUTED_VALUE"""),"PA")</f>
        <v>PA</v>
      </c>
    </row>
    <row r="178">
      <c r="A178" s="7" t="str">
        <f>IFERROR(__xludf.DUMMYFUNCTION("""COMPUTED_VALUE"""),"SEDAP")</f>
        <v>SEDAP</v>
      </c>
      <c r="B178" s="7" t="str">
        <f>IFERROR(__xludf.DUMMYFUNCTION("""COMPUTED_VALUE"""),"Secretaria de Estado de Desenvolvimento de Aquicultura e Pesca")</f>
        <v>Secretaria de Estado de Desenvolvimento de Aquicultura e Pesca</v>
      </c>
      <c r="C178" s="7" t="str">
        <f>IFERROR(__xludf.DUMMYFUNCTION("""COMPUTED_VALUE"""),"Estadual")</f>
        <v>Estadual</v>
      </c>
      <c r="D178" s="7"/>
      <c r="E178" s="7"/>
      <c r="F178" s="7"/>
      <c r="G178" s="7"/>
      <c r="H178" s="7" t="str">
        <f>IFERROR(__xludf.DUMMYFUNCTION("""COMPUTED_VALUE"""),"Tv. do Chaco, 2232")</f>
        <v>Tv. do Chaco, 2232</v>
      </c>
      <c r="I178" s="7" t="str">
        <f>IFERROR(__xludf.DUMMYFUNCTION("""COMPUTED_VALUE"""),"Marco ")</f>
        <v>Marco </v>
      </c>
      <c r="J178" s="7" t="str">
        <f>IFERROR(__xludf.DUMMYFUNCTION("""COMPUTED_VALUE"""),"66093-542")</f>
        <v>66093-542</v>
      </c>
      <c r="K178" s="7" t="str">
        <f>IFERROR(__xludf.DUMMYFUNCTION("""COMPUTED_VALUE"""),"Belém")</f>
        <v>Belém</v>
      </c>
      <c r="L178" s="7" t="str">
        <f>IFERROR(__xludf.DUMMYFUNCTION("""COMPUTED_VALUE"""),"PA")</f>
        <v>PA</v>
      </c>
    </row>
    <row r="179">
      <c r="A179" s="7" t="str">
        <f>IFERROR(__xludf.DUMMYFUNCTION("""COMPUTED_VALUE"""),"SECULT")</f>
        <v>SECULT</v>
      </c>
      <c r="B179" s="7" t="str">
        <f>IFERROR(__xludf.DUMMYFUNCTION("""COMPUTED_VALUE"""),"Secretaria de Estado de Cultura")</f>
        <v>Secretaria de Estado de Cultura</v>
      </c>
      <c r="C179" s="7" t="str">
        <f>IFERROR(__xludf.DUMMYFUNCTION("""COMPUTED_VALUE"""),"Estadual")</f>
        <v>Estadual</v>
      </c>
      <c r="D179" s="7"/>
      <c r="E179" s="7"/>
      <c r="F179" s="7"/>
      <c r="G179" s="7" t="str">
        <f>IFERROR(__xludf.DUMMYFUNCTION("""COMPUTED_VALUE"""),"(91) 4009-8450")</f>
        <v>(91) 4009-8450</v>
      </c>
      <c r="H179" s="7" t="str">
        <f>IFERROR(__xludf.DUMMYFUNCTION("""COMPUTED_VALUE"""),"Av. Gov Magalhães Barata, 830")</f>
        <v>Av. Gov Magalhães Barata, 830</v>
      </c>
      <c r="I179" s="7" t="str">
        <f>IFERROR(__xludf.DUMMYFUNCTION("""COMPUTED_VALUE"""),"São Brás")</f>
        <v>São Brás</v>
      </c>
      <c r="J179" s="7" t="str">
        <f>IFERROR(__xludf.DUMMYFUNCTION("""COMPUTED_VALUE"""),"66063-240")</f>
        <v>66063-240</v>
      </c>
      <c r="K179" s="7" t="str">
        <f>IFERROR(__xludf.DUMMYFUNCTION("""COMPUTED_VALUE"""),"Belém")</f>
        <v>Belém</v>
      </c>
      <c r="L179" s="7" t="str">
        <f>IFERROR(__xludf.DUMMYFUNCTION("""COMPUTED_VALUE"""),"PA")</f>
        <v>PA</v>
      </c>
    </row>
    <row r="180">
      <c r="A180" s="7" t="str">
        <f>IFERROR(__xludf.DUMMYFUNCTION("""COMPUTED_VALUE"""),"TCE")</f>
        <v>TCE</v>
      </c>
      <c r="B180" s="7" t="str">
        <f>IFERROR(__xludf.DUMMYFUNCTION("""COMPUTED_VALUE"""),"Tribunal de Contas do Estado")</f>
        <v>Tribunal de Contas do Estado</v>
      </c>
      <c r="C180" s="7" t="str">
        <f>IFERROR(__xludf.DUMMYFUNCTION("""COMPUTED_VALUE"""),"Estadual")</f>
        <v>Estadual</v>
      </c>
      <c r="D180" s="7"/>
      <c r="E180" s="7"/>
      <c r="F180" s="7"/>
      <c r="G180" s="7" t="str">
        <f>IFERROR(__xludf.DUMMYFUNCTION("""COMPUTED_VALUE"""),"(91) 3210-0555")</f>
        <v>(91) 3210-0555</v>
      </c>
      <c r="H180" s="7" t="str">
        <f>IFERROR(__xludf.DUMMYFUNCTION("""COMPUTED_VALUE"""),"Tv. Quintino Bocaiúva, 1585")</f>
        <v>Tv. Quintino Bocaiúva, 1585</v>
      </c>
      <c r="I180" s="7" t="str">
        <f>IFERROR(__xludf.DUMMYFUNCTION("""COMPUTED_VALUE"""),"Nazaré")</f>
        <v>Nazaré</v>
      </c>
      <c r="J180" s="7" t="str">
        <f>IFERROR(__xludf.DUMMYFUNCTION("""COMPUTED_VALUE"""),"66035-903")</f>
        <v>66035-903</v>
      </c>
      <c r="K180" s="7" t="str">
        <f>IFERROR(__xludf.DUMMYFUNCTION("""COMPUTED_VALUE"""),"Belém")</f>
        <v>Belém</v>
      </c>
      <c r="L180" s="7" t="str">
        <f>IFERROR(__xludf.DUMMYFUNCTION("""COMPUTED_VALUE"""),"PA")</f>
        <v>PA</v>
      </c>
    </row>
    <row r="181">
      <c r="A181" s="7" t="str">
        <f>IFERROR(__xludf.DUMMYFUNCTION("""COMPUTED_VALUE"""),"NGPR")</f>
        <v>NGPR</v>
      </c>
      <c r="B181" s="7" t="str">
        <f>IFERROR(__xludf.DUMMYFUNCTION("""COMPUTED_VALUE"""),"Núcleo de Gerenciamento do Pará Rural")</f>
        <v>Núcleo de Gerenciamento do Pará Rural</v>
      </c>
      <c r="C181" s="7" t="str">
        <f>IFERROR(__xludf.DUMMYFUNCTION("""COMPUTED_VALUE"""),"Estadual")</f>
        <v>Estadual</v>
      </c>
      <c r="D181" s="7"/>
      <c r="E181" s="7"/>
      <c r="F181" s="7"/>
      <c r="G181" s="7"/>
      <c r="H181" s="7"/>
      <c r="I181" s="7"/>
      <c r="J181" s="7"/>
      <c r="K181" s="7" t="str">
        <f>IFERROR(__xludf.DUMMYFUNCTION("""COMPUTED_VALUE"""),"Belém")</f>
        <v>Belém</v>
      </c>
      <c r="L181" s="7" t="str">
        <f>IFERROR(__xludf.DUMMYFUNCTION("""COMPUTED_VALUE"""),"PA")</f>
        <v>PA</v>
      </c>
    </row>
    <row r="182">
      <c r="A182" s="7" t="str">
        <f>IFERROR(__xludf.DUMMYFUNCTION("""COMPUTED_VALUE"""),"TCM")</f>
        <v>TCM</v>
      </c>
      <c r="B182" s="7" t="str">
        <f>IFERROR(__xludf.DUMMYFUNCTION("""COMPUTED_VALUE"""),"Tribunal de Contas dos Municípios do Estado do Pará")</f>
        <v>Tribunal de Contas dos Municípios do Estado do Pará</v>
      </c>
      <c r="C182" s="7" t="str">
        <f>IFERROR(__xludf.DUMMYFUNCTION("""COMPUTED_VALUE"""),"Municipal")</f>
        <v>Municipal</v>
      </c>
      <c r="D182" s="16" t="str">
        <f>IFERROR(__xludf.DUMMYFUNCTION("""COMPUTED_VALUE"""),"04.789.665/0001-87")</f>
        <v>04.789.665/0001-87</v>
      </c>
      <c r="E182" s="7" t="str">
        <f>IFERROR(__xludf.DUMMYFUNCTION("""COMPUTED_VALUE"""),"Antonio José Costa de Freitas Guimarães")</f>
        <v>Antonio José Costa de Freitas Guimarães</v>
      </c>
      <c r="F182" s="7" t="str">
        <f>IFERROR(__xludf.DUMMYFUNCTION("""COMPUTED_VALUE"""),"Presidente")</f>
        <v>Presidente</v>
      </c>
      <c r="G182" s="7" t="str">
        <f>IFERROR(__xludf.DUMMYFUNCTION("""COMPUTED_VALUE"""),"(91) 3210-7500")</f>
        <v>(91) 3210-7500</v>
      </c>
      <c r="H182" s="84" t="str">
        <f>IFERROR(__xludf.DUMMYFUNCTION("""COMPUTED_VALUE"""),"Tv. Magno de Araújo, 474")</f>
        <v>Tv. Magno de Araújo, 474</v>
      </c>
      <c r="I182" s="7" t="str">
        <f>IFERROR(__xludf.DUMMYFUNCTION("""COMPUTED_VALUE"""),"Telégrafo Sem Fio")</f>
        <v>Telégrafo Sem Fio</v>
      </c>
      <c r="J182" s="7" t="str">
        <f>IFERROR(__xludf.DUMMYFUNCTION("""COMPUTED_VALUE"""),"66113-055")</f>
        <v>66113-055</v>
      </c>
      <c r="K182" s="7" t="str">
        <f>IFERROR(__xludf.DUMMYFUNCTION("""COMPUTED_VALUE"""),"Belém")</f>
        <v>Belém</v>
      </c>
      <c r="L182" s="7" t="str">
        <f>IFERROR(__xludf.DUMMYFUNCTION("""COMPUTED_VALUE"""),"PA")</f>
        <v>PA</v>
      </c>
    </row>
    <row r="183">
      <c r="A183" s="7" t="str">
        <f>IFERROR(__xludf.DUMMYFUNCTION("""COMPUTED_VALUE"""),"UEPA")</f>
        <v>UEPA</v>
      </c>
      <c r="B183" s="7" t="str">
        <f>IFERROR(__xludf.DUMMYFUNCTION("""COMPUTED_VALUE"""),"Universidade do Estado do Pará")</f>
        <v>Universidade do Estado do Pará</v>
      </c>
      <c r="C183" s="7" t="str">
        <f>IFERROR(__xludf.DUMMYFUNCTION("""COMPUTED_VALUE"""),"Estadual")</f>
        <v>Estadual</v>
      </c>
      <c r="D183" s="7"/>
      <c r="E183" s="7" t="str">
        <f>IFERROR(__xludf.DUMMYFUNCTION("""COMPUTED_VALUE"""),"Clay Anderson Nunes Chagas")</f>
        <v>Clay Anderson Nunes Chagas</v>
      </c>
      <c r="F183" s="7" t="str">
        <f>IFERROR(__xludf.DUMMYFUNCTION("""COMPUTED_VALUE"""),"Reitor")</f>
        <v>Reitor</v>
      </c>
      <c r="G183" s="7"/>
      <c r="H183" s="7" t="str">
        <f>IFERROR(__xludf.DUMMYFUNCTION("""COMPUTED_VALUE"""),"Rua. do Una, 156")</f>
        <v>Rua. do Una, 156</v>
      </c>
      <c r="I183" s="7" t="str">
        <f>IFERROR(__xludf.DUMMYFUNCTION("""COMPUTED_VALUE"""),"Telegrado")</f>
        <v>Telegrado</v>
      </c>
      <c r="J183" s="7"/>
      <c r="K183" s="7" t="str">
        <f>IFERROR(__xludf.DUMMYFUNCTION("""COMPUTED_VALUE"""),"Belém")</f>
        <v>Belém</v>
      </c>
      <c r="L183" s="7" t="str">
        <f>IFERROR(__xludf.DUMMYFUNCTION("""COMPUTED_VALUE"""),"PA")</f>
        <v>PA</v>
      </c>
    </row>
    <row r="184">
      <c r="A184" s="7" t="str">
        <f>IFERROR(__xludf.DUMMYFUNCTION("""COMPUTED_VALUE"""),"SEBRAE")</f>
        <v>SEBRAE</v>
      </c>
      <c r="B184" s="7" t="str">
        <f>IFERROR(__xludf.DUMMYFUNCTION("""COMPUTED_VALUE"""),"Serviço Brasileiro de Apoio à Micro e Pequena Empresa")</f>
        <v>Serviço Brasileiro de Apoio à Micro e Pequena Empresa</v>
      </c>
      <c r="C184" s="7" t="str">
        <f>IFERROR(__xludf.DUMMYFUNCTION("""COMPUTED_VALUE"""),"Privada")</f>
        <v>Privada</v>
      </c>
      <c r="D184" s="16" t="str">
        <f>IFERROR(__xludf.DUMMYFUNCTION("""COMPUTED_VALUE"""),"05.081.187/0001-19")</f>
        <v>05.081.187/0001-19</v>
      </c>
      <c r="E184" s="7"/>
      <c r="F184" s="7"/>
      <c r="G184" s="7"/>
      <c r="H184" s="7" t="str">
        <f>IFERROR(__xludf.DUMMYFUNCTION("""COMPUTED_VALUE"""),"R. Municipalidade, 1461")</f>
        <v>R. Municipalidade, 1461</v>
      </c>
      <c r="I184" s="7" t="str">
        <f>IFERROR(__xludf.DUMMYFUNCTION("""COMPUTED_VALUE"""),"Umarizal")</f>
        <v>Umarizal</v>
      </c>
      <c r="J184" s="7" t="str">
        <f>IFERROR(__xludf.DUMMYFUNCTION("""COMPUTED_VALUE"""),"66050-350")</f>
        <v>66050-350</v>
      </c>
      <c r="K184" s="7" t="str">
        <f>IFERROR(__xludf.DUMMYFUNCTION("""COMPUTED_VALUE"""),"Belém")</f>
        <v>Belém</v>
      </c>
      <c r="L184" s="7" t="str">
        <f>IFERROR(__xludf.DUMMYFUNCTION("""COMPUTED_VALUE"""),"PA")</f>
        <v>PA</v>
      </c>
    </row>
    <row r="185">
      <c r="A185" s="7" t="str">
        <f>IFERROR(__xludf.DUMMYFUNCTION("""COMPUTED_VALUE"""),"PM IRITUIA ")</f>
        <v>PM IRITUIA </v>
      </c>
      <c r="B185" s="7" t="str">
        <f>IFERROR(__xludf.DUMMYFUNCTION("""COMPUTED_VALUE"""),"Prefeitura Municipal De Irituia")</f>
        <v>Prefeitura Municipal De Irituia</v>
      </c>
      <c r="C185" s="7" t="str">
        <f>IFERROR(__xludf.DUMMYFUNCTION("""COMPUTED_VALUE"""),"Municipal")</f>
        <v>Municipal</v>
      </c>
      <c r="D185" s="7"/>
      <c r="E185" s="7"/>
      <c r="F185" s="7"/>
      <c r="G185" s="7"/>
      <c r="H185" s="7"/>
      <c r="I185" s="7"/>
      <c r="J185" s="7"/>
      <c r="K185" s="7" t="str">
        <f>IFERROR(__xludf.DUMMYFUNCTION("""COMPUTED_VALUE"""),"Belém")</f>
        <v>Belém</v>
      </c>
      <c r="L185" s="7" t="str">
        <f>IFERROR(__xludf.DUMMYFUNCTION("""COMPUTED_VALUE"""),"PA")</f>
        <v>PA</v>
      </c>
    </row>
    <row r="186">
      <c r="A186" s="7" t="str">
        <f>IFERROR(__xludf.DUMMYFUNCTION("""COMPUTED_VALUE"""),"PM SANTANA DO ARAGUAIA")</f>
        <v>PM SANTANA DO ARAGUAIA</v>
      </c>
      <c r="B186" s="7" t="str">
        <f>IFERROR(__xludf.DUMMYFUNCTION("""COMPUTED_VALUE"""),"Prefeitura Municipal De Santana Do Araguaia")</f>
        <v>Prefeitura Municipal De Santana Do Araguaia</v>
      </c>
      <c r="C186" s="7" t="str">
        <f>IFERROR(__xludf.DUMMYFUNCTION("""COMPUTED_VALUE"""),"Municipal")</f>
        <v>Municipal</v>
      </c>
      <c r="D186" s="16" t="str">
        <f>IFERROR(__xludf.DUMMYFUNCTION("""COMPUTED_VALUE"""),"05.832.977/0001-99")</f>
        <v>05.832.977/0001-99</v>
      </c>
      <c r="E186" s="7" t="str">
        <f>IFERROR(__xludf.DUMMYFUNCTION("""COMPUTED_VALUE"""),"Eduardo Alves Conti")</f>
        <v>Eduardo Alves Conti</v>
      </c>
      <c r="F186" s="7" t="str">
        <f>IFERROR(__xludf.DUMMYFUNCTION("""COMPUTED_VALUE"""),"Prefeito")</f>
        <v>Prefeito</v>
      </c>
      <c r="G186" s="7"/>
      <c r="H186" s="7" t="str">
        <f>IFERROR(__xludf.DUMMYFUNCTION("""COMPUTED_VALUE"""),"Praça dos Três Poderes, s/n, Centro")</f>
        <v>Praça dos Três Poderes, s/n, Centro</v>
      </c>
      <c r="I186" s="7" t="str">
        <f>IFERROR(__xludf.DUMMYFUNCTION("""COMPUTED_VALUE"""),"centro")</f>
        <v>centro</v>
      </c>
      <c r="J186" s="7" t="str">
        <f>IFERROR(__xludf.DUMMYFUNCTION("""COMPUTED_VALUE"""),"68560-000")</f>
        <v>68560-000</v>
      </c>
      <c r="K186" s="7" t="str">
        <f>IFERROR(__xludf.DUMMYFUNCTION("""COMPUTED_VALUE"""),"Santana do Araguaia")</f>
        <v>Santana do Araguaia</v>
      </c>
      <c r="L186" s="7" t="str">
        <f>IFERROR(__xludf.DUMMYFUNCTION("""COMPUTED_VALUE"""),"PA")</f>
        <v>PA</v>
      </c>
    </row>
    <row r="187">
      <c r="A187" s="7" t="str">
        <f>IFERROR(__xludf.DUMMYFUNCTION("""COMPUTED_VALUE"""),"PM SÃO FRANCISCO DO PARÁ")</f>
        <v>PM SÃO FRANCISCO DO PARÁ</v>
      </c>
      <c r="B187" s="7" t="str">
        <f>IFERROR(__xludf.DUMMYFUNCTION("""COMPUTED_VALUE"""),"Prefeitura Municipal de São Francisco")</f>
        <v>Prefeitura Municipal de São Francisco</v>
      </c>
      <c r="C187" s="7" t="str">
        <f>IFERROR(__xludf.DUMMYFUNCTION("""COMPUTED_VALUE"""),"Municipal")</f>
        <v>Municipal</v>
      </c>
      <c r="D187" s="16" t="str">
        <f>IFERROR(__xludf.DUMMYFUNCTION("""COMPUTED_VALUE"""),"05.125.992/0001-05")</f>
        <v>05.125.992/0001-05</v>
      </c>
      <c r="E187" s="7" t="str">
        <f>IFERROR(__xludf.DUMMYFUNCTION("""COMPUTED_VALUE"""),"Antônio Ronaldo Nobre do Nascimento")</f>
        <v>Antônio Ronaldo Nobre do Nascimento</v>
      </c>
      <c r="F187" s="7" t="str">
        <f>IFERROR(__xludf.DUMMYFUNCTION("""COMPUTED_VALUE"""),"Prefeito")</f>
        <v>Prefeito</v>
      </c>
      <c r="G187" s="7"/>
      <c r="H187" s="7" t="str">
        <f>IFERROR(__xludf.DUMMYFUNCTION("""COMPUTED_VALUE"""),"Av. Barão do Rio Branco, 760")</f>
        <v>Av. Barão do Rio Branco, 760</v>
      </c>
      <c r="I187" s="7" t="str">
        <f>IFERROR(__xludf.DUMMYFUNCTION("""COMPUTED_VALUE"""),"centro")</f>
        <v>centro</v>
      </c>
      <c r="J187" s="7" t="str">
        <f>IFERROR(__xludf.DUMMYFUNCTION("""COMPUTED_VALUE"""),"68748-000")</f>
        <v>68748-000</v>
      </c>
      <c r="K187" s="7" t="str">
        <f>IFERROR(__xludf.DUMMYFUNCTION("""COMPUTED_VALUE"""),"São Francisco do Pará")</f>
        <v>São Francisco do Pará</v>
      </c>
      <c r="L187" s="7" t="str">
        <f>IFERROR(__xludf.DUMMYFUNCTION("""COMPUTED_VALUE"""),"PA")</f>
        <v>PA</v>
      </c>
    </row>
    <row r="188">
      <c r="A188" s="7" t="str">
        <f>IFERROR(__xludf.DUMMYFUNCTION("""COMPUTED_VALUE"""),"FMS PARAGOMINAS")</f>
        <v>FMS PARAGOMINAS</v>
      </c>
      <c r="B188" s="7" t="str">
        <f>IFERROR(__xludf.DUMMYFUNCTION("""COMPUTED_VALUE"""),"Fundo Municipal De Saúde De Paragominas")</f>
        <v>Fundo Municipal De Saúde De Paragominas</v>
      </c>
      <c r="C188" s="7" t="str">
        <f>IFERROR(__xludf.DUMMYFUNCTION("""COMPUTED_VALUE"""),"Municipal")</f>
        <v>Municipal</v>
      </c>
      <c r="D188" s="16" t="str">
        <f>IFERROR(__xludf.DUMMYFUNCTION("""COMPUTED_VALUE"""),"11.536.700/0001-11")</f>
        <v>11.536.700/0001-11</v>
      </c>
      <c r="E188" s="7" t="str">
        <f>IFERROR(__xludf.DUMMYFUNCTION("""COMPUTED_VALUE"""),"Sérgio De Amorim Figueiredo")</f>
        <v>Sérgio De Amorim Figueiredo</v>
      </c>
      <c r="F188" s="7" t="str">
        <f>IFERROR(__xludf.DUMMYFUNCTION("""COMPUTED_VALUE"""),"Secretário Municipal de Saúde")</f>
        <v>Secretário Municipal de Saúde</v>
      </c>
      <c r="G188" s="7" t="str">
        <f>IFERROR(__xludf.DUMMYFUNCTION("""COMPUTED_VALUE"""),": (091) 3729-8037 – 3729-8038 – 37298003")</f>
        <v>: (091) 3729-8037 – 3729-8038 – 37298003</v>
      </c>
      <c r="H188" s="7" t="str">
        <f>IFERROR(__xludf.DUMMYFUNCTION("""COMPUTED_VALUE"""),"Rua do Contorno, 1212")</f>
        <v>Rua do Contorno, 1212</v>
      </c>
      <c r="I188" s="7" t="str">
        <f>IFERROR(__xludf.DUMMYFUNCTION("""COMPUTED_VALUE"""),"Centro")</f>
        <v>Centro</v>
      </c>
      <c r="J188" s="7" t="str">
        <f>IFERROR(__xludf.DUMMYFUNCTION("""COMPUTED_VALUE"""),"68628-970")</f>
        <v>68628-970</v>
      </c>
      <c r="K188" s="7" t="str">
        <f>IFERROR(__xludf.DUMMYFUNCTION("""COMPUTED_VALUE"""),"Paragominas")</f>
        <v>Paragominas</v>
      </c>
      <c r="L188" s="7" t="str">
        <f>IFERROR(__xludf.DUMMYFUNCTION("""COMPUTED_VALUE"""),"PA")</f>
        <v>PA</v>
      </c>
    </row>
    <row r="189">
      <c r="A189" s="7" t="str">
        <f>IFERROR(__xludf.DUMMYFUNCTION("""COMPUTED_VALUE"""),"ALEPA")</f>
        <v>ALEPA</v>
      </c>
      <c r="B189" s="7" t="str">
        <f>IFERROR(__xludf.DUMMYFUNCTION("""COMPUTED_VALUE"""),"Assembléia Legislativa Do Estado Do Pará")</f>
        <v>Assembléia Legislativa Do Estado Do Pará</v>
      </c>
      <c r="C189" s="7" t="str">
        <f>IFERROR(__xludf.DUMMYFUNCTION("""COMPUTED_VALUE"""),"Estadual")</f>
        <v>Estadual</v>
      </c>
      <c r="D189" s="16" t="str">
        <f>IFERROR(__xludf.DUMMYFUNCTION("""COMPUTED_VALUE"""),"05.018.544/0001-02")</f>
        <v>05.018.544/0001-02</v>
      </c>
      <c r="E189" s="7" t="str">
        <f>IFERROR(__xludf.DUMMYFUNCTION("""COMPUTED_VALUE"""),"Francisco das Chagas Silva Melo Filho ( Chicão0")</f>
        <v>Francisco das Chagas Silva Melo Filho ( Chicão0</v>
      </c>
      <c r="F189" s="7" t="str">
        <f>IFERROR(__xludf.DUMMYFUNCTION("""COMPUTED_VALUE"""),"Presidente da alepa")</f>
        <v>Presidente da alepa</v>
      </c>
      <c r="G189" s="7" t="str">
        <f>IFERROR(__xludf.DUMMYFUNCTION("""COMPUTED_VALUE"""),"(91) 3213-4200")</f>
        <v>(91) 3213-4200</v>
      </c>
      <c r="H189" s="7" t="str">
        <f>IFERROR(__xludf.DUMMYFUNCTION("""COMPUTED_VALUE"""),"Palácio Cabanagem - Rua do Aveiro,130 - Praça Dom Pedro II, Bairro Cidade Velha")</f>
        <v>Palácio Cabanagem - Rua do Aveiro,130 - Praça Dom Pedro II, Bairro Cidade Velha</v>
      </c>
      <c r="I189" s="7" t="str">
        <f>IFERROR(__xludf.DUMMYFUNCTION("""COMPUTED_VALUE"""),"Cidade Velha")</f>
        <v>Cidade Velha</v>
      </c>
      <c r="J189" s="7" t="str">
        <f>IFERROR(__xludf.DUMMYFUNCTION("""COMPUTED_VALUE"""),"66020-070")</f>
        <v>66020-070</v>
      </c>
      <c r="K189" s="7" t="str">
        <f>IFERROR(__xludf.DUMMYFUNCTION("""COMPUTED_VALUE"""),"Belém")</f>
        <v>Belém</v>
      </c>
      <c r="L189" s="7" t="str">
        <f>IFERROR(__xludf.DUMMYFUNCTION("""COMPUTED_VALUE"""),"PA")</f>
        <v>PA</v>
      </c>
    </row>
    <row r="190">
      <c r="A190" s="7" t="str">
        <f>IFERROR(__xludf.DUMMYFUNCTION("""COMPUTED_VALUE"""),"CBMP")</f>
        <v>CBMP</v>
      </c>
      <c r="B190" s="7" t="str">
        <f>IFERROR(__xludf.DUMMYFUNCTION("""COMPUTED_VALUE"""),"Corpo De Bombeiros Do Pará")</f>
        <v>Corpo De Bombeiros Do Pará</v>
      </c>
      <c r="C190" s="7" t="str">
        <f>IFERROR(__xludf.DUMMYFUNCTION("""COMPUTED_VALUE"""),"Estadual")</f>
        <v>Estadual</v>
      </c>
      <c r="D190" s="16" t="str">
        <f>IFERROR(__xludf.DUMMYFUNCTION("""COMPUTED_VALUE"""),"34.874.236/0001-80")</f>
        <v>34.874.236/0001-80</v>
      </c>
      <c r="E190" s="7" t="str">
        <f>IFERROR(__xludf.DUMMYFUNCTION("""COMPUTED_VALUE"""),"Cel Qobm Jayme De Aviz Benjó")</f>
        <v>Cel Qobm Jayme De Aviz Benjó</v>
      </c>
      <c r="F190" s="7" t="str">
        <f>IFERROR(__xludf.DUMMYFUNCTION("""COMPUTED_VALUE"""),"Comandante geral ")</f>
        <v>Comandante geral </v>
      </c>
      <c r="G190" s="7" t="str">
        <f>IFERROR(__xludf.DUMMYFUNCTION("""COMPUTED_VALUE"""),"(91) 8899-6604")</f>
        <v>(91) 8899-6604</v>
      </c>
      <c r="H190" s="7" t="str">
        <f>IFERROR(__xludf.DUMMYFUNCTION("""COMPUTED_VALUE"""),"Av. Julio César, n° 3000")</f>
        <v>Av. Julio César, n° 3000</v>
      </c>
      <c r="I190" s="7" t="str">
        <f>IFERROR(__xludf.DUMMYFUNCTION("""COMPUTED_VALUE"""),"Val De Cans")</f>
        <v>Val De Cans</v>
      </c>
      <c r="J190" s="7" t="str">
        <f>IFERROR(__xludf.DUMMYFUNCTION("""COMPUTED_VALUE"""),"66613-010")</f>
        <v>66613-010</v>
      </c>
      <c r="K190" s="7" t="str">
        <f>IFERROR(__xludf.DUMMYFUNCTION("""COMPUTED_VALUE"""),"Belém")</f>
        <v>Belém</v>
      </c>
      <c r="L190" s="7" t="str">
        <f>IFERROR(__xludf.DUMMYFUNCTION("""COMPUTED_VALUE"""),"PA")</f>
        <v>PA</v>
      </c>
    </row>
    <row r="191">
      <c r="A191" s="7" t="str">
        <f>IFERROR(__xludf.DUMMYFUNCTION("""COMPUTED_VALUE"""),"COHAB")</f>
        <v>COHAB</v>
      </c>
      <c r="B191" s="7" t="str">
        <f>IFERROR(__xludf.DUMMYFUNCTION("""COMPUTED_VALUE"""),"Companhia De Habitação Do Estado Do Pará")</f>
        <v>Companhia De Habitação Do Estado Do Pará</v>
      </c>
      <c r="C191" s="7" t="str">
        <f>IFERROR(__xludf.DUMMYFUNCTION("""COMPUTED_VALUE"""),"Estadual")</f>
        <v>Estadual</v>
      </c>
      <c r="D191" s="16" t="str">
        <f>IFERROR(__xludf.DUMMYFUNCTION("""COMPUTED_VALUE"""),"04.887.005/0001-16")</f>
        <v>04.887.005/0001-16</v>
      </c>
      <c r="E191" s="7"/>
      <c r="F191" s="7"/>
      <c r="G191" s="7"/>
      <c r="H191" s="7"/>
      <c r="I191" s="7"/>
      <c r="J191" s="7"/>
      <c r="K191" s="7" t="str">
        <f>IFERROR(__xludf.DUMMYFUNCTION("""COMPUTED_VALUE"""),"Belém")</f>
        <v>Belém</v>
      </c>
      <c r="L191" s="7" t="str">
        <f>IFERROR(__xludf.DUMMYFUNCTION("""COMPUTED_VALUE"""),"PA")</f>
        <v>PA</v>
      </c>
    </row>
    <row r="192">
      <c r="A192" s="7" t="str">
        <f>IFERROR(__xludf.DUMMYFUNCTION("""COMPUTED_VALUE"""),"FASPM")</f>
        <v>FASPM</v>
      </c>
      <c r="B192" s="7" t="str">
        <f>IFERROR(__xludf.DUMMYFUNCTION("""COMPUTED_VALUE"""),"Fundo de Assistência Social da Polícia Militar do Pará")</f>
        <v>Fundo de Assistência Social da Polícia Militar do Pará</v>
      </c>
      <c r="C192" s="7" t="str">
        <f>IFERROR(__xludf.DUMMYFUNCTION("""COMPUTED_VALUE"""),"Estadual")</f>
        <v>Estadual</v>
      </c>
      <c r="D192" s="16" t="str">
        <f>IFERROR(__xludf.DUMMYFUNCTION("""COMPUTED_VALUE"""),"04.246.653/0001-06")</f>
        <v>04.246.653/0001-06</v>
      </c>
      <c r="E192" s="7" t="str">
        <f>IFERROR(__xludf.DUMMYFUNCTION("""COMPUTED_VALUE"""),"Cel. QOPM Alam Ailton Da Silva Guimarães")</f>
        <v>Cel. QOPM Alam Ailton Da Silva Guimarães</v>
      </c>
      <c r="F192" s="7" t="str">
        <f>IFERROR(__xludf.DUMMYFUNCTION("""COMPUTED_VALUE"""),"Diretor")</f>
        <v>Diretor</v>
      </c>
      <c r="G192" s="7" t="str">
        <f>IFERROR(__xludf.DUMMYFUNCTION("""COMPUTED_VALUE"""),"(91) 32513140")</f>
        <v>(91) 32513140</v>
      </c>
      <c r="H192" s="7" t="str">
        <f>IFERROR(__xludf.DUMMYFUNCTION("""COMPUTED_VALUE"""),"Tv. Nove De Janeiro,2600")</f>
        <v>Tv. Nove De Janeiro,2600</v>
      </c>
      <c r="I192" s="7" t="str">
        <f>IFERROR(__xludf.DUMMYFUNCTION("""COMPUTED_VALUE"""),"Cremação")</f>
        <v>Cremação</v>
      </c>
      <c r="J192" s="7"/>
      <c r="K192" s="7" t="str">
        <f>IFERROR(__xludf.DUMMYFUNCTION("""COMPUTED_VALUE"""),"Belém")</f>
        <v>Belém</v>
      </c>
      <c r="L192" s="7" t="str">
        <f>IFERROR(__xludf.DUMMYFUNCTION("""COMPUTED_VALUE"""),"PA")</f>
        <v>PA</v>
      </c>
    </row>
    <row r="193">
      <c r="A193" s="7" t="str">
        <f>IFERROR(__xludf.DUMMYFUNCTION("""COMPUTED_VALUE"""),"FUNSAU")</f>
        <v>FUNSAU</v>
      </c>
      <c r="B193" s="7" t="str">
        <f>IFERROR(__xludf.DUMMYFUNCTION("""COMPUTED_VALUE"""),"Fundo De Saúde Da Polícia Militar Do Pará")</f>
        <v>Fundo De Saúde Da Polícia Militar Do Pará</v>
      </c>
      <c r="C193" s="7" t="str">
        <f>IFERROR(__xludf.DUMMYFUNCTION("""COMPUTED_VALUE"""),"Estadual")</f>
        <v>Estadual</v>
      </c>
      <c r="D193" s="16" t="str">
        <f>IFERROR(__xludf.DUMMYFUNCTION("""COMPUTED_VALUE"""),"05.321.731/0001-52")</f>
        <v>05.321.731/0001-52</v>
      </c>
      <c r="E193" s="7" t="str">
        <f>IFERROR(__xludf.DUMMYFUNCTION("""COMPUTED_VALUE"""),"Cel QOPM Alessandro Cezar Capistrano Neves")</f>
        <v>Cel QOPM Alessandro Cezar Capistrano Neves</v>
      </c>
      <c r="F193" s="7" t="str">
        <f>IFERROR(__xludf.DUMMYFUNCTION("""COMPUTED_VALUE"""),"Diretor")</f>
        <v>Diretor</v>
      </c>
      <c r="G193" s="7" t="str">
        <f>IFERROR(__xludf.DUMMYFUNCTION("""COMPUTED_VALUE"""),"(91) 98451-1269")</f>
        <v>(91) 98451-1269</v>
      </c>
      <c r="H193" s="7" t="str">
        <f>IFERROR(__xludf.DUMMYFUNCTION("""COMPUTED_VALUE"""),"Av. Alm. Barroso, 527")</f>
        <v>Av. Alm. Barroso, 527</v>
      </c>
      <c r="I193" s="7" t="str">
        <f>IFERROR(__xludf.DUMMYFUNCTION("""COMPUTED_VALUE"""),"São Bras")</f>
        <v>São Bras</v>
      </c>
      <c r="J193" s="7" t="str">
        <f>IFERROR(__xludf.DUMMYFUNCTION("""COMPUTED_VALUE"""),"66093-020")</f>
        <v>66093-020</v>
      </c>
      <c r="K193" s="7" t="str">
        <f>IFERROR(__xludf.DUMMYFUNCTION("""COMPUTED_VALUE"""),"Belém")</f>
        <v>Belém</v>
      </c>
      <c r="L193" s="7" t="str">
        <f>IFERROR(__xludf.DUMMYFUNCTION("""COMPUTED_VALUE"""),"PA")</f>
        <v>PA</v>
      </c>
    </row>
    <row r="194">
      <c r="A194" s="7" t="str">
        <f>IFERROR(__xludf.DUMMYFUNCTION("""COMPUTED_VALUE"""),"SEDEME")</f>
        <v>SEDEME</v>
      </c>
      <c r="B194" s="7" t="str">
        <f>IFERROR(__xludf.DUMMYFUNCTION("""COMPUTED_VALUE"""),"Secretaria De Estado De Desenvolvimento Econômico, Mineração e Energia")</f>
        <v>Secretaria De Estado De Desenvolvimento Econômico, Mineração e Energia</v>
      </c>
      <c r="C194" s="7" t="str">
        <f>IFERROR(__xludf.DUMMYFUNCTION("""COMPUTED_VALUE"""),"Estadual")</f>
        <v>Estadual</v>
      </c>
      <c r="D194" s="16" t="str">
        <f>IFERROR(__xludf.DUMMYFUNCTION("""COMPUTED_VALUE"""),"14.772.025/0001-18")</f>
        <v>14.772.025/0001-18</v>
      </c>
      <c r="E194" s="7" t="str">
        <f>IFERROR(__xludf.DUMMYFUNCTION("""COMPUTED_VALUE"""),"Paulo Eduardo Maestri Bengtson")</f>
        <v>Paulo Eduardo Maestri Bengtson</v>
      </c>
      <c r="F194" s="7" t="str">
        <f>IFERROR(__xludf.DUMMYFUNCTION("""COMPUTED_VALUE"""),"Representante")</f>
        <v>Representante</v>
      </c>
      <c r="G194" s="84" t="str">
        <f>IFERROR(__xludf.DUMMYFUNCTION("""COMPUTED_VALUE"""),"(91) 3110-2550")</f>
        <v>(91) 3110-2550</v>
      </c>
      <c r="H194" s="7" t="str">
        <f>IFERROR(__xludf.DUMMYFUNCTION("""COMPUTED_VALUE"""),"Av. Sen. Lemos, 290")</f>
        <v>Av. Sen. Lemos, 290</v>
      </c>
      <c r="I194" s="7" t="str">
        <f>IFERROR(__xludf.DUMMYFUNCTION("""COMPUTED_VALUE"""),"Umarizal")</f>
        <v>Umarizal</v>
      </c>
      <c r="J194" s="7" t="str">
        <f>IFERROR(__xludf.DUMMYFUNCTION("""COMPUTED_VALUE"""),"66050-000")</f>
        <v>66050-000</v>
      </c>
      <c r="K194" s="7" t="str">
        <f>IFERROR(__xludf.DUMMYFUNCTION("""COMPUTED_VALUE"""),"Belém")</f>
        <v>Belém</v>
      </c>
      <c r="L194" s="7" t="str">
        <f>IFERROR(__xludf.DUMMYFUNCTION("""COMPUTED_VALUE"""),"PA")</f>
        <v>PA</v>
      </c>
    </row>
    <row r="195">
      <c r="A195" s="7" t="str">
        <f>IFERROR(__xludf.DUMMYFUNCTION("""COMPUTED_VALUE"""),"BASA")</f>
        <v>BASA</v>
      </c>
      <c r="B195" s="7" t="str">
        <f>IFERROR(__xludf.DUMMYFUNCTION("""COMPUTED_VALUE"""),"Banco da Amazônia S.A")</f>
        <v>Banco da Amazônia S.A</v>
      </c>
      <c r="C195" s="7" t="str">
        <f>IFERROR(__xludf.DUMMYFUNCTION("""COMPUTED_VALUE"""),"Privada")</f>
        <v>Privada</v>
      </c>
      <c r="D195" s="7"/>
      <c r="E195" s="7"/>
      <c r="F195" s="7"/>
      <c r="G195" s="7"/>
      <c r="H195" s="7"/>
      <c r="I195" s="7"/>
      <c r="J195" s="7"/>
      <c r="K195" s="7" t="str">
        <f>IFERROR(__xludf.DUMMYFUNCTION("""COMPUTED_VALUE"""),"Belém")</f>
        <v>Belém</v>
      </c>
      <c r="L195" s="7" t="str">
        <f>IFERROR(__xludf.DUMMYFUNCTION("""COMPUTED_VALUE"""),"PA")</f>
        <v>PA</v>
      </c>
    </row>
    <row r="196">
      <c r="A196" s="7" t="str">
        <f>IFERROR(__xludf.DUMMYFUNCTION("""COMPUTED_VALUE"""),"DESKCORP")</f>
        <v>DESKCORP</v>
      </c>
      <c r="B196" s="7" t="str">
        <f>IFERROR(__xludf.DUMMYFUNCTION("""COMPUTED_VALUE"""),"DESK CORP SERVICOS E TECNOLOGIA LTDA")</f>
        <v>DESK CORP SERVICOS E TECNOLOGIA LTDA</v>
      </c>
      <c r="C196" s="7" t="str">
        <f>IFERROR(__xludf.DUMMYFUNCTION("""COMPUTED_VALUE"""),"Privada")</f>
        <v>Privada</v>
      </c>
      <c r="D196" s="16" t="str">
        <f>IFERROR(__xludf.DUMMYFUNCTION("""COMPUTED_VALUE"""),"56.566.847/0001-92")</f>
        <v>56.566.847/0001-92</v>
      </c>
      <c r="E196" s="7"/>
      <c r="F196" s="7"/>
      <c r="G196" s="7"/>
      <c r="H196" s="7" t="str">
        <f>IFERROR(__xludf.DUMMYFUNCTION("""COMPUTED_VALUE"""),"Q SCS QUADRA 06, BLOCO A, 157")</f>
        <v>Q SCS QUADRA 06, BLOCO A, 157</v>
      </c>
      <c r="I196" s="7" t="str">
        <f>IFERROR(__xludf.DUMMYFUNCTION("""COMPUTED_VALUE"""),"ASA SUL")</f>
        <v>ASA SUL</v>
      </c>
      <c r="J196" s="7"/>
      <c r="K196" s="7" t="str">
        <f>IFERROR(__xludf.DUMMYFUNCTION("""COMPUTED_VALUE"""),"Brasília")</f>
        <v>Brasília</v>
      </c>
      <c r="L196" s="7" t="str">
        <f>IFERROR(__xludf.DUMMYFUNCTION("""COMPUTED_VALUE"""),"DF")</f>
        <v>DF</v>
      </c>
    </row>
    <row r="197">
      <c r="A197" s="7" t="str">
        <f>IFERROR(__xludf.DUMMYFUNCTION("""COMPUTED_VALUE"""),"SETUR")</f>
        <v>SETUR</v>
      </c>
      <c r="B197" s="7" t="str">
        <f>IFERROR(__xludf.DUMMYFUNCTION("""COMPUTED_VALUE"""),"SECRETARIA DE ESTADO DE TURISMO")</f>
        <v>SECRETARIA DE ESTADO DE TURISMO</v>
      </c>
      <c r="C197" s="7" t="str">
        <f>IFERROR(__xludf.DUMMYFUNCTION("""COMPUTED_VALUE"""),"Estadual")</f>
        <v>Estadual</v>
      </c>
      <c r="D197" s="16" t="str">
        <f>IFERROR(__xludf.DUMMYFUNCTION("""COMPUTED_VALUE"""),"15.488.858/0001-14")</f>
        <v>15.488.858/0001-14</v>
      </c>
      <c r="E197" s="7"/>
      <c r="F197" s="7"/>
      <c r="G197" s="7" t="str">
        <f>IFERROR(__xludf.DUMMYFUNCTION("""COMPUTED_VALUE"""),"(91) 3110-5003")</f>
        <v>(91) 3110-5003</v>
      </c>
      <c r="H197" s="7" t="str">
        <f>IFERROR(__xludf.DUMMYFUNCTION("""COMPUTED_VALUE"""),"Av. Gentil Bittencourt, 43")</f>
        <v>Av. Gentil Bittencourt, 43</v>
      </c>
      <c r="I197" s="7" t="str">
        <f>IFERROR(__xludf.DUMMYFUNCTION("""COMPUTED_VALUE"""),"Batista Campos")</f>
        <v>Batista Campos</v>
      </c>
      <c r="J197" s="7"/>
      <c r="K197" s="7" t="str">
        <f>IFERROR(__xludf.DUMMYFUNCTION("""COMPUTED_VALUE"""),"Belém")</f>
        <v>Belém</v>
      </c>
      <c r="L197" s="7" t="str">
        <f>IFERROR(__xludf.DUMMYFUNCTION("""COMPUTED_VALUE"""),"PA")</f>
        <v>PA</v>
      </c>
    </row>
    <row r="198">
      <c r="A198" s="7" t="str">
        <f>IFERROR(__xludf.DUMMYFUNCTION("""COMPUTED_VALUE"""),"SEGBEL")</f>
        <v>SEGBEL</v>
      </c>
      <c r="B198" s="7" t="str">
        <f>IFERROR(__xludf.DUMMYFUNCTION("""COMPUTED_VALUE"""),"SECRETARIA MUNICIPAL DE SEGURANCA, ORDEM PUBLICA E MOBILIDADE DE BELEM")</f>
        <v>SECRETARIA MUNICIPAL DE SEGURANCA, ORDEM PUBLICA E MOBILIDADE DE BELEM</v>
      </c>
      <c r="C198" s="7" t="str">
        <f>IFERROR(__xludf.DUMMYFUNCTION("""COMPUTED_VALUE"""),"Municipal")</f>
        <v>Municipal</v>
      </c>
      <c r="D198" s="16" t="str">
        <f>IFERROR(__xludf.DUMMYFUNCTION("""COMPUTED_VALUE"""),"59.815.458/0001-41")</f>
        <v>59.815.458/0001-41</v>
      </c>
      <c r="E198" s="7"/>
      <c r="F198" s="7"/>
      <c r="G198" s="7" t="str">
        <f>IFERROR(__xludf.DUMMYFUNCTION("""COMPUTED_VALUE"""),"(91) 98205-6935")</f>
        <v>(91) 98205-6935</v>
      </c>
      <c r="H198" s="7" t="str">
        <f>IFERROR(__xludf.DUMMYFUNCTION("""COMPUTED_VALUE"""),"Avenida Senador Lemos, 3153")</f>
        <v>Avenida Senador Lemos, 3153</v>
      </c>
      <c r="I198" s="7" t="str">
        <f>IFERROR(__xludf.DUMMYFUNCTION("""COMPUTED_VALUE"""),"Sacramenta")</f>
        <v>Sacramenta</v>
      </c>
      <c r="J198" s="7"/>
      <c r="K198" s="7" t="str">
        <f>IFERROR(__xludf.DUMMYFUNCTION("""COMPUTED_VALUE"""),"Belém")</f>
        <v>Belém</v>
      </c>
      <c r="L198" s="7" t="str">
        <f>IFERROR(__xludf.DUMMYFUNCTION("""COMPUTED_VALUE"""),"PA")</f>
        <v>PA</v>
      </c>
    </row>
  </sheetData>
  <hyperlinks>
    <hyperlink r:id="rId1" ref="H182"/>
    <hyperlink r:id="rId2" ref="G19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5"/>
    <col customWidth="1" min="6" max="6" width="27.63"/>
    <col customWidth="1" min="8" max="8" width="18.5"/>
  </cols>
  <sheetData>
    <row r="1">
      <c r="A1" s="162" t="s">
        <v>436</v>
      </c>
      <c r="B1" s="163" t="s">
        <v>447</v>
      </c>
      <c r="C1" s="164"/>
      <c r="D1" s="164"/>
      <c r="E1" s="164"/>
      <c r="F1" s="165"/>
      <c r="G1" s="163" t="s">
        <v>450</v>
      </c>
      <c r="H1" s="162" t="s">
        <v>6</v>
      </c>
    </row>
    <row r="2">
      <c r="A2" s="166">
        <v>2022.0</v>
      </c>
      <c r="B2" s="167">
        <v>0.1779</v>
      </c>
      <c r="C2" s="164"/>
      <c r="D2" s="164"/>
      <c r="E2" s="164"/>
      <c r="F2" s="168" t="s">
        <v>451</v>
      </c>
      <c r="G2" s="167">
        <v>0.1</v>
      </c>
      <c r="H2" s="169"/>
    </row>
    <row r="3">
      <c r="A3" s="166">
        <v>2023.0</v>
      </c>
      <c r="B3" s="167">
        <v>0.0672</v>
      </c>
      <c r="C3" s="164"/>
      <c r="D3" s="164"/>
      <c r="E3" s="164"/>
      <c r="F3" s="168" t="s">
        <v>94</v>
      </c>
      <c r="G3" s="170">
        <v>0.2</v>
      </c>
      <c r="H3" s="169"/>
    </row>
    <row r="4">
      <c r="A4" s="166">
        <v>2024.0</v>
      </c>
      <c r="B4" s="167">
        <v>0.0159</v>
      </c>
      <c r="C4" s="164"/>
      <c r="D4" s="164"/>
      <c r="E4" s="164"/>
      <c r="F4" s="168" t="s">
        <v>95</v>
      </c>
      <c r="G4" s="167">
        <v>0.1704</v>
      </c>
      <c r="H4" s="169"/>
    </row>
    <row r="5">
      <c r="A5" s="166">
        <v>2025.0</v>
      </c>
      <c r="B5" s="167">
        <v>0.0654</v>
      </c>
      <c r="C5" s="164"/>
      <c r="D5" s="164"/>
      <c r="E5" s="164"/>
      <c r="F5" s="164"/>
      <c r="G5" s="164"/>
      <c r="H5" s="164"/>
      <c r="J5" s="171" t="s">
        <v>452</v>
      </c>
      <c r="K5" s="172"/>
      <c r="L5" s="172"/>
      <c r="M5" s="172"/>
      <c r="N5" s="172"/>
      <c r="O5" s="173"/>
    </row>
    <row r="6">
      <c r="A6" s="174">
        <v>2026.0</v>
      </c>
      <c r="B6" s="170">
        <v>0.0328</v>
      </c>
      <c r="C6" s="164"/>
      <c r="D6" s="164"/>
      <c r="E6" s="164"/>
      <c r="F6" s="164"/>
      <c r="G6" s="162" t="s">
        <v>157</v>
      </c>
      <c r="H6" s="164"/>
      <c r="J6" s="162" t="s">
        <v>75</v>
      </c>
      <c r="K6" s="175" t="s">
        <v>453</v>
      </c>
      <c r="L6" s="175" t="s">
        <v>454</v>
      </c>
      <c r="M6" s="176"/>
      <c r="N6" s="177"/>
      <c r="O6" s="178"/>
    </row>
    <row r="7">
      <c r="A7" s="166"/>
      <c r="B7" s="167">
        <f>SUM(B2:B6)</f>
        <v>0.3592</v>
      </c>
      <c r="C7" s="164"/>
      <c r="D7" s="164"/>
      <c r="E7" s="179" t="s">
        <v>455</v>
      </c>
      <c r="F7" s="168" t="s">
        <v>90</v>
      </c>
      <c r="G7" s="180">
        <v>285.71</v>
      </c>
      <c r="J7" s="162" t="s">
        <v>50</v>
      </c>
      <c r="K7" s="175" t="s">
        <v>456</v>
      </c>
      <c r="L7" s="175" t="s">
        <v>457</v>
      </c>
      <c r="M7" s="176"/>
      <c r="N7" s="177"/>
      <c r="O7" s="178"/>
    </row>
    <row r="8">
      <c r="A8" s="181"/>
      <c r="B8" s="181"/>
      <c r="C8" s="164"/>
      <c r="D8" s="164"/>
      <c r="E8" s="182" t="s">
        <v>458</v>
      </c>
      <c r="F8" s="168" t="s">
        <v>91</v>
      </c>
      <c r="G8" s="180">
        <v>316.45</v>
      </c>
      <c r="J8" s="162" t="s">
        <v>59</v>
      </c>
      <c r="K8" s="175" t="s">
        <v>460</v>
      </c>
      <c r="L8" s="175" t="s">
        <v>461</v>
      </c>
      <c r="M8" s="175" t="s">
        <v>462</v>
      </c>
      <c r="N8" s="177"/>
      <c r="O8" s="178"/>
    </row>
    <row r="9">
      <c r="A9" s="181"/>
      <c r="B9" s="181"/>
      <c r="C9" s="183"/>
      <c r="D9" s="164"/>
      <c r="E9" s="179" t="s">
        <v>464</v>
      </c>
      <c r="F9" s="184" t="s">
        <v>91</v>
      </c>
      <c r="G9" s="185">
        <v>285.71</v>
      </c>
      <c r="J9" s="162" t="s">
        <v>101</v>
      </c>
      <c r="K9" s="175" t="s">
        <v>102</v>
      </c>
      <c r="L9" s="176"/>
      <c r="M9" s="176"/>
      <c r="N9" s="177"/>
      <c r="O9" s="178"/>
    </row>
    <row r="10">
      <c r="A10" s="181"/>
      <c r="B10" s="181"/>
      <c r="D10" s="186"/>
      <c r="E10" s="164"/>
      <c r="F10" s="168" t="s">
        <v>467</v>
      </c>
      <c r="G10" s="180">
        <v>1367.35</v>
      </c>
      <c r="H10" s="164"/>
      <c r="J10" s="162" t="s">
        <v>468</v>
      </c>
      <c r="K10" s="175" t="s">
        <v>87</v>
      </c>
      <c r="L10" s="175" t="s">
        <v>469</v>
      </c>
      <c r="M10" s="176"/>
      <c r="N10" s="177"/>
      <c r="O10" s="178"/>
    </row>
    <row r="11">
      <c r="A11" s="187" t="s">
        <v>470</v>
      </c>
      <c r="B11" s="187" t="s">
        <v>471</v>
      </c>
      <c r="C11" s="188" t="s">
        <v>472</v>
      </c>
      <c r="D11" s="186"/>
      <c r="E11" s="164"/>
      <c r="F11" s="168" t="s">
        <v>473</v>
      </c>
      <c r="G11" s="180">
        <v>3417.35</v>
      </c>
      <c r="H11" s="164"/>
      <c r="J11" s="189"/>
      <c r="K11" s="177"/>
      <c r="L11" s="177"/>
      <c r="M11" s="177"/>
      <c r="N11" s="177"/>
      <c r="O11" s="178"/>
    </row>
    <row r="12">
      <c r="A12" s="190">
        <v>1.0</v>
      </c>
      <c r="B12" s="190">
        <v>10.0</v>
      </c>
      <c r="C12" s="191">
        <v>1.0</v>
      </c>
      <c r="D12" s="186"/>
      <c r="E12" s="164"/>
      <c r="F12" s="168" t="s">
        <v>474</v>
      </c>
      <c r="G12" s="180">
        <v>1367.35</v>
      </c>
      <c r="H12" s="164"/>
      <c r="J12" s="189"/>
      <c r="K12" s="177"/>
      <c r="L12" s="177"/>
      <c r="M12" s="177"/>
      <c r="N12" s="177"/>
      <c r="O12" s="178"/>
    </row>
    <row r="13">
      <c r="A13" s="190">
        <f t="shared" ref="A13:A21" si="1">B12+1</f>
        <v>11</v>
      </c>
      <c r="B13" s="192">
        <v>20.0</v>
      </c>
      <c r="C13" s="193">
        <v>0.9803</v>
      </c>
      <c r="D13" s="164"/>
      <c r="E13" s="164"/>
      <c r="F13" s="168" t="s">
        <v>476</v>
      </c>
      <c r="G13" s="180">
        <v>342.35</v>
      </c>
      <c r="H13" s="164"/>
      <c r="J13" s="189"/>
      <c r="K13" s="177"/>
      <c r="L13" s="177"/>
      <c r="M13" s="177"/>
      <c r="N13" s="177"/>
      <c r="O13" s="178"/>
    </row>
    <row r="14">
      <c r="A14" s="190">
        <f t="shared" si="1"/>
        <v>21</v>
      </c>
      <c r="B14" s="192">
        <v>40.0</v>
      </c>
      <c r="C14" s="193">
        <v>0.9606</v>
      </c>
      <c r="D14" s="164"/>
      <c r="E14" s="164"/>
      <c r="F14" s="168" t="s">
        <v>479</v>
      </c>
      <c r="G14" s="180">
        <v>23.0</v>
      </c>
      <c r="H14" s="164"/>
      <c r="J14" s="194"/>
      <c r="K14" s="195"/>
      <c r="L14" s="195"/>
      <c r="M14" s="195"/>
      <c r="N14" s="195"/>
      <c r="O14" s="196"/>
    </row>
    <row r="15">
      <c r="A15" s="190">
        <f t="shared" si="1"/>
        <v>41</v>
      </c>
      <c r="B15" s="192">
        <v>80.0</v>
      </c>
      <c r="C15" s="193">
        <v>0.9417</v>
      </c>
      <c r="D15" s="165"/>
      <c r="E15" s="164"/>
      <c r="F15" s="197"/>
      <c r="G15" s="164"/>
      <c r="H15" s="164"/>
    </row>
    <row r="16">
      <c r="A16" s="190">
        <f t="shared" si="1"/>
        <v>81</v>
      </c>
      <c r="B16" s="192">
        <v>160.0</v>
      </c>
      <c r="C16" s="192">
        <v>0.9228</v>
      </c>
      <c r="D16" s="164"/>
      <c r="E16" s="164"/>
      <c r="F16" s="197"/>
      <c r="G16" s="164"/>
      <c r="H16" s="164"/>
    </row>
    <row r="17">
      <c r="A17" s="190">
        <f t="shared" si="1"/>
        <v>161</v>
      </c>
      <c r="B17" s="190">
        <v>320.0</v>
      </c>
      <c r="C17" s="190">
        <v>0.9047</v>
      </c>
      <c r="D17" s="164"/>
      <c r="E17" s="164"/>
      <c r="F17" s="162" t="s">
        <v>480</v>
      </c>
      <c r="G17" s="198" t="s">
        <v>481</v>
      </c>
      <c r="H17" s="164"/>
    </row>
    <row r="18">
      <c r="A18" s="190">
        <f t="shared" si="1"/>
        <v>321</v>
      </c>
      <c r="B18" s="190">
        <v>640.0</v>
      </c>
      <c r="C18" s="190">
        <v>0.8866</v>
      </c>
      <c r="D18" s="164"/>
      <c r="E18" s="164"/>
      <c r="F18" s="199">
        <v>100.0</v>
      </c>
      <c r="G18" s="180" t="s">
        <v>33</v>
      </c>
      <c r="H18" s="164"/>
    </row>
    <row r="19">
      <c r="A19" s="190">
        <f t="shared" si="1"/>
        <v>641</v>
      </c>
      <c r="B19" s="190">
        <v>1280.0</v>
      </c>
      <c r="C19" s="190">
        <v>0.8685</v>
      </c>
      <c r="D19" s="164"/>
      <c r="E19" s="164"/>
      <c r="F19" s="199">
        <v>150.0</v>
      </c>
      <c r="G19" s="180" t="s">
        <v>33</v>
      </c>
      <c r="H19" s="164"/>
    </row>
    <row r="20">
      <c r="A20" s="190">
        <f t="shared" si="1"/>
        <v>1281</v>
      </c>
      <c r="B20" s="192">
        <v>5120.0</v>
      </c>
      <c r="C20" s="192">
        <v>0.8339</v>
      </c>
      <c r="D20" s="164"/>
      <c r="E20" s="164"/>
      <c r="F20" s="199">
        <v>200.0</v>
      </c>
      <c r="G20" s="180" t="s">
        <v>33</v>
      </c>
      <c r="H20" s="164"/>
    </row>
    <row r="21">
      <c r="A21" s="190">
        <f t="shared" si="1"/>
        <v>5121</v>
      </c>
      <c r="B21" s="192">
        <v>10240.0</v>
      </c>
      <c r="C21" s="192">
        <v>0.8173</v>
      </c>
      <c r="D21" s="164"/>
      <c r="E21" s="164"/>
      <c r="F21" s="199">
        <v>500.0</v>
      </c>
      <c r="G21" s="180" t="s">
        <v>33</v>
      </c>
      <c r="H21" s="164"/>
    </row>
    <row r="22">
      <c r="C22" s="164"/>
      <c r="D22" s="164"/>
      <c r="E22" s="164"/>
      <c r="F22" s="199">
        <v>1000.0</v>
      </c>
      <c r="G22" s="180" t="s">
        <v>485</v>
      </c>
      <c r="H22" s="164"/>
    </row>
    <row r="24">
      <c r="A24" s="181"/>
      <c r="B24" s="181"/>
    </row>
    <row r="25">
      <c r="A25" s="200"/>
      <c r="B25" s="200"/>
    </row>
    <row r="26">
      <c r="A26" s="200"/>
      <c r="B26" s="200"/>
    </row>
    <row r="27">
      <c r="A27" s="200"/>
      <c r="B27" s="200"/>
    </row>
    <row r="28">
      <c r="A28" s="200"/>
      <c r="B28" s="200"/>
    </row>
    <row r="29">
      <c r="A29" s="200"/>
      <c r="B29" s="200"/>
    </row>
    <row r="30">
      <c r="A30" s="200"/>
      <c r="B30" s="200"/>
    </row>
    <row r="31">
      <c r="A31" s="200"/>
      <c r="B31" s="200"/>
    </row>
    <row r="32">
      <c r="A32" s="200"/>
      <c r="B32" s="200"/>
    </row>
    <row r="33">
      <c r="A33" s="200"/>
      <c r="B33" s="200"/>
    </row>
    <row r="34">
      <c r="A34" s="200"/>
      <c r="B34" s="200"/>
    </row>
    <row r="35">
      <c r="A35" s="200"/>
      <c r="B35" s="200"/>
    </row>
    <row r="36">
      <c r="A36" s="200"/>
      <c r="B36" s="200"/>
    </row>
    <row r="37">
      <c r="A37" s="200"/>
      <c r="B37" s="200"/>
    </row>
    <row r="38">
      <c r="A38" s="200"/>
      <c r="B38" s="200"/>
    </row>
    <row r="39">
      <c r="A39" s="200"/>
      <c r="B39" s="200"/>
    </row>
    <row r="40">
      <c r="A40" s="200"/>
      <c r="B40" s="200"/>
    </row>
    <row r="41">
      <c r="A41" s="200"/>
      <c r="B41" s="200"/>
    </row>
    <row r="42">
      <c r="A42" s="200"/>
      <c r="B42" s="200"/>
    </row>
    <row r="43">
      <c r="A43" s="200"/>
      <c r="B43" s="200"/>
    </row>
    <row r="44">
      <c r="A44" s="200"/>
      <c r="B44" s="200"/>
    </row>
    <row r="45">
      <c r="A45" s="200"/>
      <c r="B45" s="200"/>
    </row>
    <row r="46">
      <c r="A46" s="200"/>
      <c r="B46" s="200"/>
    </row>
    <row r="47">
      <c r="A47" s="200"/>
      <c r="B47" s="200"/>
    </row>
    <row r="48">
      <c r="A48" s="200"/>
      <c r="B48" s="200"/>
    </row>
    <row r="49">
      <c r="A49" s="200"/>
      <c r="B49" s="200"/>
    </row>
    <row r="50">
      <c r="A50" s="200"/>
      <c r="B50" s="200"/>
    </row>
    <row r="51">
      <c r="A51" s="200"/>
      <c r="B51" s="200"/>
    </row>
    <row r="52">
      <c r="A52" s="200"/>
      <c r="B52" s="200"/>
    </row>
    <row r="53">
      <c r="A53" s="200"/>
      <c r="B53" s="200"/>
    </row>
    <row r="54">
      <c r="A54" s="200"/>
      <c r="B54" s="200"/>
    </row>
    <row r="55">
      <c r="A55" s="200"/>
      <c r="B55" s="200"/>
    </row>
    <row r="56">
      <c r="A56" s="200"/>
      <c r="B56" s="200"/>
    </row>
    <row r="57">
      <c r="A57" s="200"/>
      <c r="B57" s="200"/>
    </row>
    <row r="58">
      <c r="A58" s="200"/>
      <c r="B58" s="200"/>
    </row>
    <row r="59">
      <c r="A59" s="200"/>
      <c r="B59" s="200"/>
    </row>
    <row r="60">
      <c r="A60" s="200"/>
      <c r="B60" s="200"/>
    </row>
    <row r="61">
      <c r="A61" s="200"/>
      <c r="B61" s="200"/>
    </row>
    <row r="62">
      <c r="A62" s="200"/>
      <c r="B62" s="200"/>
    </row>
    <row r="63">
      <c r="A63" s="200"/>
      <c r="B63" s="200"/>
    </row>
    <row r="64">
      <c r="A64" s="200"/>
      <c r="B64" s="200"/>
    </row>
    <row r="65">
      <c r="A65" s="200"/>
      <c r="B65" s="200"/>
    </row>
    <row r="66">
      <c r="A66" s="200"/>
      <c r="B66" s="200"/>
    </row>
    <row r="67">
      <c r="A67" s="200"/>
      <c r="B67" s="200"/>
    </row>
    <row r="68">
      <c r="A68" s="200"/>
      <c r="B68" s="200"/>
    </row>
    <row r="69">
      <c r="A69" s="200"/>
      <c r="B69" s="200"/>
    </row>
    <row r="70">
      <c r="A70" s="200"/>
      <c r="B70" s="200"/>
    </row>
    <row r="71">
      <c r="A71" s="200"/>
      <c r="B71" s="200"/>
    </row>
    <row r="72">
      <c r="A72" s="200"/>
      <c r="B72" s="200"/>
    </row>
    <row r="73">
      <c r="A73" s="200"/>
      <c r="B73" s="200"/>
    </row>
    <row r="74">
      <c r="A74" s="200"/>
      <c r="B74" s="200"/>
    </row>
    <row r="75">
      <c r="A75" s="200"/>
      <c r="B75" s="200"/>
    </row>
    <row r="76">
      <c r="A76" s="200"/>
      <c r="B76" s="200"/>
    </row>
    <row r="77">
      <c r="A77" s="200"/>
      <c r="B77" s="200"/>
    </row>
    <row r="78">
      <c r="A78" s="200"/>
      <c r="B78" s="200"/>
    </row>
    <row r="79">
      <c r="A79" s="200"/>
      <c r="B79" s="200"/>
    </row>
    <row r="80">
      <c r="A80" s="200"/>
      <c r="B80" s="200"/>
    </row>
    <row r="81">
      <c r="A81" s="200"/>
      <c r="B81" s="200"/>
    </row>
    <row r="82">
      <c r="A82" s="200"/>
      <c r="B82" s="200"/>
    </row>
    <row r="83">
      <c r="A83" s="200"/>
      <c r="B83" s="200"/>
    </row>
    <row r="84">
      <c r="A84" s="200"/>
      <c r="B84" s="200"/>
    </row>
    <row r="85">
      <c r="A85" s="200"/>
      <c r="B85" s="200"/>
    </row>
    <row r="86">
      <c r="A86" s="200"/>
      <c r="B86" s="200"/>
    </row>
    <row r="87">
      <c r="A87" s="200"/>
      <c r="B87" s="200"/>
    </row>
    <row r="88">
      <c r="A88" s="200"/>
      <c r="B88" s="200"/>
    </row>
    <row r="89">
      <c r="A89" s="200"/>
      <c r="B89" s="200"/>
    </row>
    <row r="90">
      <c r="A90" s="200"/>
      <c r="B90" s="200"/>
    </row>
    <row r="91">
      <c r="A91" s="200"/>
      <c r="B91" s="200"/>
    </row>
    <row r="92">
      <c r="A92" s="200"/>
      <c r="B92" s="200"/>
    </row>
    <row r="93">
      <c r="A93" s="200"/>
      <c r="B93" s="200"/>
    </row>
    <row r="94">
      <c r="A94" s="200"/>
      <c r="B94" s="200"/>
    </row>
    <row r="95">
      <c r="A95" s="200"/>
      <c r="B95" s="200"/>
    </row>
    <row r="96">
      <c r="A96" s="200"/>
      <c r="B96" s="200"/>
    </row>
    <row r="97">
      <c r="A97" s="200"/>
      <c r="B97" s="200"/>
    </row>
    <row r="98">
      <c r="A98" s="200"/>
      <c r="B98" s="200"/>
    </row>
    <row r="99">
      <c r="A99" s="200"/>
      <c r="B99" s="200"/>
    </row>
    <row r="100">
      <c r="A100" s="200"/>
      <c r="B100" s="200"/>
    </row>
    <row r="101">
      <c r="A101" s="200"/>
      <c r="B101" s="200"/>
    </row>
    <row r="102">
      <c r="A102" s="200"/>
      <c r="B102" s="200"/>
    </row>
    <row r="103">
      <c r="A103" s="200"/>
      <c r="B103" s="200"/>
    </row>
    <row r="104">
      <c r="A104" s="200"/>
      <c r="B104" s="200"/>
    </row>
    <row r="105">
      <c r="A105" s="200"/>
      <c r="B105" s="200"/>
    </row>
    <row r="106">
      <c r="A106" s="200"/>
      <c r="B106" s="200"/>
    </row>
    <row r="107">
      <c r="A107" s="200"/>
      <c r="B107" s="200"/>
    </row>
    <row r="108">
      <c r="A108" s="200"/>
      <c r="B108" s="200"/>
    </row>
    <row r="109">
      <c r="A109" s="200"/>
      <c r="B109" s="200"/>
    </row>
    <row r="110">
      <c r="A110" s="200"/>
      <c r="B110" s="200"/>
    </row>
    <row r="111">
      <c r="A111" s="200"/>
      <c r="B111" s="200"/>
    </row>
    <row r="112">
      <c r="A112" s="200"/>
      <c r="B112" s="200"/>
    </row>
    <row r="113">
      <c r="A113" s="200"/>
      <c r="B113" s="200"/>
    </row>
    <row r="114">
      <c r="A114" s="200"/>
      <c r="B114" s="200"/>
    </row>
    <row r="115">
      <c r="A115" s="200"/>
      <c r="B115" s="200"/>
    </row>
    <row r="116">
      <c r="A116" s="200"/>
      <c r="B116" s="200"/>
    </row>
    <row r="117">
      <c r="A117" s="200"/>
      <c r="B117" s="200"/>
    </row>
    <row r="118">
      <c r="A118" s="200"/>
      <c r="B118" s="200"/>
    </row>
    <row r="119">
      <c r="A119" s="200"/>
      <c r="B119" s="200"/>
    </row>
    <row r="120">
      <c r="A120" s="200"/>
      <c r="B120" s="200"/>
    </row>
    <row r="121">
      <c r="A121" s="200"/>
      <c r="B121" s="200"/>
    </row>
    <row r="122">
      <c r="A122" s="200"/>
      <c r="B122" s="200"/>
    </row>
    <row r="123">
      <c r="A123" s="200"/>
      <c r="B123" s="200"/>
    </row>
    <row r="124">
      <c r="A124" s="200"/>
      <c r="B124" s="200"/>
    </row>
    <row r="125">
      <c r="A125" s="200"/>
      <c r="B125" s="200"/>
    </row>
    <row r="126">
      <c r="A126" s="200"/>
      <c r="B126" s="200"/>
    </row>
    <row r="127">
      <c r="A127" s="200"/>
      <c r="B127" s="200"/>
    </row>
    <row r="128">
      <c r="A128" s="200"/>
      <c r="B128" s="200"/>
    </row>
    <row r="129">
      <c r="A129" s="200"/>
      <c r="B129" s="200"/>
    </row>
    <row r="130">
      <c r="A130" s="200"/>
      <c r="B130" s="200"/>
    </row>
    <row r="131">
      <c r="A131" s="200"/>
      <c r="B131" s="200"/>
    </row>
    <row r="132">
      <c r="A132" s="200"/>
      <c r="B132" s="200"/>
    </row>
    <row r="133">
      <c r="A133" s="200"/>
      <c r="B133" s="200"/>
    </row>
    <row r="134">
      <c r="A134" s="200"/>
      <c r="B134" s="200"/>
    </row>
    <row r="135">
      <c r="A135" s="200"/>
      <c r="B135" s="200"/>
    </row>
    <row r="136">
      <c r="A136" s="200"/>
      <c r="B136" s="200"/>
    </row>
    <row r="137">
      <c r="A137" s="200"/>
      <c r="B137" s="200"/>
    </row>
    <row r="138">
      <c r="A138" s="200"/>
      <c r="B138" s="200"/>
    </row>
    <row r="139">
      <c r="A139" s="200"/>
      <c r="B139" s="200"/>
    </row>
    <row r="140">
      <c r="A140" s="200"/>
      <c r="B140" s="200"/>
    </row>
    <row r="141">
      <c r="A141" s="200"/>
      <c r="B141" s="200"/>
    </row>
    <row r="142">
      <c r="A142" s="200"/>
      <c r="B142" s="200"/>
    </row>
    <row r="143">
      <c r="A143" s="200"/>
      <c r="B143" s="200"/>
    </row>
    <row r="144">
      <c r="A144" s="200"/>
      <c r="B144" s="200"/>
    </row>
    <row r="145">
      <c r="A145" s="200"/>
      <c r="B145" s="200"/>
    </row>
    <row r="146">
      <c r="A146" s="200"/>
      <c r="B146" s="200"/>
    </row>
    <row r="147">
      <c r="A147" s="200"/>
      <c r="B147" s="200"/>
    </row>
    <row r="148">
      <c r="A148" s="200"/>
      <c r="B148" s="200"/>
    </row>
    <row r="149">
      <c r="A149" s="200"/>
      <c r="B149" s="200"/>
    </row>
    <row r="150">
      <c r="A150" s="200"/>
      <c r="B150" s="200"/>
    </row>
    <row r="151">
      <c r="A151" s="200"/>
      <c r="B151" s="200"/>
    </row>
    <row r="152">
      <c r="A152" s="200"/>
      <c r="B152" s="200"/>
    </row>
    <row r="153">
      <c r="A153" s="200"/>
      <c r="B153" s="200"/>
    </row>
    <row r="154">
      <c r="A154" s="200"/>
      <c r="B154" s="200"/>
    </row>
    <row r="155">
      <c r="A155" s="200"/>
      <c r="B155" s="200"/>
    </row>
    <row r="156">
      <c r="A156" s="200"/>
      <c r="B156" s="200"/>
    </row>
    <row r="157">
      <c r="A157" s="200"/>
      <c r="B157" s="200"/>
    </row>
    <row r="158">
      <c r="A158" s="200"/>
      <c r="B158" s="200"/>
    </row>
    <row r="159">
      <c r="A159" s="200"/>
      <c r="B159" s="200"/>
    </row>
    <row r="160">
      <c r="A160" s="200"/>
      <c r="B160" s="200"/>
    </row>
    <row r="161">
      <c r="A161" s="200"/>
      <c r="B161" s="200"/>
    </row>
    <row r="162">
      <c r="A162" s="200"/>
      <c r="B162" s="200"/>
    </row>
    <row r="163">
      <c r="A163" s="200"/>
      <c r="B163" s="200"/>
    </row>
    <row r="164">
      <c r="A164" s="200"/>
      <c r="B164" s="200"/>
    </row>
    <row r="165">
      <c r="A165" s="200"/>
      <c r="B165" s="200"/>
    </row>
    <row r="166">
      <c r="A166" s="200"/>
      <c r="B166" s="200"/>
    </row>
    <row r="167">
      <c r="A167" s="200"/>
      <c r="B167" s="200"/>
    </row>
    <row r="168">
      <c r="A168" s="200"/>
      <c r="B168" s="200"/>
    </row>
    <row r="169">
      <c r="A169" s="200"/>
      <c r="B169" s="200"/>
    </row>
    <row r="170">
      <c r="A170" s="200"/>
      <c r="B170" s="200"/>
    </row>
    <row r="171">
      <c r="A171" s="200"/>
      <c r="B171" s="200"/>
    </row>
    <row r="172">
      <c r="A172" s="200"/>
      <c r="B172" s="200"/>
    </row>
    <row r="173">
      <c r="A173" s="200"/>
      <c r="B173" s="200"/>
    </row>
    <row r="174">
      <c r="A174" s="200"/>
      <c r="B174" s="200"/>
    </row>
    <row r="175">
      <c r="A175" s="200"/>
      <c r="B175" s="200"/>
    </row>
    <row r="176">
      <c r="A176" s="200"/>
      <c r="B176" s="200"/>
    </row>
    <row r="177">
      <c r="A177" s="200"/>
      <c r="B177" s="200"/>
    </row>
    <row r="178">
      <c r="A178" s="200"/>
      <c r="B178" s="200"/>
    </row>
    <row r="179">
      <c r="A179" s="200"/>
      <c r="B179" s="200"/>
    </row>
    <row r="180">
      <c r="A180" s="200"/>
      <c r="B180" s="200"/>
    </row>
    <row r="181">
      <c r="A181" s="200"/>
      <c r="B181" s="200"/>
    </row>
    <row r="182">
      <c r="A182" s="200"/>
      <c r="B182" s="200"/>
    </row>
    <row r="183">
      <c r="A183" s="200"/>
      <c r="B183" s="200"/>
    </row>
    <row r="184">
      <c r="A184" s="200"/>
      <c r="B184" s="200"/>
    </row>
    <row r="185">
      <c r="A185" s="200"/>
      <c r="B185" s="200"/>
    </row>
    <row r="186">
      <c r="A186" s="200"/>
      <c r="B186" s="200"/>
    </row>
    <row r="187">
      <c r="A187" s="200"/>
      <c r="B187" s="200"/>
    </row>
    <row r="188">
      <c r="A188" s="200"/>
      <c r="B188" s="200"/>
    </row>
    <row r="189">
      <c r="A189" s="200"/>
      <c r="B189" s="200"/>
    </row>
    <row r="190">
      <c r="A190" s="200"/>
      <c r="B190" s="200"/>
    </row>
    <row r="191">
      <c r="A191" s="200"/>
      <c r="B191" s="200"/>
    </row>
    <row r="192">
      <c r="A192" s="200"/>
      <c r="B192" s="200"/>
    </row>
    <row r="193">
      <c r="A193" s="200"/>
      <c r="B193" s="200"/>
    </row>
    <row r="194">
      <c r="A194" s="200"/>
      <c r="B194" s="200"/>
    </row>
    <row r="195">
      <c r="A195" s="200"/>
      <c r="B195" s="200"/>
    </row>
    <row r="196">
      <c r="A196" s="200"/>
      <c r="B196" s="200"/>
    </row>
    <row r="197">
      <c r="A197" s="200"/>
      <c r="B197" s="200"/>
    </row>
    <row r="198">
      <c r="A198" s="200"/>
      <c r="B198" s="200"/>
    </row>
    <row r="199">
      <c r="A199" s="200"/>
      <c r="B199" s="200"/>
    </row>
    <row r="200">
      <c r="A200" s="200"/>
      <c r="B200" s="200"/>
    </row>
    <row r="201">
      <c r="A201" s="200"/>
      <c r="B201" s="200"/>
    </row>
    <row r="202">
      <c r="A202" s="200"/>
      <c r="B202" s="200"/>
    </row>
    <row r="203">
      <c r="A203" s="200"/>
      <c r="B203" s="200"/>
    </row>
    <row r="204">
      <c r="A204" s="200"/>
      <c r="B204" s="200"/>
    </row>
    <row r="205">
      <c r="A205" s="200"/>
      <c r="B205" s="200"/>
    </row>
    <row r="206">
      <c r="A206" s="200"/>
      <c r="B206" s="200"/>
    </row>
    <row r="207">
      <c r="A207" s="200"/>
      <c r="B207" s="200"/>
    </row>
    <row r="208">
      <c r="A208" s="200"/>
      <c r="B208" s="200"/>
    </row>
    <row r="209">
      <c r="A209" s="200"/>
      <c r="B209" s="200"/>
    </row>
    <row r="210">
      <c r="A210" s="200"/>
      <c r="B210" s="200"/>
    </row>
    <row r="211">
      <c r="A211" s="200"/>
      <c r="B211" s="200"/>
    </row>
    <row r="212">
      <c r="A212" s="200"/>
      <c r="B212" s="200"/>
    </row>
    <row r="213">
      <c r="A213" s="200"/>
      <c r="B213" s="200"/>
    </row>
    <row r="214">
      <c r="A214" s="200"/>
      <c r="B214" s="200"/>
    </row>
    <row r="215">
      <c r="A215" s="200"/>
      <c r="B215" s="200"/>
    </row>
    <row r="216">
      <c r="A216" s="200"/>
      <c r="B216" s="200"/>
    </row>
    <row r="217">
      <c r="A217" s="200"/>
      <c r="B217" s="200"/>
    </row>
    <row r="218">
      <c r="A218" s="200"/>
      <c r="B218" s="200"/>
    </row>
    <row r="219">
      <c r="A219" s="200"/>
      <c r="B219" s="200"/>
    </row>
    <row r="220">
      <c r="A220" s="200"/>
      <c r="B220" s="200"/>
    </row>
    <row r="221">
      <c r="A221" s="200"/>
      <c r="B221" s="200"/>
    </row>
    <row r="222">
      <c r="A222" s="200"/>
      <c r="B222" s="200"/>
    </row>
    <row r="223">
      <c r="A223" s="200"/>
      <c r="B223" s="200"/>
    </row>
    <row r="224">
      <c r="A224" s="200"/>
      <c r="B224" s="200"/>
    </row>
    <row r="225">
      <c r="A225" s="200"/>
      <c r="B225" s="200"/>
    </row>
    <row r="226">
      <c r="A226" s="200"/>
      <c r="B226" s="200"/>
    </row>
    <row r="227">
      <c r="A227" s="200"/>
      <c r="B227" s="200"/>
    </row>
    <row r="228">
      <c r="A228" s="200"/>
      <c r="B228" s="200"/>
    </row>
    <row r="229">
      <c r="A229" s="200"/>
      <c r="B229" s="200"/>
    </row>
    <row r="230">
      <c r="A230" s="200"/>
      <c r="B230" s="200"/>
    </row>
    <row r="231">
      <c r="A231" s="200"/>
      <c r="B231" s="200"/>
    </row>
    <row r="232">
      <c r="A232" s="200"/>
      <c r="B232" s="200"/>
    </row>
    <row r="233">
      <c r="A233" s="200"/>
      <c r="B233" s="200"/>
    </row>
    <row r="234">
      <c r="A234" s="200"/>
      <c r="B234" s="200"/>
    </row>
    <row r="235">
      <c r="A235" s="200"/>
      <c r="B235" s="200"/>
    </row>
    <row r="236">
      <c r="A236" s="200"/>
      <c r="B236" s="200"/>
    </row>
    <row r="237">
      <c r="A237" s="200"/>
      <c r="B237" s="200"/>
    </row>
    <row r="238">
      <c r="A238" s="200"/>
      <c r="B238" s="200"/>
    </row>
    <row r="239">
      <c r="A239" s="200"/>
      <c r="B239" s="200"/>
    </row>
    <row r="240">
      <c r="A240" s="200"/>
      <c r="B240" s="200"/>
    </row>
    <row r="241">
      <c r="A241" s="200"/>
      <c r="B241" s="200"/>
    </row>
    <row r="242">
      <c r="A242" s="200"/>
      <c r="B242" s="200"/>
    </row>
    <row r="243">
      <c r="A243" s="200"/>
      <c r="B243" s="200"/>
    </row>
    <row r="244">
      <c r="A244" s="200"/>
      <c r="B244" s="200"/>
    </row>
    <row r="245">
      <c r="A245" s="200"/>
      <c r="B245" s="200"/>
    </row>
    <row r="246">
      <c r="A246" s="200"/>
      <c r="B246" s="200"/>
    </row>
    <row r="247">
      <c r="A247" s="200"/>
      <c r="B247" s="200"/>
    </row>
    <row r="248">
      <c r="A248" s="200"/>
      <c r="B248" s="200"/>
    </row>
    <row r="249">
      <c r="A249" s="200"/>
      <c r="B249" s="200"/>
    </row>
    <row r="250">
      <c r="A250" s="200"/>
      <c r="B250" s="200"/>
    </row>
    <row r="251">
      <c r="A251" s="200"/>
      <c r="B251" s="200"/>
    </row>
    <row r="252">
      <c r="A252" s="200"/>
      <c r="B252" s="200"/>
    </row>
    <row r="253">
      <c r="A253" s="200"/>
      <c r="B253" s="200"/>
    </row>
    <row r="254">
      <c r="A254" s="200"/>
      <c r="B254" s="200"/>
    </row>
    <row r="255">
      <c r="A255" s="200"/>
      <c r="B255" s="200"/>
    </row>
    <row r="256">
      <c r="A256" s="200"/>
      <c r="B256" s="200"/>
    </row>
    <row r="257">
      <c r="A257" s="200"/>
      <c r="B257" s="200"/>
    </row>
    <row r="258">
      <c r="A258" s="200"/>
      <c r="B258" s="200"/>
    </row>
    <row r="259">
      <c r="A259" s="200"/>
      <c r="B259" s="200"/>
    </row>
    <row r="260">
      <c r="A260" s="200"/>
      <c r="B260" s="200"/>
    </row>
    <row r="261">
      <c r="A261" s="200"/>
      <c r="B261" s="200"/>
    </row>
    <row r="262">
      <c r="A262" s="200"/>
      <c r="B262" s="200"/>
    </row>
    <row r="263">
      <c r="A263" s="200"/>
      <c r="B263" s="200"/>
    </row>
    <row r="264">
      <c r="A264" s="200"/>
      <c r="B264" s="200"/>
    </row>
    <row r="265">
      <c r="A265" s="200"/>
      <c r="B265" s="200"/>
    </row>
    <row r="266">
      <c r="A266" s="200"/>
      <c r="B266" s="200"/>
    </row>
    <row r="267">
      <c r="A267" s="200"/>
      <c r="B267" s="200"/>
    </row>
    <row r="268">
      <c r="A268" s="200"/>
      <c r="B268" s="200"/>
    </row>
    <row r="269">
      <c r="A269" s="200"/>
      <c r="B269" s="200"/>
    </row>
    <row r="270">
      <c r="A270" s="200"/>
      <c r="B270" s="200"/>
    </row>
    <row r="271">
      <c r="A271" s="200"/>
      <c r="B271" s="200"/>
    </row>
    <row r="272">
      <c r="A272" s="200"/>
      <c r="B272" s="200"/>
    </row>
    <row r="273">
      <c r="A273" s="200"/>
      <c r="B273" s="200"/>
    </row>
    <row r="274">
      <c r="A274" s="200"/>
      <c r="B274" s="200"/>
    </row>
    <row r="275">
      <c r="A275" s="200"/>
      <c r="B275" s="200"/>
    </row>
    <row r="276">
      <c r="A276" s="200"/>
      <c r="B276" s="200"/>
    </row>
    <row r="277">
      <c r="A277" s="200"/>
      <c r="B277" s="200"/>
    </row>
    <row r="278">
      <c r="A278" s="200"/>
      <c r="B278" s="200"/>
    </row>
    <row r="279">
      <c r="A279" s="200"/>
      <c r="B279" s="200"/>
    </row>
    <row r="280">
      <c r="A280" s="200"/>
      <c r="B280" s="200"/>
    </row>
    <row r="281">
      <c r="A281" s="200"/>
      <c r="B281" s="200"/>
    </row>
    <row r="282">
      <c r="A282" s="200"/>
      <c r="B282" s="200"/>
    </row>
    <row r="283">
      <c r="A283" s="200"/>
      <c r="B283" s="200"/>
    </row>
    <row r="284">
      <c r="A284" s="200"/>
      <c r="B284" s="200"/>
    </row>
    <row r="285">
      <c r="A285" s="200"/>
      <c r="B285" s="200"/>
    </row>
    <row r="286">
      <c r="A286" s="200"/>
      <c r="B286" s="200"/>
    </row>
    <row r="287">
      <c r="A287" s="200"/>
      <c r="B287" s="200"/>
    </row>
    <row r="288">
      <c r="A288" s="200"/>
      <c r="B288" s="200"/>
    </row>
    <row r="289">
      <c r="A289" s="200"/>
      <c r="B289" s="200"/>
    </row>
    <row r="290">
      <c r="A290" s="200"/>
      <c r="B290" s="200"/>
    </row>
    <row r="291">
      <c r="A291" s="200"/>
      <c r="B291" s="200"/>
    </row>
    <row r="292">
      <c r="A292" s="200"/>
      <c r="B292" s="200"/>
    </row>
    <row r="293">
      <c r="A293" s="200"/>
      <c r="B293" s="200"/>
    </row>
    <row r="294">
      <c r="A294" s="200"/>
      <c r="B294" s="200"/>
    </row>
    <row r="295">
      <c r="A295" s="200"/>
      <c r="B295" s="200"/>
    </row>
    <row r="296">
      <c r="A296" s="200"/>
      <c r="B296" s="200"/>
    </row>
    <row r="297">
      <c r="A297" s="200"/>
      <c r="B297" s="200"/>
    </row>
    <row r="298">
      <c r="A298" s="200"/>
      <c r="B298" s="200"/>
    </row>
    <row r="299">
      <c r="A299" s="200"/>
      <c r="B299" s="200"/>
    </row>
    <row r="300">
      <c r="A300" s="200"/>
      <c r="B300" s="200"/>
    </row>
    <row r="301">
      <c r="A301" s="200"/>
      <c r="B301" s="200"/>
    </row>
    <row r="302">
      <c r="A302" s="200"/>
      <c r="B302" s="200"/>
    </row>
    <row r="303">
      <c r="A303" s="200"/>
      <c r="B303" s="200"/>
    </row>
    <row r="304">
      <c r="A304" s="200"/>
      <c r="B304" s="200"/>
    </row>
    <row r="305">
      <c r="A305" s="200"/>
      <c r="B305" s="200"/>
    </row>
    <row r="306">
      <c r="A306" s="200"/>
      <c r="B306" s="200"/>
    </row>
    <row r="307">
      <c r="A307" s="200"/>
      <c r="B307" s="200"/>
    </row>
    <row r="308">
      <c r="A308" s="200"/>
      <c r="B308" s="200"/>
    </row>
    <row r="309">
      <c r="A309" s="200"/>
      <c r="B309" s="200"/>
    </row>
    <row r="310">
      <c r="A310" s="200"/>
      <c r="B310" s="200"/>
    </row>
    <row r="311">
      <c r="A311" s="200"/>
      <c r="B311" s="200"/>
    </row>
    <row r="312">
      <c r="A312" s="200"/>
      <c r="B312" s="200"/>
    </row>
    <row r="313">
      <c r="A313" s="200"/>
      <c r="B313" s="200"/>
    </row>
    <row r="314">
      <c r="A314" s="200"/>
      <c r="B314" s="200"/>
    </row>
    <row r="315">
      <c r="A315" s="200"/>
      <c r="B315" s="200"/>
    </row>
    <row r="316">
      <c r="A316" s="200"/>
      <c r="B316" s="200"/>
    </row>
    <row r="317">
      <c r="A317" s="200"/>
      <c r="B317" s="200"/>
    </row>
    <row r="318">
      <c r="A318" s="200"/>
      <c r="B318" s="200"/>
    </row>
    <row r="319">
      <c r="A319" s="200"/>
      <c r="B319" s="200"/>
    </row>
    <row r="320">
      <c r="A320" s="200"/>
      <c r="B320" s="200"/>
    </row>
    <row r="321">
      <c r="A321" s="200"/>
      <c r="B321" s="200"/>
    </row>
    <row r="322">
      <c r="A322" s="200"/>
      <c r="B322" s="200"/>
    </row>
    <row r="323">
      <c r="A323" s="200"/>
      <c r="B323" s="200"/>
    </row>
    <row r="324">
      <c r="A324" s="200"/>
      <c r="B324" s="200"/>
    </row>
    <row r="325">
      <c r="A325" s="200"/>
      <c r="B325" s="200"/>
    </row>
    <row r="326">
      <c r="A326" s="200"/>
      <c r="B326" s="200"/>
    </row>
    <row r="327">
      <c r="A327" s="200"/>
      <c r="B327" s="200"/>
    </row>
    <row r="328">
      <c r="A328" s="200"/>
      <c r="B328" s="200"/>
    </row>
    <row r="329">
      <c r="A329" s="200"/>
      <c r="B329" s="200"/>
    </row>
    <row r="330">
      <c r="A330" s="200"/>
      <c r="B330" s="200"/>
    </row>
    <row r="331">
      <c r="A331" s="200"/>
      <c r="B331" s="200"/>
    </row>
    <row r="332">
      <c r="A332" s="200"/>
      <c r="B332" s="200"/>
    </row>
    <row r="333">
      <c r="A333" s="200"/>
      <c r="B333" s="200"/>
    </row>
    <row r="334">
      <c r="A334" s="200"/>
      <c r="B334" s="200"/>
    </row>
    <row r="335">
      <c r="A335" s="200"/>
      <c r="B335" s="200"/>
    </row>
    <row r="336">
      <c r="A336" s="200"/>
      <c r="B336" s="200"/>
    </row>
    <row r="337">
      <c r="A337" s="200"/>
      <c r="B337" s="200"/>
    </row>
    <row r="338">
      <c r="A338" s="200"/>
      <c r="B338" s="200"/>
    </row>
    <row r="339">
      <c r="A339" s="200"/>
      <c r="B339" s="200"/>
    </row>
    <row r="340">
      <c r="A340" s="200"/>
      <c r="B340" s="200"/>
    </row>
    <row r="341">
      <c r="A341" s="200"/>
      <c r="B341" s="200"/>
    </row>
    <row r="342">
      <c r="A342" s="200"/>
      <c r="B342" s="200"/>
    </row>
    <row r="343">
      <c r="A343" s="200"/>
      <c r="B343" s="200"/>
    </row>
    <row r="344">
      <c r="A344" s="200"/>
      <c r="B344" s="200"/>
    </row>
    <row r="345">
      <c r="A345" s="200"/>
      <c r="B345" s="200"/>
    </row>
    <row r="346">
      <c r="A346" s="200"/>
      <c r="B346" s="200"/>
    </row>
    <row r="347">
      <c r="A347" s="200"/>
      <c r="B347" s="200"/>
    </row>
    <row r="348">
      <c r="A348" s="200"/>
      <c r="B348" s="200"/>
    </row>
    <row r="349">
      <c r="A349" s="200"/>
      <c r="B349" s="200"/>
    </row>
    <row r="350">
      <c r="A350" s="200"/>
      <c r="B350" s="200"/>
    </row>
    <row r="351">
      <c r="A351" s="200"/>
      <c r="B351" s="200"/>
    </row>
    <row r="352">
      <c r="A352" s="200"/>
      <c r="B352" s="200"/>
    </row>
    <row r="353">
      <c r="A353" s="200"/>
      <c r="B353" s="200"/>
    </row>
    <row r="354">
      <c r="A354" s="200"/>
      <c r="B354" s="200"/>
    </row>
    <row r="355">
      <c r="A355" s="200"/>
      <c r="B355" s="200"/>
    </row>
    <row r="356">
      <c r="A356" s="200"/>
      <c r="B356" s="200"/>
    </row>
    <row r="357">
      <c r="A357" s="200"/>
      <c r="B357" s="200"/>
    </row>
    <row r="358">
      <c r="A358" s="200"/>
      <c r="B358" s="200"/>
    </row>
    <row r="359">
      <c r="A359" s="200"/>
      <c r="B359" s="200"/>
    </row>
    <row r="360">
      <c r="A360" s="200"/>
      <c r="B360" s="200"/>
    </row>
    <row r="361">
      <c r="A361" s="200"/>
      <c r="B361" s="200"/>
    </row>
    <row r="362">
      <c r="A362" s="200"/>
      <c r="B362" s="200"/>
    </row>
    <row r="363">
      <c r="A363" s="200"/>
      <c r="B363" s="200"/>
    </row>
    <row r="364">
      <c r="A364" s="200"/>
      <c r="B364" s="200"/>
    </row>
    <row r="365">
      <c r="A365" s="200"/>
      <c r="B365" s="200"/>
    </row>
    <row r="366">
      <c r="A366" s="200"/>
      <c r="B366" s="200"/>
    </row>
    <row r="367">
      <c r="A367" s="200"/>
      <c r="B367" s="200"/>
    </row>
    <row r="368">
      <c r="A368" s="200"/>
      <c r="B368" s="200"/>
    </row>
    <row r="369">
      <c r="A369" s="200"/>
      <c r="B369" s="200"/>
    </row>
    <row r="370">
      <c r="A370" s="200"/>
      <c r="B370" s="200"/>
    </row>
    <row r="371">
      <c r="A371" s="200"/>
      <c r="B371" s="200"/>
    </row>
    <row r="372">
      <c r="A372" s="200"/>
      <c r="B372" s="200"/>
    </row>
    <row r="373">
      <c r="A373" s="200"/>
      <c r="B373" s="200"/>
    </row>
    <row r="374">
      <c r="A374" s="200"/>
      <c r="B374" s="200"/>
    </row>
    <row r="375">
      <c r="A375" s="200"/>
      <c r="B375" s="200"/>
    </row>
    <row r="376">
      <c r="A376" s="200"/>
      <c r="B376" s="200"/>
    </row>
    <row r="377">
      <c r="A377" s="200"/>
      <c r="B377" s="200"/>
    </row>
    <row r="378">
      <c r="A378" s="200"/>
      <c r="B378" s="200"/>
    </row>
    <row r="379">
      <c r="A379" s="200"/>
      <c r="B379" s="200"/>
    </row>
    <row r="380">
      <c r="A380" s="200"/>
      <c r="B380" s="200"/>
    </row>
    <row r="381">
      <c r="A381" s="200"/>
      <c r="B381" s="200"/>
    </row>
    <row r="382">
      <c r="A382" s="200"/>
      <c r="B382" s="200"/>
    </row>
    <row r="383">
      <c r="A383" s="200"/>
      <c r="B383" s="200"/>
    </row>
    <row r="384">
      <c r="A384" s="200"/>
      <c r="B384" s="200"/>
    </row>
    <row r="385">
      <c r="A385" s="200"/>
      <c r="B385" s="200"/>
    </row>
    <row r="386">
      <c r="A386" s="200"/>
      <c r="B386" s="200"/>
    </row>
    <row r="387">
      <c r="A387" s="200"/>
      <c r="B387" s="200"/>
    </row>
    <row r="388">
      <c r="A388" s="200"/>
      <c r="B388" s="200"/>
    </row>
    <row r="389">
      <c r="A389" s="200"/>
      <c r="B389" s="200"/>
    </row>
    <row r="390">
      <c r="A390" s="200"/>
      <c r="B390" s="200"/>
    </row>
    <row r="391">
      <c r="A391" s="200"/>
      <c r="B391" s="200"/>
    </row>
    <row r="392">
      <c r="A392" s="200"/>
      <c r="B392" s="200"/>
    </row>
    <row r="393">
      <c r="A393" s="200"/>
      <c r="B393" s="200"/>
    </row>
    <row r="394">
      <c r="A394" s="200"/>
      <c r="B394" s="200"/>
    </row>
    <row r="395">
      <c r="A395" s="200"/>
      <c r="B395" s="200"/>
    </row>
    <row r="396">
      <c r="A396" s="200"/>
      <c r="B396" s="200"/>
    </row>
    <row r="397">
      <c r="A397" s="200"/>
      <c r="B397" s="200"/>
    </row>
    <row r="398">
      <c r="A398" s="200"/>
      <c r="B398" s="200"/>
    </row>
    <row r="399">
      <c r="A399" s="200"/>
      <c r="B399" s="200"/>
    </row>
    <row r="400">
      <c r="A400" s="200"/>
      <c r="B400" s="200"/>
    </row>
    <row r="401">
      <c r="A401" s="200"/>
      <c r="B401" s="200"/>
    </row>
    <row r="402">
      <c r="A402" s="200"/>
      <c r="B402" s="200"/>
    </row>
    <row r="403">
      <c r="A403" s="200"/>
      <c r="B403" s="200"/>
    </row>
    <row r="404">
      <c r="A404" s="200"/>
      <c r="B404" s="200"/>
    </row>
    <row r="405">
      <c r="A405" s="200"/>
      <c r="B405" s="200"/>
    </row>
    <row r="406">
      <c r="A406" s="200"/>
      <c r="B406" s="200"/>
    </row>
    <row r="407">
      <c r="A407" s="200"/>
      <c r="B407" s="200"/>
    </row>
    <row r="408">
      <c r="A408" s="200"/>
      <c r="B408" s="200"/>
    </row>
    <row r="409">
      <c r="A409" s="200"/>
      <c r="B409" s="200"/>
    </row>
    <row r="410">
      <c r="A410" s="200"/>
      <c r="B410" s="200"/>
    </row>
    <row r="411">
      <c r="A411" s="200"/>
      <c r="B411" s="200"/>
    </row>
    <row r="412">
      <c r="A412" s="200"/>
      <c r="B412" s="200"/>
    </row>
    <row r="413">
      <c r="A413" s="200"/>
      <c r="B413" s="200"/>
    </row>
    <row r="414">
      <c r="A414" s="200"/>
      <c r="B414" s="200"/>
    </row>
    <row r="415">
      <c r="A415" s="200"/>
      <c r="B415" s="200"/>
    </row>
    <row r="416">
      <c r="A416" s="200"/>
      <c r="B416" s="200"/>
    </row>
    <row r="417">
      <c r="A417" s="200"/>
      <c r="B417" s="200"/>
    </row>
    <row r="418">
      <c r="A418" s="200"/>
      <c r="B418" s="200"/>
    </row>
    <row r="419">
      <c r="A419" s="200"/>
      <c r="B419" s="200"/>
    </row>
    <row r="420">
      <c r="A420" s="200"/>
      <c r="B420" s="200"/>
    </row>
    <row r="421">
      <c r="A421" s="200"/>
      <c r="B421" s="200"/>
    </row>
    <row r="422">
      <c r="A422" s="200"/>
      <c r="B422" s="200"/>
    </row>
    <row r="423">
      <c r="A423" s="200"/>
      <c r="B423" s="200"/>
    </row>
    <row r="424">
      <c r="A424" s="200"/>
      <c r="B424" s="200"/>
    </row>
    <row r="425">
      <c r="A425" s="200"/>
      <c r="B425" s="200"/>
    </row>
    <row r="426">
      <c r="A426" s="200"/>
      <c r="B426" s="200"/>
    </row>
    <row r="427">
      <c r="A427" s="200"/>
      <c r="B427" s="200"/>
    </row>
    <row r="428">
      <c r="A428" s="200"/>
      <c r="B428" s="200"/>
    </row>
    <row r="429">
      <c r="A429" s="200"/>
      <c r="B429" s="200"/>
    </row>
    <row r="430">
      <c r="A430" s="200"/>
      <c r="B430" s="200"/>
    </row>
    <row r="431">
      <c r="A431" s="200"/>
      <c r="B431" s="200"/>
    </row>
    <row r="432">
      <c r="A432" s="200"/>
      <c r="B432" s="200"/>
    </row>
    <row r="433">
      <c r="A433" s="200"/>
      <c r="B433" s="200"/>
    </row>
    <row r="434">
      <c r="A434" s="200"/>
      <c r="B434" s="200"/>
    </row>
    <row r="435">
      <c r="A435" s="200"/>
      <c r="B435" s="200"/>
    </row>
    <row r="436">
      <c r="A436" s="200"/>
      <c r="B436" s="200"/>
    </row>
    <row r="437">
      <c r="A437" s="200"/>
      <c r="B437" s="200"/>
    </row>
    <row r="438">
      <c r="A438" s="200"/>
      <c r="B438" s="200"/>
    </row>
    <row r="439">
      <c r="A439" s="200"/>
      <c r="B439" s="200"/>
    </row>
    <row r="440">
      <c r="A440" s="200"/>
      <c r="B440" s="200"/>
    </row>
    <row r="441">
      <c r="A441" s="200"/>
      <c r="B441" s="200"/>
    </row>
    <row r="442">
      <c r="A442" s="200"/>
      <c r="B442" s="200"/>
    </row>
    <row r="443">
      <c r="A443" s="200"/>
      <c r="B443" s="200"/>
    </row>
    <row r="444">
      <c r="A444" s="200"/>
      <c r="B444" s="200"/>
    </row>
    <row r="445">
      <c r="A445" s="200"/>
      <c r="B445" s="200"/>
    </row>
    <row r="446">
      <c r="A446" s="200"/>
      <c r="B446" s="200"/>
    </row>
    <row r="447">
      <c r="A447" s="200"/>
      <c r="B447" s="200"/>
    </row>
    <row r="448">
      <c r="A448" s="200"/>
      <c r="B448" s="200"/>
    </row>
    <row r="449">
      <c r="A449" s="200"/>
      <c r="B449" s="200"/>
    </row>
    <row r="450">
      <c r="A450" s="200"/>
      <c r="B450" s="200"/>
    </row>
    <row r="451">
      <c r="A451" s="200"/>
      <c r="B451" s="200"/>
    </row>
    <row r="452">
      <c r="A452" s="200"/>
      <c r="B452" s="200"/>
    </row>
    <row r="453">
      <c r="A453" s="200"/>
      <c r="B453" s="200"/>
    </row>
    <row r="454">
      <c r="A454" s="200"/>
      <c r="B454" s="200"/>
    </row>
    <row r="455">
      <c r="A455" s="200"/>
      <c r="B455" s="200"/>
    </row>
    <row r="456">
      <c r="A456" s="200"/>
      <c r="B456" s="200"/>
    </row>
    <row r="457">
      <c r="A457" s="200"/>
      <c r="B457" s="200"/>
    </row>
    <row r="458">
      <c r="A458" s="200"/>
      <c r="B458" s="200"/>
    </row>
    <row r="459">
      <c r="A459" s="200"/>
      <c r="B459" s="200"/>
    </row>
    <row r="460">
      <c r="A460" s="200"/>
      <c r="B460" s="200"/>
    </row>
    <row r="461">
      <c r="A461" s="200"/>
      <c r="B461" s="200"/>
    </row>
    <row r="462">
      <c r="A462" s="200"/>
      <c r="B462" s="200"/>
    </row>
    <row r="463">
      <c r="A463" s="200"/>
      <c r="B463" s="200"/>
    </row>
    <row r="464">
      <c r="A464" s="200"/>
      <c r="B464" s="200"/>
    </row>
    <row r="465">
      <c r="A465" s="200"/>
      <c r="B465" s="200"/>
    </row>
    <row r="466">
      <c r="A466" s="200"/>
      <c r="B466" s="200"/>
    </row>
    <row r="467">
      <c r="A467" s="200"/>
      <c r="B467" s="200"/>
    </row>
    <row r="468">
      <c r="A468" s="200"/>
      <c r="B468" s="200"/>
    </row>
    <row r="469">
      <c r="A469" s="200"/>
      <c r="B469" s="200"/>
    </row>
    <row r="470">
      <c r="A470" s="200"/>
      <c r="B470" s="200"/>
    </row>
    <row r="471">
      <c r="A471" s="200"/>
      <c r="B471" s="200"/>
    </row>
    <row r="472">
      <c r="A472" s="200"/>
      <c r="B472" s="200"/>
    </row>
    <row r="473">
      <c r="A473" s="200"/>
      <c r="B473" s="200"/>
    </row>
    <row r="474">
      <c r="A474" s="200"/>
      <c r="B474" s="200"/>
    </row>
    <row r="475">
      <c r="A475" s="200"/>
      <c r="B475" s="200"/>
    </row>
    <row r="476">
      <c r="A476" s="200"/>
      <c r="B476" s="200"/>
    </row>
    <row r="477">
      <c r="A477" s="200"/>
      <c r="B477" s="200"/>
    </row>
    <row r="478">
      <c r="A478" s="200"/>
      <c r="B478" s="200"/>
    </row>
    <row r="479">
      <c r="A479" s="200"/>
      <c r="B479" s="200"/>
    </row>
    <row r="480">
      <c r="A480" s="200"/>
      <c r="B480" s="200"/>
    </row>
    <row r="481">
      <c r="A481" s="200"/>
      <c r="B481" s="200"/>
    </row>
    <row r="482">
      <c r="A482" s="200"/>
      <c r="B482" s="200"/>
    </row>
    <row r="483">
      <c r="A483" s="200"/>
      <c r="B483" s="200"/>
    </row>
    <row r="484">
      <c r="A484" s="200"/>
      <c r="B484" s="200"/>
    </row>
    <row r="485">
      <c r="A485" s="200"/>
      <c r="B485" s="200"/>
    </row>
    <row r="486">
      <c r="A486" s="200"/>
      <c r="B486" s="200"/>
    </row>
    <row r="487">
      <c r="A487" s="200"/>
      <c r="B487" s="200"/>
    </row>
    <row r="488">
      <c r="A488" s="200"/>
      <c r="B488" s="200"/>
    </row>
    <row r="489">
      <c r="A489" s="200"/>
      <c r="B489" s="200"/>
    </row>
    <row r="490">
      <c r="A490" s="200"/>
      <c r="B490" s="200"/>
    </row>
    <row r="491">
      <c r="A491" s="200"/>
      <c r="B491" s="200"/>
    </row>
    <row r="492">
      <c r="A492" s="200"/>
      <c r="B492" s="200"/>
    </row>
    <row r="493">
      <c r="A493" s="200"/>
      <c r="B493" s="200"/>
    </row>
    <row r="494">
      <c r="A494" s="200"/>
      <c r="B494" s="200"/>
    </row>
    <row r="495">
      <c r="A495" s="200"/>
      <c r="B495" s="200"/>
    </row>
    <row r="496">
      <c r="A496" s="200"/>
      <c r="B496" s="200"/>
    </row>
    <row r="497">
      <c r="A497" s="200"/>
      <c r="B497" s="200"/>
    </row>
    <row r="498">
      <c r="A498" s="200"/>
      <c r="B498" s="200"/>
    </row>
    <row r="499">
      <c r="A499" s="200"/>
      <c r="B499" s="200"/>
    </row>
    <row r="500">
      <c r="A500" s="200"/>
      <c r="B500" s="200"/>
    </row>
    <row r="501">
      <c r="A501" s="200"/>
      <c r="B501" s="200"/>
    </row>
    <row r="502">
      <c r="A502" s="200"/>
      <c r="B502" s="200"/>
    </row>
    <row r="503">
      <c r="A503" s="200"/>
      <c r="B503" s="200"/>
    </row>
    <row r="504">
      <c r="A504" s="200"/>
      <c r="B504" s="200"/>
    </row>
    <row r="505">
      <c r="A505" s="200"/>
      <c r="B505" s="200"/>
    </row>
    <row r="506">
      <c r="A506" s="200"/>
      <c r="B506" s="200"/>
    </row>
    <row r="507">
      <c r="A507" s="200"/>
      <c r="B507" s="200"/>
    </row>
    <row r="508">
      <c r="A508" s="200"/>
      <c r="B508" s="200"/>
    </row>
    <row r="509">
      <c r="A509" s="200"/>
      <c r="B509" s="200"/>
    </row>
    <row r="510">
      <c r="A510" s="200"/>
      <c r="B510" s="200"/>
    </row>
    <row r="511">
      <c r="A511" s="200"/>
      <c r="B511" s="200"/>
    </row>
    <row r="512">
      <c r="A512" s="200"/>
      <c r="B512" s="200"/>
    </row>
    <row r="513">
      <c r="A513" s="200"/>
      <c r="B513" s="200"/>
    </row>
    <row r="514">
      <c r="A514" s="200"/>
      <c r="B514" s="200"/>
    </row>
    <row r="515">
      <c r="A515" s="200"/>
      <c r="B515" s="200"/>
    </row>
    <row r="516">
      <c r="A516" s="200"/>
      <c r="B516" s="200"/>
    </row>
    <row r="517">
      <c r="A517" s="200"/>
      <c r="B517" s="200"/>
    </row>
    <row r="518">
      <c r="A518" s="200"/>
      <c r="B518" s="200"/>
    </row>
    <row r="519">
      <c r="A519" s="200"/>
      <c r="B519" s="200"/>
    </row>
    <row r="520">
      <c r="A520" s="200"/>
      <c r="B520" s="200"/>
    </row>
    <row r="521">
      <c r="A521" s="200"/>
      <c r="B521" s="200"/>
    </row>
    <row r="522">
      <c r="A522" s="200"/>
      <c r="B522" s="200"/>
    </row>
    <row r="523">
      <c r="A523" s="200"/>
      <c r="B523" s="200"/>
    </row>
    <row r="524">
      <c r="A524" s="200"/>
      <c r="B524" s="200"/>
    </row>
    <row r="525">
      <c r="A525" s="200"/>
      <c r="B525" s="200"/>
    </row>
    <row r="526">
      <c r="A526" s="200"/>
      <c r="B526" s="200"/>
    </row>
    <row r="527">
      <c r="A527" s="200"/>
      <c r="B527" s="200"/>
    </row>
    <row r="528">
      <c r="A528" s="200"/>
      <c r="B528" s="200"/>
    </row>
    <row r="529">
      <c r="A529" s="200"/>
      <c r="B529" s="200"/>
    </row>
    <row r="530">
      <c r="A530" s="200"/>
      <c r="B530" s="200"/>
    </row>
    <row r="531">
      <c r="A531" s="200"/>
      <c r="B531" s="200"/>
    </row>
    <row r="532">
      <c r="A532" s="200"/>
      <c r="B532" s="200"/>
    </row>
    <row r="533">
      <c r="A533" s="200"/>
      <c r="B533" s="200"/>
    </row>
    <row r="534">
      <c r="A534" s="200"/>
      <c r="B534" s="200"/>
    </row>
    <row r="535">
      <c r="A535" s="200"/>
      <c r="B535" s="200"/>
    </row>
    <row r="536">
      <c r="A536" s="200"/>
      <c r="B536" s="200"/>
    </row>
    <row r="537">
      <c r="A537" s="200"/>
      <c r="B537" s="200"/>
    </row>
    <row r="538">
      <c r="A538" s="200"/>
      <c r="B538" s="200"/>
    </row>
    <row r="539">
      <c r="A539" s="200"/>
      <c r="B539" s="200"/>
    </row>
    <row r="540">
      <c r="A540" s="200"/>
      <c r="B540" s="200"/>
    </row>
    <row r="541">
      <c r="A541" s="200"/>
      <c r="B541" s="200"/>
    </row>
    <row r="542">
      <c r="A542" s="200"/>
      <c r="B542" s="200"/>
    </row>
    <row r="543">
      <c r="A543" s="200"/>
      <c r="B543" s="200"/>
    </row>
    <row r="544">
      <c r="A544" s="200"/>
      <c r="B544" s="200"/>
    </row>
    <row r="545">
      <c r="A545" s="200"/>
      <c r="B545" s="200"/>
    </row>
    <row r="546">
      <c r="A546" s="200"/>
      <c r="B546" s="200"/>
    </row>
    <row r="547">
      <c r="A547" s="200"/>
      <c r="B547" s="200"/>
    </row>
    <row r="548">
      <c r="A548" s="200"/>
      <c r="B548" s="200"/>
    </row>
    <row r="549">
      <c r="A549" s="200"/>
      <c r="B549" s="200"/>
    </row>
    <row r="550">
      <c r="A550" s="200"/>
      <c r="B550" s="200"/>
    </row>
    <row r="551">
      <c r="A551" s="200"/>
      <c r="B551" s="200"/>
    </row>
    <row r="552">
      <c r="A552" s="200"/>
      <c r="B552" s="200"/>
    </row>
    <row r="553">
      <c r="A553" s="200"/>
      <c r="B553" s="200"/>
    </row>
    <row r="554">
      <c r="A554" s="200"/>
      <c r="B554" s="200"/>
    </row>
    <row r="555">
      <c r="A555" s="200"/>
      <c r="B555" s="200"/>
    </row>
    <row r="556">
      <c r="A556" s="200"/>
      <c r="B556" s="200"/>
    </row>
    <row r="557">
      <c r="A557" s="200"/>
      <c r="B557" s="200"/>
    </row>
    <row r="558">
      <c r="A558" s="200"/>
      <c r="B558" s="200"/>
    </row>
    <row r="559">
      <c r="A559" s="200"/>
      <c r="B559" s="200"/>
    </row>
    <row r="560">
      <c r="A560" s="200"/>
      <c r="B560" s="200"/>
    </row>
    <row r="561">
      <c r="A561" s="200"/>
      <c r="B561" s="200"/>
    </row>
    <row r="562">
      <c r="A562" s="200"/>
      <c r="B562" s="200"/>
    </row>
    <row r="563">
      <c r="A563" s="200"/>
      <c r="B563" s="200"/>
    </row>
    <row r="564">
      <c r="A564" s="200"/>
      <c r="B564" s="200"/>
    </row>
    <row r="565">
      <c r="A565" s="200"/>
      <c r="B565" s="200"/>
    </row>
    <row r="566">
      <c r="A566" s="200"/>
      <c r="B566" s="200"/>
    </row>
    <row r="567">
      <c r="A567" s="200"/>
      <c r="B567" s="200"/>
    </row>
    <row r="568">
      <c r="A568" s="200"/>
      <c r="B568" s="200"/>
    </row>
    <row r="569">
      <c r="A569" s="200"/>
      <c r="B569" s="200"/>
    </row>
    <row r="570">
      <c r="A570" s="200"/>
      <c r="B570" s="200"/>
    </row>
    <row r="571">
      <c r="A571" s="200"/>
      <c r="B571" s="200"/>
    </row>
    <row r="572">
      <c r="A572" s="200"/>
      <c r="B572" s="200"/>
    </row>
    <row r="573">
      <c r="A573" s="200"/>
      <c r="B573" s="200"/>
    </row>
    <row r="574">
      <c r="A574" s="200"/>
      <c r="B574" s="200"/>
    </row>
    <row r="575">
      <c r="A575" s="200"/>
      <c r="B575" s="200"/>
    </row>
    <row r="576">
      <c r="A576" s="200"/>
      <c r="B576" s="200"/>
    </row>
    <row r="577">
      <c r="A577" s="200"/>
      <c r="B577" s="200"/>
    </row>
    <row r="578">
      <c r="A578" s="200"/>
      <c r="B578" s="200"/>
    </row>
    <row r="579">
      <c r="A579" s="200"/>
      <c r="B579" s="200"/>
    </row>
    <row r="580">
      <c r="A580" s="200"/>
      <c r="B580" s="200"/>
    </row>
    <row r="581">
      <c r="A581" s="200"/>
      <c r="B581" s="200"/>
    </row>
    <row r="582">
      <c r="A582" s="200"/>
      <c r="B582" s="200"/>
    </row>
    <row r="583">
      <c r="A583" s="200"/>
      <c r="B583" s="200"/>
    </row>
    <row r="584">
      <c r="A584" s="200"/>
      <c r="B584" s="200"/>
    </row>
    <row r="585">
      <c r="A585" s="200"/>
      <c r="B585" s="200"/>
    </row>
    <row r="586">
      <c r="A586" s="200"/>
      <c r="B586" s="200"/>
    </row>
    <row r="587">
      <c r="A587" s="200"/>
      <c r="B587" s="200"/>
    </row>
    <row r="588">
      <c r="A588" s="200"/>
      <c r="B588" s="200"/>
    </row>
    <row r="589">
      <c r="A589" s="200"/>
      <c r="B589" s="200"/>
    </row>
    <row r="590">
      <c r="A590" s="200"/>
      <c r="B590" s="200"/>
    </row>
    <row r="591">
      <c r="A591" s="200"/>
      <c r="B591" s="200"/>
    </row>
    <row r="592">
      <c r="A592" s="200"/>
      <c r="B592" s="200"/>
    </row>
    <row r="593">
      <c r="A593" s="200"/>
      <c r="B593" s="200"/>
    </row>
    <row r="594">
      <c r="A594" s="200"/>
      <c r="B594" s="200"/>
    </row>
    <row r="595">
      <c r="A595" s="200"/>
      <c r="B595" s="200"/>
    </row>
    <row r="596">
      <c r="A596" s="200"/>
      <c r="B596" s="200"/>
    </row>
    <row r="597">
      <c r="A597" s="200"/>
      <c r="B597" s="200"/>
    </row>
    <row r="598">
      <c r="A598" s="200"/>
      <c r="B598" s="200"/>
    </row>
    <row r="599">
      <c r="A599" s="200"/>
      <c r="B599" s="200"/>
    </row>
    <row r="600">
      <c r="A600" s="200"/>
      <c r="B600" s="200"/>
    </row>
    <row r="601">
      <c r="A601" s="200"/>
      <c r="B601" s="200"/>
    </row>
    <row r="602">
      <c r="A602" s="200"/>
      <c r="B602" s="200"/>
    </row>
    <row r="603">
      <c r="A603" s="200"/>
      <c r="B603" s="200"/>
    </row>
    <row r="604">
      <c r="A604" s="200"/>
      <c r="B604" s="200"/>
    </row>
    <row r="605">
      <c r="A605" s="200"/>
      <c r="B605" s="200"/>
    </row>
    <row r="606">
      <c r="A606" s="200"/>
      <c r="B606" s="200"/>
    </row>
    <row r="607">
      <c r="A607" s="200"/>
      <c r="B607" s="200"/>
    </row>
    <row r="608">
      <c r="A608" s="200"/>
      <c r="B608" s="200"/>
    </row>
    <row r="609">
      <c r="A609" s="200"/>
      <c r="B609" s="200"/>
    </row>
    <row r="610">
      <c r="A610" s="200"/>
      <c r="B610" s="200"/>
    </row>
    <row r="611">
      <c r="A611" s="200"/>
      <c r="B611" s="200"/>
    </row>
    <row r="612">
      <c r="A612" s="200"/>
      <c r="B612" s="200"/>
    </row>
    <row r="613">
      <c r="A613" s="200"/>
      <c r="B613" s="200"/>
    </row>
    <row r="614">
      <c r="A614" s="200"/>
      <c r="B614" s="200"/>
    </row>
    <row r="615">
      <c r="A615" s="200"/>
      <c r="B615" s="200"/>
    </row>
    <row r="616">
      <c r="A616" s="200"/>
      <c r="B616" s="200"/>
    </row>
    <row r="617">
      <c r="A617" s="200"/>
      <c r="B617" s="200"/>
    </row>
    <row r="618">
      <c r="A618" s="200"/>
      <c r="B618" s="200"/>
    </row>
    <row r="619">
      <c r="A619" s="200"/>
      <c r="B619" s="200"/>
    </row>
    <row r="620">
      <c r="A620" s="200"/>
      <c r="B620" s="200"/>
    </row>
    <row r="621">
      <c r="A621" s="200"/>
      <c r="B621" s="200"/>
    </row>
    <row r="622">
      <c r="A622" s="200"/>
      <c r="B622" s="200"/>
    </row>
    <row r="623">
      <c r="A623" s="200"/>
      <c r="B623" s="200"/>
    </row>
    <row r="624">
      <c r="A624" s="200"/>
      <c r="B624" s="200"/>
    </row>
    <row r="625">
      <c r="A625" s="200"/>
      <c r="B625" s="200"/>
    </row>
    <row r="626">
      <c r="A626" s="200"/>
      <c r="B626" s="200"/>
    </row>
    <row r="627">
      <c r="A627" s="200"/>
      <c r="B627" s="200"/>
    </row>
    <row r="628">
      <c r="A628" s="200"/>
      <c r="B628" s="200"/>
    </row>
    <row r="629">
      <c r="A629" s="200"/>
      <c r="B629" s="200"/>
    </row>
    <row r="630">
      <c r="A630" s="200"/>
      <c r="B630" s="200"/>
    </row>
    <row r="631">
      <c r="A631" s="200"/>
      <c r="B631" s="200"/>
    </row>
    <row r="632">
      <c r="A632" s="200"/>
      <c r="B632" s="200"/>
    </row>
    <row r="633">
      <c r="A633" s="200"/>
      <c r="B633" s="200"/>
    </row>
    <row r="634">
      <c r="A634" s="200"/>
      <c r="B634" s="200"/>
    </row>
    <row r="635">
      <c r="A635" s="200"/>
      <c r="B635" s="200"/>
    </row>
    <row r="636">
      <c r="A636" s="200"/>
      <c r="B636" s="200"/>
    </row>
    <row r="637">
      <c r="A637" s="200"/>
      <c r="B637" s="200"/>
    </row>
    <row r="638">
      <c r="A638" s="200"/>
      <c r="B638" s="200"/>
    </row>
    <row r="639">
      <c r="A639" s="200"/>
      <c r="B639" s="200"/>
    </row>
    <row r="640">
      <c r="A640" s="200"/>
      <c r="B640" s="200"/>
    </row>
    <row r="641">
      <c r="A641" s="200"/>
      <c r="B641" s="200"/>
    </row>
    <row r="642">
      <c r="A642" s="200"/>
      <c r="B642" s="200"/>
    </row>
    <row r="643">
      <c r="A643" s="200"/>
      <c r="B643" s="200"/>
    </row>
    <row r="644">
      <c r="A644" s="200"/>
      <c r="B644" s="200"/>
    </row>
    <row r="645">
      <c r="A645" s="200"/>
      <c r="B645" s="200"/>
    </row>
    <row r="646">
      <c r="A646" s="200"/>
      <c r="B646" s="200"/>
    </row>
    <row r="647">
      <c r="A647" s="200"/>
      <c r="B647" s="200"/>
    </row>
    <row r="648">
      <c r="A648" s="200"/>
      <c r="B648" s="200"/>
    </row>
    <row r="649">
      <c r="A649" s="200"/>
      <c r="B649" s="200"/>
    </row>
    <row r="650">
      <c r="A650" s="200"/>
      <c r="B650" s="200"/>
    </row>
    <row r="651">
      <c r="A651" s="200"/>
      <c r="B651" s="200"/>
    </row>
    <row r="652">
      <c r="A652" s="200"/>
      <c r="B652" s="200"/>
    </row>
    <row r="653">
      <c r="A653" s="200"/>
      <c r="B653" s="200"/>
    </row>
    <row r="654">
      <c r="A654" s="200"/>
      <c r="B654" s="200"/>
    </row>
    <row r="655">
      <c r="A655" s="200"/>
      <c r="B655" s="200"/>
    </row>
    <row r="656">
      <c r="A656" s="200"/>
      <c r="B656" s="200"/>
    </row>
    <row r="657">
      <c r="A657" s="200"/>
      <c r="B657" s="200"/>
    </row>
    <row r="658">
      <c r="A658" s="200"/>
      <c r="B658" s="200"/>
    </row>
    <row r="659">
      <c r="A659" s="200"/>
      <c r="B659" s="200"/>
    </row>
    <row r="660">
      <c r="A660" s="200"/>
      <c r="B660" s="200"/>
    </row>
    <row r="661">
      <c r="A661" s="200"/>
      <c r="B661" s="200"/>
    </row>
    <row r="662">
      <c r="A662" s="200"/>
      <c r="B662" s="200"/>
    </row>
    <row r="663">
      <c r="A663" s="200"/>
      <c r="B663" s="200"/>
    </row>
    <row r="664">
      <c r="A664" s="200"/>
      <c r="B664" s="200"/>
    </row>
    <row r="665">
      <c r="A665" s="200"/>
      <c r="B665" s="200"/>
    </row>
    <row r="666">
      <c r="A666" s="200"/>
      <c r="B666" s="200"/>
    </row>
    <row r="667">
      <c r="A667" s="200"/>
      <c r="B667" s="200"/>
    </row>
    <row r="668">
      <c r="A668" s="200"/>
      <c r="B668" s="200"/>
    </row>
    <row r="669">
      <c r="A669" s="200"/>
      <c r="B669" s="200"/>
    </row>
    <row r="670">
      <c r="A670" s="200"/>
      <c r="B670" s="200"/>
    </row>
    <row r="671">
      <c r="A671" s="200"/>
      <c r="B671" s="200"/>
    </row>
    <row r="672">
      <c r="A672" s="200"/>
      <c r="B672" s="200"/>
    </row>
    <row r="673">
      <c r="A673" s="200"/>
      <c r="B673" s="200"/>
    </row>
    <row r="674">
      <c r="A674" s="200"/>
      <c r="B674" s="200"/>
    </row>
    <row r="675">
      <c r="A675" s="200"/>
      <c r="B675" s="200"/>
    </row>
    <row r="676">
      <c r="A676" s="200"/>
      <c r="B676" s="200"/>
    </row>
    <row r="677">
      <c r="A677" s="200"/>
      <c r="B677" s="200"/>
    </row>
    <row r="678">
      <c r="A678" s="200"/>
      <c r="B678" s="200"/>
    </row>
    <row r="679">
      <c r="A679" s="200"/>
      <c r="B679" s="200"/>
    </row>
    <row r="680">
      <c r="A680" s="200"/>
      <c r="B680" s="200"/>
    </row>
    <row r="681">
      <c r="A681" s="200"/>
      <c r="B681" s="200"/>
    </row>
    <row r="682">
      <c r="A682" s="200"/>
      <c r="B682" s="200"/>
    </row>
    <row r="683">
      <c r="A683" s="200"/>
      <c r="B683" s="200"/>
    </row>
    <row r="684">
      <c r="A684" s="200"/>
      <c r="B684" s="200"/>
    </row>
    <row r="685">
      <c r="A685" s="200"/>
      <c r="B685" s="200"/>
    </row>
    <row r="686">
      <c r="A686" s="200"/>
      <c r="B686" s="200"/>
    </row>
    <row r="687">
      <c r="A687" s="200"/>
      <c r="B687" s="200"/>
    </row>
    <row r="688">
      <c r="A688" s="200"/>
      <c r="B688" s="200"/>
    </row>
    <row r="689">
      <c r="A689" s="200"/>
      <c r="B689" s="200"/>
    </row>
    <row r="690">
      <c r="A690" s="200"/>
      <c r="B690" s="200"/>
    </row>
    <row r="691">
      <c r="A691" s="200"/>
      <c r="B691" s="200"/>
    </row>
    <row r="692">
      <c r="A692" s="200"/>
      <c r="B692" s="200"/>
    </row>
    <row r="693">
      <c r="A693" s="200"/>
      <c r="B693" s="200"/>
    </row>
    <row r="694">
      <c r="A694" s="200"/>
      <c r="B694" s="200"/>
    </row>
    <row r="695">
      <c r="A695" s="200"/>
      <c r="B695" s="200"/>
    </row>
    <row r="696">
      <c r="A696" s="200"/>
      <c r="B696" s="200"/>
    </row>
    <row r="697">
      <c r="A697" s="200"/>
      <c r="B697" s="200"/>
    </row>
    <row r="698">
      <c r="A698" s="200"/>
      <c r="B698" s="200"/>
    </row>
    <row r="699">
      <c r="A699" s="200"/>
      <c r="B699" s="200"/>
    </row>
    <row r="700">
      <c r="A700" s="200"/>
      <c r="B700" s="200"/>
    </row>
    <row r="701">
      <c r="A701" s="200"/>
      <c r="B701" s="200"/>
    </row>
    <row r="702">
      <c r="A702" s="200"/>
      <c r="B702" s="200"/>
    </row>
    <row r="703">
      <c r="A703" s="200"/>
      <c r="B703" s="200"/>
    </row>
    <row r="704">
      <c r="A704" s="200"/>
      <c r="B704" s="200"/>
    </row>
    <row r="705">
      <c r="A705" s="200"/>
      <c r="B705" s="200"/>
    </row>
    <row r="706">
      <c r="A706" s="200"/>
      <c r="B706" s="200"/>
    </row>
    <row r="707">
      <c r="A707" s="200"/>
      <c r="B707" s="200"/>
    </row>
    <row r="708">
      <c r="A708" s="200"/>
      <c r="B708" s="200"/>
    </row>
    <row r="709">
      <c r="A709" s="200"/>
      <c r="B709" s="200"/>
    </row>
    <row r="710">
      <c r="A710" s="200"/>
      <c r="B710" s="200"/>
    </row>
    <row r="711">
      <c r="A711" s="200"/>
      <c r="B711" s="200"/>
    </row>
    <row r="712">
      <c r="A712" s="200"/>
      <c r="B712" s="200"/>
    </row>
    <row r="713">
      <c r="A713" s="200"/>
      <c r="B713" s="200"/>
    </row>
    <row r="714">
      <c r="A714" s="200"/>
      <c r="B714" s="200"/>
    </row>
    <row r="715">
      <c r="A715" s="200"/>
      <c r="B715" s="200"/>
    </row>
    <row r="716">
      <c r="A716" s="200"/>
      <c r="B716" s="200"/>
    </row>
    <row r="717">
      <c r="A717" s="200"/>
      <c r="B717" s="200"/>
    </row>
    <row r="718">
      <c r="A718" s="200"/>
      <c r="B718" s="200"/>
    </row>
    <row r="719">
      <c r="A719" s="200"/>
      <c r="B719" s="200"/>
    </row>
    <row r="720">
      <c r="A720" s="200"/>
      <c r="B720" s="200"/>
    </row>
    <row r="721">
      <c r="A721" s="200"/>
      <c r="B721" s="200"/>
    </row>
    <row r="722">
      <c r="A722" s="200"/>
      <c r="B722" s="200"/>
    </row>
    <row r="723">
      <c r="A723" s="200"/>
      <c r="B723" s="200"/>
    </row>
    <row r="724">
      <c r="A724" s="200"/>
      <c r="B724" s="200"/>
    </row>
    <row r="725">
      <c r="A725" s="200"/>
      <c r="B725" s="200"/>
    </row>
    <row r="726">
      <c r="A726" s="200"/>
      <c r="B726" s="200"/>
    </row>
    <row r="727">
      <c r="A727" s="200"/>
      <c r="B727" s="200"/>
    </row>
    <row r="728">
      <c r="A728" s="200"/>
      <c r="B728" s="200"/>
    </row>
    <row r="729">
      <c r="A729" s="200"/>
      <c r="B729" s="200"/>
    </row>
    <row r="730">
      <c r="A730" s="200"/>
      <c r="B730" s="200"/>
    </row>
    <row r="731">
      <c r="A731" s="200"/>
      <c r="B731" s="200"/>
    </row>
    <row r="732">
      <c r="A732" s="200"/>
      <c r="B732" s="200"/>
    </row>
    <row r="733">
      <c r="A733" s="200"/>
      <c r="B733" s="200"/>
    </row>
    <row r="734">
      <c r="A734" s="200"/>
      <c r="B734" s="200"/>
    </row>
    <row r="735">
      <c r="A735" s="200"/>
      <c r="B735" s="200"/>
    </row>
    <row r="736">
      <c r="A736" s="200"/>
      <c r="B736" s="200"/>
    </row>
    <row r="737">
      <c r="A737" s="200"/>
      <c r="B737" s="200"/>
    </row>
    <row r="738">
      <c r="A738" s="200"/>
      <c r="B738" s="200"/>
    </row>
    <row r="739">
      <c r="A739" s="200"/>
      <c r="B739" s="200"/>
    </row>
    <row r="740">
      <c r="A740" s="200"/>
      <c r="B740" s="200"/>
    </row>
    <row r="741">
      <c r="A741" s="200"/>
      <c r="B741" s="200"/>
    </row>
    <row r="742">
      <c r="A742" s="200"/>
      <c r="B742" s="200"/>
    </row>
    <row r="743">
      <c r="A743" s="200"/>
      <c r="B743" s="200"/>
    </row>
    <row r="744">
      <c r="A744" s="200"/>
      <c r="B744" s="200"/>
    </row>
    <row r="745">
      <c r="A745" s="200"/>
      <c r="B745" s="200"/>
    </row>
    <row r="746">
      <c r="A746" s="200"/>
      <c r="B746" s="200"/>
    </row>
    <row r="747">
      <c r="A747" s="200"/>
      <c r="B747" s="200"/>
    </row>
    <row r="748">
      <c r="A748" s="200"/>
      <c r="B748" s="200"/>
    </row>
    <row r="749">
      <c r="A749" s="200"/>
      <c r="B749" s="200"/>
    </row>
    <row r="750">
      <c r="A750" s="200"/>
      <c r="B750" s="200"/>
    </row>
    <row r="751">
      <c r="A751" s="200"/>
      <c r="B751" s="200"/>
    </row>
    <row r="752">
      <c r="A752" s="200"/>
      <c r="B752" s="200"/>
    </row>
    <row r="753">
      <c r="A753" s="200"/>
      <c r="B753" s="200"/>
    </row>
    <row r="754">
      <c r="A754" s="200"/>
      <c r="B754" s="200"/>
    </row>
    <row r="755">
      <c r="A755" s="200"/>
      <c r="B755" s="200"/>
    </row>
    <row r="756">
      <c r="A756" s="200"/>
      <c r="B756" s="200"/>
    </row>
    <row r="757">
      <c r="A757" s="200"/>
      <c r="B757" s="200"/>
    </row>
    <row r="758">
      <c r="A758" s="200"/>
      <c r="B758" s="200"/>
    </row>
    <row r="759">
      <c r="A759" s="200"/>
      <c r="B759" s="200"/>
    </row>
    <row r="760">
      <c r="A760" s="200"/>
      <c r="B760" s="200"/>
    </row>
    <row r="761">
      <c r="A761" s="200"/>
      <c r="B761" s="200"/>
    </row>
    <row r="762">
      <c r="A762" s="200"/>
      <c r="B762" s="200"/>
    </row>
    <row r="763">
      <c r="A763" s="200"/>
      <c r="B763" s="200"/>
    </row>
    <row r="764">
      <c r="A764" s="200"/>
      <c r="B764" s="200"/>
    </row>
    <row r="765">
      <c r="A765" s="200"/>
      <c r="B765" s="200"/>
    </row>
    <row r="766">
      <c r="A766" s="200"/>
      <c r="B766" s="200"/>
    </row>
    <row r="767">
      <c r="A767" s="200"/>
      <c r="B767" s="200"/>
    </row>
    <row r="768">
      <c r="A768" s="200"/>
      <c r="B768" s="200"/>
    </row>
    <row r="769">
      <c r="A769" s="200"/>
      <c r="B769" s="200"/>
    </row>
    <row r="770">
      <c r="A770" s="200"/>
      <c r="B770" s="200"/>
    </row>
    <row r="771">
      <c r="A771" s="200"/>
      <c r="B771" s="200"/>
    </row>
    <row r="772">
      <c r="A772" s="200"/>
      <c r="B772" s="200"/>
    </row>
    <row r="773">
      <c r="A773" s="200"/>
      <c r="B773" s="200"/>
    </row>
    <row r="774">
      <c r="A774" s="200"/>
      <c r="B774" s="200"/>
    </row>
    <row r="775">
      <c r="A775" s="200"/>
      <c r="B775" s="200"/>
    </row>
    <row r="776">
      <c r="A776" s="200"/>
      <c r="B776" s="200"/>
    </row>
    <row r="777">
      <c r="A777" s="200"/>
      <c r="B777" s="200"/>
    </row>
    <row r="778">
      <c r="A778" s="200"/>
      <c r="B778" s="200"/>
    </row>
    <row r="779">
      <c r="A779" s="200"/>
      <c r="B779" s="200"/>
    </row>
    <row r="780">
      <c r="A780" s="200"/>
      <c r="B780" s="200"/>
    </row>
    <row r="781">
      <c r="A781" s="200"/>
      <c r="B781" s="200"/>
    </row>
    <row r="782">
      <c r="A782" s="200"/>
      <c r="B782" s="200"/>
    </row>
    <row r="783">
      <c r="A783" s="200"/>
      <c r="B783" s="200"/>
    </row>
    <row r="784">
      <c r="A784" s="200"/>
      <c r="B784" s="200"/>
    </row>
    <row r="785">
      <c r="A785" s="200"/>
      <c r="B785" s="200"/>
    </row>
    <row r="786">
      <c r="A786" s="200"/>
      <c r="B786" s="200"/>
    </row>
    <row r="787">
      <c r="A787" s="200"/>
      <c r="B787" s="200"/>
    </row>
    <row r="788">
      <c r="A788" s="200"/>
      <c r="B788" s="200"/>
    </row>
    <row r="789">
      <c r="A789" s="200"/>
      <c r="B789" s="200"/>
    </row>
    <row r="790">
      <c r="A790" s="200"/>
      <c r="B790" s="200"/>
    </row>
    <row r="791">
      <c r="A791" s="200"/>
      <c r="B791" s="200"/>
    </row>
    <row r="792">
      <c r="A792" s="200"/>
      <c r="B792" s="200"/>
    </row>
    <row r="793">
      <c r="A793" s="200"/>
      <c r="B793" s="200"/>
    </row>
    <row r="794">
      <c r="A794" s="200"/>
      <c r="B794" s="200"/>
    </row>
    <row r="795">
      <c r="A795" s="200"/>
      <c r="B795" s="200"/>
    </row>
    <row r="796">
      <c r="A796" s="200"/>
      <c r="B796" s="200"/>
    </row>
    <row r="797">
      <c r="A797" s="200"/>
      <c r="B797" s="200"/>
    </row>
    <row r="798">
      <c r="A798" s="200"/>
      <c r="B798" s="200"/>
    </row>
    <row r="799">
      <c r="A799" s="200"/>
      <c r="B799" s="200"/>
    </row>
    <row r="800">
      <c r="A800" s="200"/>
      <c r="B800" s="200"/>
    </row>
    <row r="801">
      <c r="A801" s="200"/>
      <c r="B801" s="200"/>
    </row>
    <row r="802">
      <c r="A802" s="200"/>
      <c r="B802" s="200"/>
    </row>
    <row r="803">
      <c r="A803" s="200"/>
      <c r="B803" s="200"/>
    </row>
    <row r="804">
      <c r="A804" s="200"/>
      <c r="B804" s="200"/>
    </row>
    <row r="805">
      <c r="A805" s="200"/>
      <c r="B805" s="200"/>
    </row>
    <row r="806">
      <c r="A806" s="200"/>
      <c r="B806" s="200"/>
    </row>
    <row r="807">
      <c r="A807" s="200"/>
      <c r="B807" s="200"/>
    </row>
    <row r="808">
      <c r="A808" s="200"/>
      <c r="B808" s="200"/>
    </row>
    <row r="809">
      <c r="A809" s="200"/>
      <c r="B809" s="200"/>
    </row>
    <row r="810">
      <c r="A810" s="200"/>
      <c r="B810" s="200"/>
    </row>
    <row r="811">
      <c r="A811" s="200"/>
      <c r="B811" s="200"/>
    </row>
    <row r="812">
      <c r="A812" s="200"/>
      <c r="B812" s="200"/>
    </row>
    <row r="813">
      <c r="A813" s="200"/>
      <c r="B813" s="200"/>
    </row>
    <row r="814">
      <c r="A814" s="200"/>
      <c r="B814" s="200"/>
    </row>
    <row r="815">
      <c r="A815" s="200"/>
      <c r="B815" s="200"/>
    </row>
    <row r="816">
      <c r="A816" s="200"/>
      <c r="B816" s="200"/>
    </row>
    <row r="817">
      <c r="A817" s="200"/>
      <c r="B817" s="200"/>
    </row>
    <row r="818">
      <c r="A818" s="200"/>
      <c r="B818" s="200"/>
    </row>
    <row r="819">
      <c r="A819" s="200"/>
      <c r="B819" s="200"/>
    </row>
    <row r="820">
      <c r="A820" s="200"/>
      <c r="B820" s="200"/>
    </row>
    <row r="821">
      <c r="A821" s="200"/>
      <c r="B821" s="200"/>
    </row>
    <row r="822">
      <c r="A822" s="200"/>
      <c r="B822" s="200"/>
    </row>
    <row r="823">
      <c r="A823" s="200"/>
      <c r="B823" s="200"/>
    </row>
    <row r="824">
      <c r="A824" s="200"/>
      <c r="B824" s="200"/>
    </row>
    <row r="825">
      <c r="A825" s="200"/>
      <c r="B825" s="200"/>
    </row>
    <row r="826">
      <c r="A826" s="200"/>
      <c r="B826" s="200"/>
    </row>
    <row r="827">
      <c r="A827" s="200"/>
      <c r="B827" s="200"/>
    </row>
    <row r="828">
      <c r="A828" s="200"/>
      <c r="B828" s="200"/>
    </row>
    <row r="829">
      <c r="A829" s="200"/>
      <c r="B829" s="200"/>
    </row>
    <row r="830">
      <c r="A830" s="200"/>
      <c r="B830" s="200"/>
    </row>
    <row r="831">
      <c r="A831" s="200"/>
      <c r="B831" s="200"/>
    </row>
    <row r="832">
      <c r="A832" s="200"/>
      <c r="B832" s="200"/>
    </row>
    <row r="833">
      <c r="A833" s="200"/>
      <c r="B833" s="200"/>
    </row>
    <row r="834">
      <c r="A834" s="200"/>
      <c r="B834" s="200"/>
    </row>
    <row r="835">
      <c r="A835" s="200"/>
      <c r="B835" s="200"/>
    </row>
    <row r="836">
      <c r="A836" s="200"/>
      <c r="B836" s="200"/>
    </row>
    <row r="837">
      <c r="A837" s="200"/>
      <c r="B837" s="200"/>
    </row>
    <row r="838">
      <c r="A838" s="200"/>
      <c r="B838" s="200"/>
    </row>
    <row r="839">
      <c r="A839" s="200"/>
      <c r="B839" s="200"/>
    </row>
    <row r="840">
      <c r="A840" s="200"/>
      <c r="B840" s="200"/>
    </row>
    <row r="841">
      <c r="A841" s="200"/>
      <c r="B841" s="200"/>
    </row>
    <row r="842">
      <c r="A842" s="200"/>
      <c r="B842" s="200"/>
    </row>
    <row r="843">
      <c r="A843" s="200"/>
      <c r="B843" s="200"/>
    </row>
    <row r="844">
      <c r="A844" s="200"/>
      <c r="B844" s="200"/>
    </row>
    <row r="845">
      <c r="A845" s="200"/>
      <c r="B845" s="200"/>
    </row>
    <row r="846">
      <c r="A846" s="200"/>
      <c r="B846" s="200"/>
    </row>
    <row r="847">
      <c r="A847" s="200"/>
      <c r="B847" s="200"/>
    </row>
    <row r="848">
      <c r="A848" s="200"/>
      <c r="B848" s="200"/>
    </row>
    <row r="849">
      <c r="A849" s="200"/>
      <c r="B849" s="200"/>
    </row>
    <row r="850">
      <c r="A850" s="200"/>
      <c r="B850" s="200"/>
    </row>
    <row r="851">
      <c r="A851" s="200"/>
      <c r="B851" s="200"/>
    </row>
    <row r="852">
      <c r="A852" s="200"/>
      <c r="B852" s="200"/>
    </row>
    <row r="853">
      <c r="A853" s="200"/>
      <c r="B853" s="200"/>
    </row>
    <row r="854">
      <c r="A854" s="200"/>
      <c r="B854" s="200"/>
    </row>
    <row r="855">
      <c r="A855" s="200"/>
      <c r="B855" s="200"/>
    </row>
    <row r="856">
      <c r="A856" s="200"/>
      <c r="B856" s="200"/>
    </row>
    <row r="857">
      <c r="A857" s="200"/>
      <c r="B857" s="200"/>
    </row>
    <row r="858">
      <c r="A858" s="200"/>
      <c r="B858" s="200"/>
    </row>
    <row r="859">
      <c r="A859" s="200"/>
      <c r="B859" s="200"/>
    </row>
    <row r="860">
      <c r="A860" s="200"/>
      <c r="B860" s="200"/>
    </row>
    <row r="861">
      <c r="A861" s="200"/>
      <c r="B861" s="200"/>
    </row>
    <row r="862">
      <c r="A862" s="200"/>
      <c r="B862" s="200"/>
    </row>
    <row r="863">
      <c r="A863" s="200"/>
      <c r="B863" s="200"/>
    </row>
    <row r="864">
      <c r="A864" s="200"/>
      <c r="B864" s="200"/>
    </row>
    <row r="865">
      <c r="A865" s="200"/>
      <c r="B865" s="200"/>
    </row>
    <row r="866">
      <c r="A866" s="200"/>
      <c r="B866" s="200"/>
    </row>
    <row r="867">
      <c r="A867" s="200"/>
      <c r="B867" s="200"/>
    </row>
    <row r="868">
      <c r="A868" s="200"/>
      <c r="B868" s="200"/>
    </row>
    <row r="869">
      <c r="A869" s="200"/>
      <c r="B869" s="200"/>
    </row>
    <row r="870">
      <c r="A870" s="200"/>
      <c r="B870" s="200"/>
    </row>
    <row r="871">
      <c r="A871" s="200"/>
      <c r="B871" s="200"/>
    </row>
    <row r="872">
      <c r="A872" s="200"/>
      <c r="B872" s="200"/>
    </row>
    <row r="873">
      <c r="A873" s="200"/>
      <c r="B873" s="200"/>
    </row>
    <row r="874">
      <c r="A874" s="200"/>
      <c r="B874" s="200"/>
    </row>
    <row r="875">
      <c r="A875" s="200"/>
      <c r="B875" s="200"/>
    </row>
    <row r="876">
      <c r="A876" s="200"/>
      <c r="B876" s="200"/>
    </row>
    <row r="877">
      <c r="A877" s="200"/>
      <c r="B877" s="200"/>
    </row>
    <row r="878">
      <c r="A878" s="200"/>
      <c r="B878" s="200"/>
    </row>
    <row r="879">
      <c r="A879" s="200"/>
      <c r="B879" s="200"/>
    </row>
    <row r="880">
      <c r="A880" s="200"/>
      <c r="B880" s="200"/>
    </row>
    <row r="881">
      <c r="A881" s="200"/>
      <c r="B881" s="200"/>
    </row>
    <row r="882">
      <c r="A882" s="200"/>
      <c r="B882" s="200"/>
    </row>
    <row r="883">
      <c r="A883" s="200"/>
      <c r="B883" s="200"/>
    </row>
    <row r="884">
      <c r="A884" s="200"/>
      <c r="B884" s="200"/>
    </row>
    <row r="885">
      <c r="A885" s="200"/>
      <c r="B885" s="200"/>
    </row>
    <row r="886">
      <c r="A886" s="200"/>
      <c r="B886" s="200"/>
    </row>
    <row r="887">
      <c r="A887" s="200"/>
      <c r="B887" s="200"/>
    </row>
    <row r="888">
      <c r="A888" s="200"/>
      <c r="B888" s="200"/>
    </row>
    <row r="889">
      <c r="A889" s="200"/>
      <c r="B889" s="200"/>
    </row>
    <row r="890">
      <c r="A890" s="200"/>
      <c r="B890" s="200"/>
    </row>
    <row r="891">
      <c r="A891" s="200"/>
      <c r="B891" s="200"/>
    </row>
    <row r="892">
      <c r="A892" s="200"/>
      <c r="B892" s="200"/>
    </row>
    <row r="893">
      <c r="A893" s="200"/>
      <c r="B893" s="200"/>
    </row>
    <row r="894">
      <c r="A894" s="200"/>
      <c r="B894" s="200"/>
    </row>
    <row r="895">
      <c r="A895" s="200"/>
      <c r="B895" s="200"/>
    </row>
    <row r="896">
      <c r="A896" s="200"/>
      <c r="B896" s="200"/>
    </row>
    <row r="897">
      <c r="A897" s="200"/>
      <c r="B897" s="200"/>
    </row>
    <row r="898">
      <c r="A898" s="200"/>
      <c r="B898" s="200"/>
    </row>
    <row r="899">
      <c r="A899" s="200"/>
      <c r="B899" s="200"/>
    </row>
    <row r="900">
      <c r="A900" s="200"/>
      <c r="B900" s="200"/>
    </row>
    <row r="901">
      <c r="A901" s="200"/>
      <c r="B901" s="200"/>
    </row>
    <row r="902">
      <c r="A902" s="200"/>
      <c r="B902" s="200"/>
    </row>
    <row r="903">
      <c r="A903" s="200"/>
      <c r="B903" s="200"/>
    </row>
    <row r="904">
      <c r="A904" s="200"/>
      <c r="B904" s="200"/>
    </row>
    <row r="905">
      <c r="A905" s="200"/>
      <c r="B905" s="200"/>
    </row>
    <row r="906">
      <c r="A906" s="200"/>
      <c r="B906" s="200"/>
    </row>
    <row r="907">
      <c r="A907" s="200"/>
      <c r="B907" s="200"/>
    </row>
    <row r="908">
      <c r="A908" s="200"/>
      <c r="B908" s="200"/>
    </row>
    <row r="909">
      <c r="A909" s="200"/>
      <c r="B909" s="200"/>
    </row>
    <row r="910">
      <c r="A910" s="200"/>
      <c r="B910" s="200"/>
    </row>
    <row r="911">
      <c r="A911" s="200"/>
      <c r="B911" s="200"/>
    </row>
    <row r="912">
      <c r="A912" s="200"/>
      <c r="B912" s="200"/>
    </row>
    <row r="913">
      <c r="A913" s="200"/>
      <c r="B913" s="200"/>
    </row>
    <row r="914">
      <c r="A914" s="200"/>
      <c r="B914" s="200"/>
    </row>
    <row r="915">
      <c r="A915" s="200"/>
      <c r="B915" s="200"/>
    </row>
    <row r="916">
      <c r="A916" s="200"/>
      <c r="B916" s="200"/>
    </row>
    <row r="917">
      <c r="A917" s="200"/>
      <c r="B917" s="200"/>
    </row>
    <row r="918">
      <c r="A918" s="200"/>
      <c r="B918" s="200"/>
    </row>
    <row r="919">
      <c r="A919" s="200"/>
      <c r="B919" s="200"/>
    </row>
    <row r="920">
      <c r="A920" s="200"/>
      <c r="B920" s="200"/>
    </row>
    <row r="921">
      <c r="A921" s="200"/>
      <c r="B921" s="200"/>
    </row>
    <row r="922">
      <c r="A922" s="200"/>
      <c r="B922" s="200"/>
    </row>
    <row r="923">
      <c r="A923" s="200"/>
      <c r="B923" s="200"/>
    </row>
    <row r="924">
      <c r="A924" s="200"/>
      <c r="B924" s="200"/>
    </row>
    <row r="925">
      <c r="A925" s="200"/>
      <c r="B925" s="200"/>
    </row>
    <row r="926">
      <c r="A926" s="200"/>
      <c r="B926" s="200"/>
    </row>
    <row r="927">
      <c r="A927" s="200"/>
      <c r="B927" s="200"/>
    </row>
    <row r="928">
      <c r="A928" s="200"/>
      <c r="B928" s="200"/>
    </row>
    <row r="929">
      <c r="A929" s="200"/>
      <c r="B929" s="200"/>
    </row>
    <row r="930">
      <c r="A930" s="200"/>
      <c r="B930" s="200"/>
    </row>
    <row r="931">
      <c r="A931" s="200"/>
      <c r="B931" s="200"/>
    </row>
    <row r="932">
      <c r="A932" s="200"/>
      <c r="B932" s="200"/>
    </row>
    <row r="933">
      <c r="A933" s="200"/>
      <c r="B933" s="200"/>
    </row>
    <row r="934">
      <c r="A934" s="200"/>
      <c r="B934" s="200"/>
    </row>
    <row r="935">
      <c r="A935" s="200"/>
      <c r="B935" s="200"/>
    </row>
    <row r="936">
      <c r="A936" s="200"/>
      <c r="B936" s="200"/>
    </row>
    <row r="937">
      <c r="A937" s="200"/>
      <c r="B937" s="200"/>
    </row>
    <row r="938">
      <c r="A938" s="200"/>
      <c r="B938" s="200"/>
    </row>
    <row r="939">
      <c r="A939" s="200"/>
      <c r="B939" s="200"/>
    </row>
    <row r="940">
      <c r="A940" s="200"/>
      <c r="B940" s="200"/>
    </row>
    <row r="941">
      <c r="A941" s="200"/>
      <c r="B941" s="200"/>
    </row>
    <row r="942">
      <c r="A942" s="200"/>
      <c r="B942" s="200"/>
    </row>
    <row r="943">
      <c r="A943" s="200"/>
      <c r="B943" s="200"/>
    </row>
    <row r="944">
      <c r="A944" s="200"/>
      <c r="B944" s="200"/>
    </row>
    <row r="945">
      <c r="A945" s="200"/>
      <c r="B945" s="200"/>
    </row>
    <row r="946">
      <c r="A946" s="200"/>
      <c r="B946" s="200"/>
    </row>
    <row r="947">
      <c r="A947" s="200"/>
      <c r="B947" s="200"/>
    </row>
    <row r="948">
      <c r="A948" s="200"/>
      <c r="B948" s="200"/>
    </row>
    <row r="949">
      <c r="A949" s="200"/>
      <c r="B949" s="200"/>
    </row>
    <row r="950">
      <c r="A950" s="200"/>
      <c r="B950" s="200"/>
    </row>
    <row r="951">
      <c r="A951" s="200"/>
      <c r="B951" s="200"/>
    </row>
    <row r="952">
      <c r="A952" s="200"/>
      <c r="B952" s="200"/>
    </row>
    <row r="953">
      <c r="A953" s="200"/>
      <c r="B953" s="200"/>
    </row>
    <row r="954">
      <c r="A954" s="200"/>
      <c r="B954" s="200"/>
    </row>
    <row r="955">
      <c r="A955" s="200"/>
      <c r="B955" s="200"/>
    </row>
    <row r="956">
      <c r="A956" s="200"/>
      <c r="B956" s="200"/>
    </row>
    <row r="957">
      <c r="A957" s="200"/>
      <c r="B957" s="200"/>
    </row>
    <row r="958">
      <c r="A958" s="200"/>
      <c r="B958" s="200"/>
    </row>
    <row r="959">
      <c r="A959" s="200"/>
      <c r="B959" s="200"/>
    </row>
    <row r="960">
      <c r="A960" s="200"/>
      <c r="B960" s="200"/>
    </row>
    <row r="961">
      <c r="A961" s="200"/>
      <c r="B961" s="200"/>
    </row>
    <row r="962">
      <c r="A962" s="200"/>
      <c r="B962" s="200"/>
    </row>
    <row r="963">
      <c r="A963" s="200"/>
      <c r="B963" s="200"/>
    </row>
    <row r="964">
      <c r="A964" s="200"/>
      <c r="B964" s="200"/>
    </row>
    <row r="965">
      <c r="A965" s="200"/>
      <c r="B965" s="200"/>
    </row>
    <row r="966">
      <c r="A966" s="200"/>
      <c r="B966" s="200"/>
    </row>
    <row r="967">
      <c r="A967" s="200"/>
      <c r="B967" s="200"/>
    </row>
    <row r="968">
      <c r="A968" s="200"/>
      <c r="B968" s="200"/>
    </row>
    <row r="969">
      <c r="A969" s="200"/>
      <c r="B969" s="200"/>
    </row>
    <row r="970">
      <c r="A970" s="200"/>
      <c r="B970" s="200"/>
    </row>
    <row r="971">
      <c r="A971" s="200"/>
      <c r="B971" s="200"/>
    </row>
    <row r="972">
      <c r="A972" s="200"/>
      <c r="B972" s="200"/>
    </row>
    <row r="973">
      <c r="A973" s="200"/>
      <c r="B973" s="200"/>
    </row>
    <row r="974">
      <c r="A974" s="200"/>
      <c r="B974" s="200"/>
    </row>
    <row r="975">
      <c r="A975" s="200"/>
      <c r="B975" s="200"/>
    </row>
    <row r="976">
      <c r="A976" s="200"/>
      <c r="B976" s="200"/>
    </row>
    <row r="977">
      <c r="A977" s="200"/>
      <c r="B977" s="200"/>
    </row>
    <row r="978">
      <c r="A978" s="200"/>
      <c r="B978" s="200"/>
    </row>
    <row r="979">
      <c r="A979" s="200"/>
      <c r="B979" s="200"/>
    </row>
    <row r="980">
      <c r="A980" s="200"/>
      <c r="B980" s="200"/>
    </row>
    <row r="981">
      <c r="A981" s="200"/>
      <c r="B981" s="200"/>
    </row>
    <row r="982">
      <c r="A982" s="200"/>
      <c r="B982" s="200"/>
    </row>
    <row r="983">
      <c r="A983" s="200"/>
      <c r="B983" s="200"/>
    </row>
    <row r="984">
      <c r="A984" s="200"/>
      <c r="B984" s="200"/>
    </row>
    <row r="985">
      <c r="A985" s="200"/>
      <c r="B985" s="200"/>
    </row>
    <row r="986">
      <c r="A986" s="200"/>
      <c r="B986" s="200"/>
    </row>
    <row r="987">
      <c r="A987" s="200"/>
      <c r="B987" s="200"/>
    </row>
    <row r="988">
      <c r="A988" s="200"/>
      <c r="B988" s="200"/>
    </row>
    <row r="989">
      <c r="A989" s="200"/>
      <c r="B989" s="200"/>
    </row>
    <row r="990">
      <c r="A990" s="200"/>
      <c r="B990" s="200"/>
    </row>
    <row r="991">
      <c r="A991" s="200"/>
      <c r="B991" s="200"/>
    </row>
    <row r="992">
      <c r="A992" s="200"/>
      <c r="B992" s="200"/>
    </row>
    <row r="993">
      <c r="A993" s="200"/>
      <c r="B993" s="200"/>
    </row>
    <row r="994">
      <c r="A994" s="200"/>
      <c r="B994" s="200"/>
    </row>
    <row r="995">
      <c r="A995" s="200"/>
      <c r="B995" s="200"/>
    </row>
    <row r="996">
      <c r="A996" s="200"/>
      <c r="B996" s="200"/>
    </row>
    <row r="997">
      <c r="A997" s="200"/>
      <c r="B997" s="200"/>
    </row>
    <row r="998">
      <c r="A998" s="200"/>
      <c r="B998" s="200"/>
    </row>
    <row r="999">
      <c r="A999" s="200"/>
      <c r="B999" s="200"/>
    </row>
    <row r="1000">
      <c r="A1000" s="200"/>
      <c r="B1000" s="200"/>
    </row>
    <row r="1001">
      <c r="A1001" s="200"/>
      <c r="B1001" s="200"/>
    </row>
    <row r="1002">
      <c r="A1002" s="200"/>
      <c r="B1002" s="200"/>
    </row>
  </sheetData>
  <mergeCells count="1">
    <mergeCell ref="J5:O5"/>
  </mergeCells>
  <dataValidations>
    <dataValidation type="list" allowBlank="1" showErrorMessage="1" sqref="E7:E9">
      <formula1>"Fibra,Radio"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2.88"/>
    <col customWidth="1" min="2" max="3" width="36.13"/>
    <col customWidth="1" min="4" max="4" width="18.38"/>
    <col customWidth="1" min="5" max="5" width="25.38"/>
    <col customWidth="1" min="6" max="6" width="31.63"/>
    <col customWidth="1" min="7" max="8" width="22.13"/>
    <col customWidth="1" min="11" max="11" width="27.13"/>
    <col customWidth="1" min="12" max="12" width="27.25"/>
    <col customWidth="1" min="13" max="13" width="19.63"/>
    <col customWidth="1" min="14" max="14" width="21.13"/>
    <col customWidth="1" min="15" max="15" width="34.38"/>
    <col customWidth="1" min="17" max="17" width="18.25"/>
    <col customWidth="1" min="18" max="18" width="29.63"/>
  </cols>
  <sheetData>
    <row r="1" ht="28.5" customHeight="1">
      <c r="A1" s="231"/>
      <c r="B1" s="232"/>
      <c r="C1" s="232"/>
      <c r="D1" s="231"/>
      <c r="E1" s="232"/>
      <c r="F1" s="233"/>
      <c r="G1" s="231"/>
      <c r="H1" s="231"/>
      <c r="J1" s="234" t="s">
        <v>69</v>
      </c>
      <c r="K1" s="236" t="s">
        <v>582</v>
      </c>
      <c r="L1" s="237" t="s">
        <v>583</v>
      </c>
      <c r="M1" s="200"/>
      <c r="N1" s="200"/>
      <c r="O1" s="200"/>
      <c r="Q1" s="200"/>
    </row>
    <row r="2" ht="40.5" customHeight="1">
      <c r="A2" s="231"/>
      <c r="B2" s="239"/>
      <c r="C2" s="239"/>
      <c r="E2" s="239"/>
      <c r="F2" s="241"/>
      <c r="G2" s="231"/>
      <c r="H2" s="231"/>
      <c r="J2" s="234" t="s">
        <v>546</v>
      </c>
      <c r="K2" s="244" t="str">
        <f>IF($K$1&lt;&gt;"", VLOOKUP($K$1,$A$5:$F$153,6,0), "... ")</f>
        <v>ARAGUAIA</v>
      </c>
      <c r="L2" s="245">
        <f>IF($K$1&lt;&gt;"", VLOOKUP($K$1,$A$5:$H$153,8,0), "... ")</f>
        <v>69.86</v>
      </c>
      <c r="M2" s="200"/>
      <c r="N2" s="200"/>
      <c r="O2" s="200"/>
      <c r="Q2" s="200"/>
    </row>
    <row r="3" ht="40.5" customHeight="1">
      <c r="A3" s="231"/>
      <c r="B3" s="231"/>
      <c r="C3" s="231"/>
      <c r="D3" s="231"/>
      <c r="E3" s="233"/>
      <c r="F3" s="233"/>
      <c r="G3" s="231"/>
      <c r="H3" s="231"/>
      <c r="J3" s="246" t="s">
        <v>587</v>
      </c>
      <c r="K3" s="244" t="str">
        <f>IF($K$1&lt;&gt;"", VLOOKUP($K$1,$A$5:$F$153,4,0), "... ")</f>
        <v>NÃO</v>
      </c>
      <c r="L3" s="247"/>
      <c r="M3" s="200"/>
      <c r="N3" s="200"/>
      <c r="O3" s="200"/>
      <c r="Q3" s="200"/>
    </row>
    <row r="4" ht="24.0" customHeight="1">
      <c r="A4" s="231"/>
      <c r="B4" s="231"/>
      <c r="C4" s="231"/>
      <c r="D4" s="231"/>
      <c r="E4" s="233"/>
      <c r="F4" s="233"/>
      <c r="G4" s="231"/>
      <c r="H4" s="231"/>
      <c r="J4" s="200"/>
      <c r="K4" s="200"/>
      <c r="L4" s="248"/>
      <c r="M4" s="200"/>
      <c r="N4" s="200"/>
      <c r="O4" s="200"/>
      <c r="Q4" s="200"/>
    </row>
    <row r="5" ht="22.5" customHeight="1">
      <c r="A5" s="249" t="s">
        <v>588</v>
      </c>
      <c r="B5" s="249" t="s">
        <v>591</v>
      </c>
      <c r="C5" s="249" t="s">
        <v>592</v>
      </c>
      <c r="D5" s="249" t="s">
        <v>594</v>
      </c>
      <c r="E5" s="250" t="s">
        <v>596</v>
      </c>
      <c r="F5" s="250" t="s">
        <v>597</v>
      </c>
      <c r="G5" s="249" t="s">
        <v>598</v>
      </c>
      <c r="H5" s="249" t="s">
        <v>599</v>
      </c>
      <c r="I5" s="251"/>
      <c r="J5" s="252" t="s">
        <v>601</v>
      </c>
      <c r="K5" s="254" t="s">
        <v>132</v>
      </c>
      <c r="L5" s="237" t="s">
        <v>603</v>
      </c>
      <c r="M5" s="255"/>
      <c r="N5" s="234" t="s">
        <v>596</v>
      </c>
      <c r="O5" s="256" t="s">
        <v>411</v>
      </c>
      <c r="Q5" s="246" t="s">
        <v>594</v>
      </c>
      <c r="R5" s="256" t="s">
        <v>604</v>
      </c>
    </row>
    <row r="6" ht="22.5" customHeight="1">
      <c r="A6" s="258" t="s">
        <v>58</v>
      </c>
      <c r="B6" s="259" t="s">
        <v>605</v>
      </c>
      <c r="C6" s="260" t="s">
        <v>605</v>
      </c>
      <c r="D6" s="258" t="str">
        <f t="shared" ref="D6:D12" si="1">IF(C6&lt;&gt;"SEM INFRA PRODEPA","SIM","NÃO")</f>
        <v>SIM</v>
      </c>
      <c r="E6" s="261" t="s">
        <v>128</v>
      </c>
      <c r="F6" s="262" t="s">
        <v>63</v>
      </c>
      <c r="G6" s="263" t="s">
        <v>610</v>
      </c>
      <c r="H6" s="264">
        <f t="array" ref="H6">IFS(G6="JUNHO 2026",XLOOKUP(F6,tabelaregiaoprecos[[#ALL],[Região]],tabelaregiaoprecos[[#ALL],[JUNHO 2026]]),G6="FEVEREIRO 2026",XLOOKUP(F6,tabelaregiaoprecos[[#ALL],[Região]],tabelaregiaoprecos[[#ALL],[FEVEREIRO 2026]]))</f>
        <v>87.51</v>
      </c>
      <c r="I6" s="265"/>
      <c r="J6" s="266">
        <f>IFERROR(__xludf.DUMMYFUNCTION("IFNA(SEQUENCE(ROWS(FILTER(regiao!$A$5:$A$150,regiao!$F$5:$F$150=$K$5))),""..."")"),1.0)</f>
        <v>1</v>
      </c>
      <c r="K6" s="266" t="str">
        <f>IFERROR(__xludf.DUMMYFUNCTION("IFNA(FILTER(regiao!$A$5:$A$150,regiao!$F$5:$F$150=$K$5),""..."")"),"ABEL FIGUEIREDO")</f>
        <v>ABEL FIGUEIREDO</v>
      </c>
      <c r="L6" s="267">
        <f>IFERROR(__xludf.DUMMYFUNCTION("IFNA(FILTER(regiao!$H$5:$H$150,regiao!$F$5:$F$150=$K$5),""..."")"),65.28)</f>
        <v>65.28</v>
      </c>
      <c r="N6" s="266">
        <f>IFERROR(__xludf.DUMMYFUNCTION("IFNA(SEQUENCE(ROWS(FILTER(regiao!$A$5:$A$150,regiao!$E$5:$E$150=$O$5))),""..."")"),1.0)</f>
        <v>1</v>
      </c>
      <c r="O6" s="266" t="str">
        <f>IFERROR(__xludf.DUMMYFUNCTION("IFNA(FILTER(regiao!$A$5:$A$150,regiao!$E$5:$E$150=$O$5),""..."")"),"ANANINDEUA")</f>
        <v>ANANINDEUA</v>
      </c>
      <c r="Q6" s="266">
        <f>IFERROR(__xludf.DUMMYFUNCTION("IFNA(SEQUENCE(ROWS(FILTER(regiao!$A$5:$A$150,regiao!$C$5:$C$150=$R$5))),""..."")"),1.0)</f>
        <v>1</v>
      </c>
      <c r="R6" s="266" t="str">
        <f>IFERROR(__xludf.DUMMYFUNCTION("IFNA(FILTER(regiao!$A$5:$A$150,regiao!$C$5:$C$150=$R$5),""..."")"),"ABEL FIGUEIREDO")</f>
        <v>ABEL FIGUEIREDO</v>
      </c>
    </row>
    <row r="7" ht="22.5" customHeight="1">
      <c r="A7" s="268" t="s">
        <v>111</v>
      </c>
      <c r="B7" s="269" t="s">
        <v>604</v>
      </c>
      <c r="C7" s="270" t="s">
        <v>604</v>
      </c>
      <c r="D7" s="268" t="str">
        <f t="shared" si="1"/>
        <v>NÃO</v>
      </c>
      <c r="E7" s="271" t="s">
        <v>128</v>
      </c>
      <c r="F7" s="272" t="s">
        <v>132</v>
      </c>
      <c r="G7" s="263" t="s">
        <v>610</v>
      </c>
      <c r="H7" s="264">
        <f t="array" ref="H7">IFS(G7="JUNHO 2026",XLOOKUP(F7,tabelaregiaoprecos[[#ALL],[Região]],tabelaregiaoprecos[[#ALL],[JUNHO 2026]]),G7="FEVEREIRO 2026",XLOOKUP(F7,tabelaregiaoprecos[[#ALL],[Região]],tabelaregiaoprecos[[#ALL],[FEVEREIRO 2026]]))</f>
        <v>65.28</v>
      </c>
      <c r="I7" s="265"/>
      <c r="J7" s="273">
        <f>IFERROR(__xludf.DUMMYFUNCTION("""COMPUTED_VALUE"""),2.0)</f>
        <v>2</v>
      </c>
      <c r="K7" s="273" t="str">
        <f>IFERROR(__xludf.DUMMYFUNCTION("""COMPUTED_VALUE"""),"AURORA DO PARA")</f>
        <v>AURORA DO PARA</v>
      </c>
      <c r="L7" s="274">
        <f>IFERROR(__xludf.DUMMYFUNCTION("""COMPUTED_VALUE"""),65.28)</f>
        <v>65.28</v>
      </c>
      <c r="N7" s="266">
        <f>IFERROR(__xludf.DUMMYFUNCTION("""COMPUTED_VALUE"""),2.0)</f>
        <v>2</v>
      </c>
      <c r="O7" s="266" t="str">
        <f>IFERROR(__xludf.DUMMYFUNCTION("""COMPUTED_VALUE"""),"BARCARENA")</f>
        <v>BARCARENA</v>
      </c>
      <c r="Q7" s="266">
        <f>IFERROR(__xludf.DUMMYFUNCTION("""COMPUTED_VALUE"""),2.0)</f>
        <v>2</v>
      </c>
      <c r="R7" s="266" t="str">
        <f>IFERROR(__xludf.DUMMYFUNCTION("""COMPUTED_VALUE"""),"ACARA")</f>
        <v>ACARA</v>
      </c>
    </row>
    <row r="8" ht="22.5" customHeight="1">
      <c r="A8" s="258" t="s">
        <v>232</v>
      </c>
      <c r="B8" s="269" t="s">
        <v>604</v>
      </c>
      <c r="C8" s="275" t="s">
        <v>604</v>
      </c>
      <c r="D8" s="258" t="str">
        <f t="shared" si="1"/>
        <v>NÃO</v>
      </c>
      <c r="E8" s="261" t="s">
        <v>61</v>
      </c>
      <c r="F8" s="262" t="s">
        <v>63</v>
      </c>
      <c r="G8" s="263" t="s">
        <v>610</v>
      </c>
      <c r="H8" s="264">
        <f t="array" ref="H8">IFS(G8="JUNHO 2026",XLOOKUP(F8,tabelaregiaoprecos[[#ALL],[Região]],tabelaregiaoprecos[[#ALL],[JUNHO 2026]]),G8="FEVEREIRO 2026",XLOOKUP(F8,tabelaregiaoprecos[[#ALL],[Região]],tabelaregiaoprecos[[#ALL],[FEVEREIRO 2026]]))</f>
        <v>87.51</v>
      </c>
      <c r="I8" s="265"/>
      <c r="J8" s="273">
        <f>IFERROR(__xludf.DUMMYFUNCTION("""COMPUTED_VALUE"""),3.0)</f>
        <v>3</v>
      </c>
      <c r="K8" s="273" t="str">
        <f>IFERROR(__xludf.DUMMYFUNCTION("""COMPUTED_VALUE"""),"BUJARU")</f>
        <v>BUJARU</v>
      </c>
      <c r="L8" s="274">
        <f>IFERROR(__xludf.DUMMYFUNCTION("""COMPUTED_VALUE"""),65.28)</f>
        <v>65.28</v>
      </c>
      <c r="N8" s="266">
        <f>IFERROR(__xludf.DUMMYFUNCTION("""COMPUTED_VALUE"""),3.0)</f>
        <v>3</v>
      </c>
      <c r="O8" s="266" t="str">
        <f>IFERROR(__xludf.DUMMYFUNCTION("""COMPUTED_VALUE"""),"BELEM")</f>
        <v>BELEM</v>
      </c>
      <c r="Q8" s="266">
        <f>IFERROR(__xludf.DUMMYFUNCTION("""COMPUTED_VALUE"""),3.0)</f>
        <v>3</v>
      </c>
      <c r="R8" s="266" t="str">
        <f>IFERROR(__xludf.DUMMYFUNCTION("""COMPUTED_VALUE"""),"AFUA")</f>
        <v>AFUA</v>
      </c>
    </row>
    <row r="9" ht="22.5" customHeight="1">
      <c r="A9" s="268" t="s">
        <v>255</v>
      </c>
      <c r="B9" s="269" t="s">
        <v>604</v>
      </c>
      <c r="C9" s="270" t="s">
        <v>604</v>
      </c>
      <c r="D9" s="268" t="str">
        <f t="shared" si="1"/>
        <v>NÃO</v>
      </c>
      <c r="E9" s="271" t="s">
        <v>258</v>
      </c>
      <c r="F9" s="272" t="s">
        <v>258</v>
      </c>
      <c r="G9" s="263" t="s">
        <v>610</v>
      </c>
      <c r="H9" s="264">
        <f t="array" ref="H9">IFS(G9="JUNHO 2026",XLOOKUP(F9,tabelaregiaoprecos[[#ALL],[Região]],tabelaregiaoprecos[[#ALL],[JUNHO 2026]]),G9="FEVEREIRO 2026",XLOOKUP(F9,tabelaregiaoprecos[[#ALL],[Região]],tabelaregiaoprecos[[#ALL],[FEVEREIRO 2026]]))</f>
        <v>89.59</v>
      </c>
      <c r="I9" s="265"/>
      <c r="J9" s="273">
        <f>IFERROR(__xludf.DUMMYFUNCTION("""COMPUTED_VALUE"""),4.0)</f>
        <v>4</v>
      </c>
      <c r="K9" s="273" t="str">
        <f>IFERROR(__xludf.DUMMYFUNCTION("""COMPUTED_VALUE"""),"CAPITAO POCO")</f>
        <v>CAPITAO POCO</v>
      </c>
      <c r="L9" s="274">
        <f>IFERROR(__xludf.DUMMYFUNCTION("""COMPUTED_VALUE"""),65.28)</f>
        <v>65.28</v>
      </c>
      <c r="N9" s="266">
        <f>IFERROR(__xludf.DUMMYFUNCTION("""COMPUTED_VALUE"""),4.0)</f>
        <v>4</v>
      </c>
      <c r="O9" s="266" t="str">
        <f>IFERROR(__xludf.DUMMYFUNCTION("""COMPUTED_VALUE"""),"BENEVIDES")</f>
        <v>BENEVIDES</v>
      </c>
      <c r="Q9" s="266">
        <f>IFERROR(__xludf.DUMMYFUNCTION("""COMPUTED_VALUE"""),4.0)</f>
        <v>4</v>
      </c>
      <c r="R9" s="266" t="str">
        <f>IFERROR(__xludf.DUMMYFUNCTION("""COMPUTED_VALUE"""),"AGUA AZUL DO NORTE")</f>
        <v>AGUA AZUL DO NORTE</v>
      </c>
    </row>
    <row r="10" ht="22.5" customHeight="1">
      <c r="A10" s="258" t="s">
        <v>278</v>
      </c>
      <c r="B10" s="269" t="s">
        <v>604</v>
      </c>
      <c r="C10" s="275" t="s">
        <v>604</v>
      </c>
      <c r="D10" s="258" t="str">
        <f t="shared" si="1"/>
        <v>NÃO</v>
      </c>
      <c r="E10" s="261" t="s">
        <v>258</v>
      </c>
      <c r="F10" s="262" t="s">
        <v>280</v>
      </c>
      <c r="G10" s="263" t="s">
        <v>610</v>
      </c>
      <c r="H10" s="264">
        <f t="array" ref="H10">IFS(G10="JUNHO 2026",XLOOKUP(F10,tabelaregiaoprecos[[#ALL],[Região]],tabelaregiaoprecos[[#ALL],[JUNHO 2026]]),G10="FEVEREIRO 2026",XLOOKUP(F10,tabelaregiaoprecos[[#ALL],[Região]],tabelaregiaoprecos[[#ALL],[FEVEREIRO 2026]]))</f>
        <v>69.86</v>
      </c>
      <c r="I10" s="265"/>
      <c r="J10" s="273">
        <f>IFERROR(__xludf.DUMMYFUNCTION("""COMPUTED_VALUE"""),5.0)</f>
        <v>5</v>
      </c>
      <c r="K10" s="273" t="str">
        <f>IFERROR(__xludf.DUMMYFUNCTION("""COMPUTED_VALUE"""),"CONCORDIA DO PARA")</f>
        <v>CONCORDIA DO PARA</v>
      </c>
      <c r="L10" s="274">
        <f>IFERROR(__xludf.DUMMYFUNCTION("""COMPUTED_VALUE"""),65.28)</f>
        <v>65.28</v>
      </c>
      <c r="N10" s="266">
        <f>IFERROR(__xludf.DUMMYFUNCTION("""COMPUTED_VALUE"""),5.0)</f>
        <v>5</v>
      </c>
      <c r="O10" s="266" t="str">
        <f>IFERROR(__xludf.DUMMYFUNCTION("""COMPUTED_VALUE"""),"BUJARU")</f>
        <v>BUJARU</v>
      </c>
      <c r="Q10" s="266">
        <f>IFERROR(__xludf.DUMMYFUNCTION("""COMPUTED_VALUE"""),5.0)</f>
        <v>5</v>
      </c>
      <c r="R10" s="266" t="str">
        <f>IFERROR(__xludf.DUMMYFUNCTION("""COMPUTED_VALUE"""),"ANAJAS")</f>
        <v>ANAJAS</v>
      </c>
    </row>
    <row r="11" ht="22.5" customHeight="1">
      <c r="A11" s="268" t="s">
        <v>296</v>
      </c>
      <c r="B11" s="259" t="s">
        <v>605</v>
      </c>
      <c r="C11" s="276" t="s">
        <v>642</v>
      </c>
      <c r="D11" s="268" t="str">
        <f t="shared" si="1"/>
        <v>SIM</v>
      </c>
      <c r="E11" s="277" t="s">
        <v>297</v>
      </c>
      <c r="F11" s="272" t="s">
        <v>297</v>
      </c>
      <c r="G11" s="263" t="s">
        <v>610</v>
      </c>
      <c r="H11" s="264">
        <f t="array" ref="H11">IFS(G11="JUNHO 2026",XLOOKUP(F11,tabelaregiaoprecos[[#ALL],[Região]],tabelaregiaoprecos[[#ALL],[JUNHO 2026]]),G11="FEVEREIRO 2026",XLOOKUP(F11,tabelaregiaoprecos[[#ALL],[Região]],tabelaregiaoprecos[[#ALL],[FEVEREIRO 2026]]))</f>
        <v>72.86</v>
      </c>
      <c r="I11" s="265"/>
      <c r="J11" s="273">
        <f>IFERROR(__xludf.DUMMYFUNCTION("""COMPUTED_VALUE"""),6.0)</f>
        <v>6</v>
      </c>
      <c r="K11" s="273" t="str">
        <f>IFERROR(__xludf.DUMMYFUNCTION("""COMPUTED_VALUE"""),"DOM ELISEU")</f>
        <v>DOM ELISEU</v>
      </c>
      <c r="L11" s="274">
        <f>IFERROR(__xludf.DUMMYFUNCTION("""COMPUTED_VALUE"""),65.28)</f>
        <v>65.28</v>
      </c>
      <c r="N11" s="266">
        <f>IFERROR(__xludf.DUMMYFUNCTION("""COMPUTED_VALUE"""),6.0)</f>
        <v>6</v>
      </c>
      <c r="O11" s="266" t="str">
        <f>IFERROR(__xludf.DUMMYFUNCTION("""COMPUTED_VALUE"""),"CASTANHAL")</f>
        <v>CASTANHAL</v>
      </c>
      <c r="Q11" s="266">
        <f>IFERROR(__xludf.DUMMYFUNCTION("""COMPUTED_VALUE"""),6.0)</f>
        <v>6</v>
      </c>
      <c r="R11" s="266" t="str">
        <f>IFERROR(__xludf.DUMMYFUNCTION("""COMPUTED_VALUE"""),"AVEIRO")</f>
        <v>AVEIRO</v>
      </c>
    </row>
    <row r="12" ht="22.5" customHeight="1">
      <c r="A12" s="258" t="s">
        <v>324</v>
      </c>
      <c r="B12" s="278" t="s">
        <v>50</v>
      </c>
      <c r="C12" s="279" t="s">
        <v>50</v>
      </c>
      <c r="D12" s="258" t="str">
        <f t="shared" si="1"/>
        <v>SIM</v>
      </c>
      <c r="E12" s="280" t="s">
        <v>297</v>
      </c>
      <c r="F12" s="262" t="s">
        <v>297</v>
      </c>
      <c r="G12" s="263" t="s">
        <v>610</v>
      </c>
      <c r="H12" s="264">
        <f t="array" ref="H12">IFS(G12="JUNHO 2026",XLOOKUP(F12,tabelaregiaoprecos[[#ALL],[Região]],tabelaregiaoprecos[[#ALL],[JUNHO 2026]]),G12="FEVEREIRO 2026",XLOOKUP(F12,tabelaregiaoprecos[[#ALL],[Região]],tabelaregiaoprecos[[#ALL],[FEVEREIRO 2026]]))</f>
        <v>72.86</v>
      </c>
      <c r="I12" s="265"/>
      <c r="J12" s="273">
        <f>IFERROR(__xludf.DUMMYFUNCTION("""COMPUTED_VALUE"""),7.0)</f>
        <v>7</v>
      </c>
      <c r="K12" s="273" t="str">
        <f>IFERROR(__xludf.DUMMYFUNCTION("""COMPUTED_VALUE"""),"GARRAFAO DO NORTE")</f>
        <v>GARRAFAO DO NORTE</v>
      </c>
      <c r="L12" s="274">
        <f>IFERROR(__xludf.DUMMYFUNCTION("""COMPUTED_VALUE"""),65.28)</f>
        <v>65.28</v>
      </c>
      <c r="N12" s="266">
        <f>IFERROR(__xludf.DUMMYFUNCTION("""COMPUTED_VALUE"""),7.0)</f>
        <v>7</v>
      </c>
      <c r="O12" s="266" t="str">
        <f>IFERROR(__xludf.DUMMYFUNCTION("""COMPUTED_VALUE"""),"INHANGAPI")</f>
        <v>INHANGAPI</v>
      </c>
      <c r="Q12" s="266">
        <f>IFERROR(__xludf.DUMMYFUNCTION("""COMPUTED_VALUE"""),7.0)</f>
        <v>7</v>
      </c>
      <c r="R12" s="266" t="str">
        <f>IFERROR(__xludf.DUMMYFUNCTION("""COMPUTED_VALUE"""),"BANNACH")</f>
        <v>BANNACH</v>
      </c>
    </row>
    <row r="13" ht="22.5" customHeight="1">
      <c r="A13" s="268" t="s">
        <v>373</v>
      </c>
      <c r="B13" s="278" t="s">
        <v>50</v>
      </c>
      <c r="C13" s="281" t="s">
        <v>605</v>
      </c>
      <c r="D13" s="268" t="s">
        <v>655</v>
      </c>
      <c r="E13" s="277" t="s">
        <v>374</v>
      </c>
      <c r="F13" s="272" t="s">
        <v>375</v>
      </c>
      <c r="G13" s="263" t="s">
        <v>610</v>
      </c>
      <c r="H13" s="264">
        <f t="array" ref="H13">IFS(G13="JUNHO 2026",XLOOKUP(F13,tabelaregiaoprecos[[#ALL],[Região]],tabelaregiaoprecos[[#ALL],[JUNHO 2026]]),G13="FEVEREIRO 2026",XLOOKUP(F13,tabelaregiaoprecos[[#ALL],[Região]],tabelaregiaoprecos[[#ALL],[FEVEREIRO 2026]]))</f>
        <v>76.32</v>
      </c>
      <c r="I13" s="265"/>
      <c r="J13" s="273">
        <f>IFERROR(__xludf.DUMMYFUNCTION("""COMPUTED_VALUE"""),8.0)</f>
        <v>8</v>
      </c>
      <c r="K13" s="273" t="str">
        <f>IFERROR(__xludf.DUMMYFUNCTION("""COMPUTED_VALUE"""),"IPIXUNA DO PARA")</f>
        <v>IPIXUNA DO PARA</v>
      </c>
      <c r="L13" s="274">
        <f>IFERROR(__xludf.DUMMYFUNCTION("""COMPUTED_VALUE"""),65.28)</f>
        <v>65.28</v>
      </c>
      <c r="N13" s="266">
        <f>IFERROR(__xludf.DUMMYFUNCTION("""COMPUTED_VALUE"""),8.0)</f>
        <v>8</v>
      </c>
      <c r="O13" s="266" t="str">
        <f>IFERROR(__xludf.DUMMYFUNCTION("""COMPUTED_VALUE"""),"MARITUBA")</f>
        <v>MARITUBA</v>
      </c>
      <c r="Q13" s="266">
        <f>IFERROR(__xludf.DUMMYFUNCTION("""COMPUTED_VALUE"""),8.0)</f>
        <v>8</v>
      </c>
      <c r="R13" s="266" t="str">
        <f>IFERROR(__xludf.DUMMYFUNCTION("""COMPUTED_VALUE"""),"BOM JESUS DO TOCANTINS")</f>
        <v>BOM JESUS DO TOCANTINS</v>
      </c>
    </row>
    <row r="14" ht="22.5" customHeight="1">
      <c r="A14" s="258" t="s">
        <v>391</v>
      </c>
      <c r="B14" s="282" t="s">
        <v>604</v>
      </c>
      <c r="C14" s="275" t="s">
        <v>604</v>
      </c>
      <c r="D14" s="258" t="str">
        <f t="shared" ref="D14:D150" si="2">IF(C14&lt;&gt;"SEM INFRA PRODEPA","SIM","NÃO")</f>
        <v>NÃO</v>
      </c>
      <c r="E14" s="261" t="s">
        <v>258</v>
      </c>
      <c r="F14" s="262" t="s">
        <v>258</v>
      </c>
      <c r="G14" s="263" t="s">
        <v>610</v>
      </c>
      <c r="H14" s="264">
        <f t="array" ref="H14">IFS(G14="JUNHO 2026",XLOOKUP(F14,tabelaregiaoprecos[[#ALL],[Região]],tabelaregiaoprecos[[#ALL],[JUNHO 2026]]),G14="FEVEREIRO 2026",XLOOKUP(F14,tabelaregiaoprecos[[#ALL],[Região]],tabelaregiaoprecos[[#ALL],[FEVEREIRO 2026]]))</f>
        <v>89.59</v>
      </c>
      <c r="I14" s="265"/>
      <c r="J14" s="273">
        <f>IFERROR(__xludf.DUMMYFUNCTION("""COMPUTED_VALUE"""),9.0)</f>
        <v>9</v>
      </c>
      <c r="K14" s="273" t="str">
        <f>IFERROR(__xludf.DUMMYFUNCTION("""COMPUTED_VALUE"""),"IRITUIA")</f>
        <v>IRITUIA</v>
      </c>
      <c r="L14" s="274">
        <f>IFERROR(__xludf.DUMMYFUNCTION("""COMPUTED_VALUE"""),65.28)</f>
        <v>65.28</v>
      </c>
      <c r="N14" s="266">
        <f>IFERROR(__xludf.DUMMYFUNCTION("""COMPUTED_VALUE"""),9.0)</f>
        <v>9</v>
      </c>
      <c r="O14" s="266" t="str">
        <f>IFERROR(__xludf.DUMMYFUNCTION("""COMPUTED_VALUE"""),"MOSQUEIRO")</f>
        <v>MOSQUEIRO</v>
      </c>
      <c r="Q14" s="266">
        <f>IFERROR(__xludf.DUMMYFUNCTION("""COMPUTED_VALUE"""),9.0)</f>
        <v>9</v>
      </c>
      <c r="R14" s="266" t="str">
        <f>IFERROR(__xludf.DUMMYFUNCTION("""COMPUTED_VALUE"""),"BREJO GRANDE DO ARAGUAIA")</f>
        <v>BREJO GRANDE DO ARAGUAIA</v>
      </c>
    </row>
    <row r="15" ht="22.5" customHeight="1">
      <c r="A15" s="268" t="s">
        <v>134</v>
      </c>
      <c r="B15" s="278" t="s">
        <v>50</v>
      </c>
      <c r="C15" s="281" t="s">
        <v>605</v>
      </c>
      <c r="D15" s="268" t="str">
        <f t="shared" si="2"/>
        <v>SIM</v>
      </c>
      <c r="E15" s="283" t="s">
        <v>411</v>
      </c>
      <c r="F15" s="272" t="s">
        <v>658</v>
      </c>
      <c r="G15" s="263" t="s">
        <v>610</v>
      </c>
      <c r="H15" s="264">
        <f t="array" ref="H15">IFS(G15="JUNHO 2026",XLOOKUP(F15,tabelaregiaoprecos[[#ALL],[Região]],tabelaregiaoprecos[[#ALL],[JUNHO 2026]]),G15="FEVEREIRO 2026",XLOOKUP(F15,tabelaregiaoprecos[[#ALL],[Região]],tabelaregiaoprecos[[#ALL],[FEVEREIRO 2026]]))</f>
        <v>69.86</v>
      </c>
      <c r="I15" s="265"/>
      <c r="J15" s="273">
        <f>IFERROR(__xludf.DUMMYFUNCTION("""COMPUTED_VALUE"""),10.0)</f>
        <v>10</v>
      </c>
      <c r="K15" s="273" t="str">
        <f>IFERROR(__xludf.DUMMYFUNCTION("""COMPUTED_VALUE"""),"MAE DO RIO")</f>
        <v>MAE DO RIO</v>
      </c>
      <c r="L15" s="274">
        <f>IFERROR(__xludf.DUMMYFUNCTION("""COMPUTED_VALUE"""),65.28)</f>
        <v>65.28</v>
      </c>
      <c r="M15" s="200"/>
      <c r="N15" s="266">
        <f>IFERROR(__xludf.DUMMYFUNCTION("""COMPUTED_VALUE"""),10.0)</f>
        <v>10</v>
      </c>
      <c r="O15" s="266" t="str">
        <f>IFERROR(__xludf.DUMMYFUNCTION("""COMPUTED_VALUE"""),"SANTA BARBARA DO PARA")</f>
        <v>SANTA BARBARA DO PARA</v>
      </c>
      <c r="Q15" s="266">
        <f>IFERROR(__xludf.DUMMYFUNCTION("""COMPUTED_VALUE"""),10.0)</f>
        <v>10</v>
      </c>
      <c r="R15" s="266" t="str">
        <f>IFERROR(__xludf.DUMMYFUNCTION("""COMPUTED_VALUE"""),"BREU BRANCO")</f>
        <v>BREU BRANCO</v>
      </c>
    </row>
    <row r="16" ht="22.5" customHeight="1">
      <c r="A16" s="258" t="s">
        <v>431</v>
      </c>
      <c r="B16" s="278" t="s">
        <v>50</v>
      </c>
      <c r="C16" s="279" t="s">
        <v>50</v>
      </c>
      <c r="D16" s="258" t="str">
        <f t="shared" si="2"/>
        <v>SIM</v>
      </c>
      <c r="E16" s="261" t="s">
        <v>374</v>
      </c>
      <c r="F16" s="262" t="s">
        <v>375</v>
      </c>
      <c r="G16" s="263" t="s">
        <v>610</v>
      </c>
      <c r="H16" s="264">
        <f t="array" ref="H16">IFS(G16="JUNHO 2026",XLOOKUP(F16,tabelaregiaoprecos[[#ALL],[Região]],tabelaregiaoprecos[[#ALL],[JUNHO 2026]]),G16="FEVEREIRO 2026",XLOOKUP(F16,tabelaregiaoprecos[[#ALL],[Região]],tabelaregiaoprecos[[#ALL],[FEVEREIRO 2026]]))</f>
        <v>76.32</v>
      </c>
      <c r="I16" s="265"/>
      <c r="J16" s="273">
        <f>IFERROR(__xludf.DUMMYFUNCTION("""COMPUTED_VALUE"""),11.0)</f>
        <v>11</v>
      </c>
      <c r="K16" s="273" t="str">
        <f>IFERROR(__xludf.DUMMYFUNCTION("""COMPUTED_VALUE"""),"NOVA ESPERANCA DO PIRIA")</f>
        <v>NOVA ESPERANCA DO PIRIA</v>
      </c>
      <c r="L16" s="274">
        <f>IFERROR(__xludf.DUMMYFUNCTION("""COMPUTED_VALUE"""),65.28)</f>
        <v>65.28</v>
      </c>
      <c r="N16" s="266">
        <f>IFERROR(__xludf.DUMMYFUNCTION("""COMPUTED_VALUE"""),11.0)</f>
        <v>11</v>
      </c>
      <c r="O16" s="266" t="str">
        <f>IFERROR(__xludf.DUMMYFUNCTION("""COMPUTED_VALUE"""),"SANTA IZABEL DO PARA")</f>
        <v>SANTA IZABEL DO PARA</v>
      </c>
      <c r="Q16" s="266">
        <f>IFERROR(__xludf.DUMMYFUNCTION("""COMPUTED_VALUE"""),11.0)</f>
        <v>11</v>
      </c>
      <c r="R16" s="266" t="str">
        <f>IFERROR(__xludf.DUMMYFUNCTION("""COMPUTED_VALUE"""),"CACHOEIRA DO ARARI")</f>
        <v>CACHOEIRA DO ARARI</v>
      </c>
    </row>
    <row r="17" ht="22.5" customHeight="1">
      <c r="A17" s="268" t="s">
        <v>494</v>
      </c>
      <c r="B17" s="284" t="s">
        <v>642</v>
      </c>
      <c r="C17" s="276" t="s">
        <v>642</v>
      </c>
      <c r="D17" s="268" t="str">
        <f t="shared" si="2"/>
        <v>SIM</v>
      </c>
      <c r="E17" s="271" t="s">
        <v>61</v>
      </c>
      <c r="F17" s="272" t="s">
        <v>496</v>
      </c>
      <c r="G17" s="263" t="s">
        <v>610</v>
      </c>
      <c r="H17" s="264">
        <f t="array" ref="H17">IFS(G17="JUNHO 2026",XLOOKUP(F17,tabelaregiaoprecos[[#ALL],[Região]],tabelaregiaoprecos[[#ALL],[JUNHO 2026]]),G17="FEVEREIRO 2026",XLOOKUP(F17,tabelaregiaoprecos[[#ALL],[Região]],tabelaregiaoprecos[[#ALL],[FEVEREIRO 2026]]))</f>
        <v>89.38</v>
      </c>
      <c r="I17" s="265"/>
      <c r="J17" s="273">
        <f>IFERROR(__xludf.DUMMYFUNCTION("""COMPUTED_VALUE"""),12.0)</f>
        <v>12</v>
      </c>
      <c r="K17" s="273" t="str">
        <f>IFERROR(__xludf.DUMMYFUNCTION("""COMPUTED_VALUE"""),"OUREM")</f>
        <v>OUREM</v>
      </c>
      <c r="L17" s="274">
        <f>IFERROR(__xludf.DUMMYFUNCTION("""COMPUTED_VALUE"""),65.28)</f>
        <v>65.28</v>
      </c>
      <c r="N17" s="266">
        <f>IFERROR(__xludf.DUMMYFUNCTION("""COMPUTED_VALUE"""),12.0)</f>
        <v>12</v>
      </c>
      <c r="O17" s="266" t="str">
        <f>IFERROR(__xludf.DUMMYFUNCTION("""COMPUTED_VALUE"""),"SANTO ANTONIO DO TAUA")</f>
        <v>SANTO ANTONIO DO TAUA</v>
      </c>
      <c r="Q17" s="266">
        <f>IFERROR(__xludf.DUMMYFUNCTION("""COMPUTED_VALUE"""),12.0)</f>
        <v>12</v>
      </c>
      <c r="R17" s="266" t="str">
        <f>IFERROR(__xludf.DUMMYFUNCTION("""COMPUTED_VALUE"""),"CACHOEIRA DO PIRIA")</f>
        <v>CACHOEIRA DO PIRIA</v>
      </c>
    </row>
    <row r="18" ht="22.5" customHeight="1">
      <c r="A18" s="258" t="s">
        <v>515</v>
      </c>
      <c r="B18" s="278" t="s">
        <v>50</v>
      </c>
      <c r="C18" s="279" t="s">
        <v>50</v>
      </c>
      <c r="D18" s="258" t="str">
        <f t="shared" si="2"/>
        <v>SIM</v>
      </c>
      <c r="E18" s="261" t="s">
        <v>61</v>
      </c>
      <c r="F18" s="262" t="s">
        <v>132</v>
      </c>
      <c r="G18" s="263" t="s">
        <v>610</v>
      </c>
      <c r="H18" s="264">
        <f t="array" ref="H18">IFS(G18="JUNHO 2026",XLOOKUP(F18,tabelaregiaoprecos[[#ALL],[Região]],tabelaregiaoprecos[[#ALL],[JUNHO 2026]]),G18="FEVEREIRO 2026",XLOOKUP(F18,tabelaregiaoprecos[[#ALL],[Região]],tabelaregiaoprecos[[#ALL],[FEVEREIRO 2026]]))</f>
        <v>65.28</v>
      </c>
      <c r="I18" s="265"/>
      <c r="J18" s="273">
        <f>IFERROR(__xludf.DUMMYFUNCTION("""COMPUTED_VALUE"""),13.0)</f>
        <v>13</v>
      </c>
      <c r="K18" s="273" t="str">
        <f>IFERROR(__xludf.DUMMYFUNCTION("""COMPUTED_VALUE"""),"PARAGOMINAS")</f>
        <v>PARAGOMINAS</v>
      </c>
      <c r="L18" s="274">
        <f>IFERROR(__xludf.DUMMYFUNCTION("""COMPUTED_VALUE"""),65.28)</f>
        <v>65.28</v>
      </c>
      <c r="N18" s="266"/>
      <c r="O18" s="266"/>
      <c r="Q18" s="266">
        <f>IFERROR(__xludf.DUMMYFUNCTION("""COMPUTED_VALUE"""),13.0)</f>
        <v>13</v>
      </c>
      <c r="R18" s="266" t="str">
        <f>IFERROR(__xludf.DUMMYFUNCTION("""COMPUTED_VALUE"""),"CHAVES")</f>
        <v>CHAVES</v>
      </c>
    </row>
    <row r="19" ht="22.5" customHeight="1">
      <c r="A19" s="268" t="s">
        <v>551</v>
      </c>
      <c r="B19" s="269" t="s">
        <v>604</v>
      </c>
      <c r="C19" s="270" t="s">
        <v>604</v>
      </c>
      <c r="D19" s="268" t="str">
        <f t="shared" si="2"/>
        <v>NÃO</v>
      </c>
      <c r="E19" s="271" t="s">
        <v>374</v>
      </c>
      <c r="F19" s="272" t="s">
        <v>555</v>
      </c>
      <c r="G19" s="263" t="s">
        <v>610</v>
      </c>
      <c r="H19" s="264">
        <f t="array" ref="H19">IFS(G19="JUNHO 2026",XLOOKUP(F19,tabelaregiaoprecos[[#ALL],[Região]],tabelaregiaoprecos[[#ALL],[JUNHO 2026]]),G19="FEVEREIRO 2026",XLOOKUP(F19,tabelaregiaoprecos[[#ALL],[Região]],tabelaregiaoprecos[[#ALL],[FEVEREIRO 2026]]))</f>
        <v>87.51</v>
      </c>
      <c r="I19" s="265"/>
      <c r="J19" s="273">
        <f>IFERROR(__xludf.DUMMYFUNCTION("""COMPUTED_VALUE"""),14.0)</f>
        <v>14</v>
      </c>
      <c r="K19" s="273" t="str">
        <f>IFERROR(__xludf.DUMMYFUNCTION("""COMPUTED_VALUE"""),"RONDON DO PARA")</f>
        <v>RONDON DO PARA</v>
      </c>
      <c r="L19" s="274">
        <f>IFERROR(__xludf.DUMMYFUNCTION("""COMPUTED_VALUE"""),65.28)</f>
        <v>65.28</v>
      </c>
      <c r="N19" s="266"/>
      <c r="O19" s="266"/>
      <c r="Q19" s="266">
        <f>IFERROR(__xludf.DUMMYFUNCTION("""COMPUTED_VALUE"""),14.0)</f>
        <v>14</v>
      </c>
      <c r="R19" s="266" t="str">
        <f>IFERROR(__xludf.DUMMYFUNCTION("""COMPUTED_VALUE"""),"CONCEICAO DO ARAGUAIA")</f>
        <v>CONCEICAO DO ARAGUAIA</v>
      </c>
    </row>
    <row r="20" ht="22.5" customHeight="1">
      <c r="A20" s="258" t="s">
        <v>577</v>
      </c>
      <c r="B20" s="286" t="s">
        <v>642</v>
      </c>
      <c r="C20" s="287" t="s">
        <v>642</v>
      </c>
      <c r="D20" s="258" t="str">
        <f t="shared" si="2"/>
        <v>SIM</v>
      </c>
      <c r="E20" s="261" t="s">
        <v>258</v>
      </c>
      <c r="F20" s="262" t="s">
        <v>258</v>
      </c>
      <c r="G20" s="263" t="s">
        <v>610</v>
      </c>
      <c r="H20" s="264">
        <f t="array" ref="H20">IFS(G20="JUNHO 2026",XLOOKUP(F20,tabelaregiaoprecos[[#ALL],[Região]],tabelaregiaoprecos[[#ALL],[JUNHO 2026]]),G20="FEVEREIRO 2026",XLOOKUP(F20,tabelaregiaoprecos[[#ALL],[Região]],tabelaregiaoprecos[[#ALL],[FEVEREIRO 2026]]))</f>
        <v>89.59</v>
      </c>
      <c r="I20" s="265"/>
      <c r="J20" s="273">
        <f>IFERROR(__xludf.DUMMYFUNCTION("""COMPUTED_VALUE"""),15.0)</f>
        <v>15</v>
      </c>
      <c r="K20" s="273" t="str">
        <f>IFERROR(__xludf.DUMMYFUNCTION("""COMPUTED_VALUE"""),"TOME ACU")</f>
        <v>TOME ACU</v>
      </c>
      <c r="L20" s="274">
        <f>IFERROR(__xludf.DUMMYFUNCTION("""COMPUTED_VALUE"""),65.28)</f>
        <v>65.28</v>
      </c>
      <c r="N20" s="266"/>
      <c r="O20" s="266"/>
      <c r="Q20" s="266">
        <f>IFERROR(__xludf.DUMMYFUNCTION("""COMPUTED_VALUE"""),15.0)</f>
        <v>15</v>
      </c>
      <c r="R20" s="266" t="str">
        <f>IFERROR(__xludf.DUMMYFUNCTION("""COMPUTED_VALUE"""),"CUMARU DO NORTE")</f>
        <v>CUMARU DO NORTE</v>
      </c>
    </row>
    <row r="21" ht="22.5" customHeight="1">
      <c r="A21" s="268" t="s">
        <v>619</v>
      </c>
      <c r="B21" s="286" t="s">
        <v>50</v>
      </c>
      <c r="C21" s="288" t="s">
        <v>50</v>
      </c>
      <c r="D21" s="268" t="str">
        <f t="shared" si="2"/>
        <v>SIM</v>
      </c>
      <c r="E21" s="277" t="s">
        <v>61</v>
      </c>
      <c r="F21" s="272" t="s">
        <v>63</v>
      </c>
      <c r="G21" s="263" t="s">
        <v>610</v>
      </c>
      <c r="H21" s="264">
        <f t="array" ref="H21">IFS(G21="JUNHO 2026",XLOOKUP(F21,tabelaregiaoprecos[[#ALL],[Região]],tabelaregiaoprecos[[#ALL],[JUNHO 2026]]),G21="FEVEREIRO 2026",XLOOKUP(F21,tabelaregiaoprecos[[#ALL],[Região]],tabelaregiaoprecos[[#ALL],[FEVEREIRO 2026]]))</f>
        <v>87.51</v>
      </c>
      <c r="I21" s="265"/>
      <c r="J21" s="273">
        <f>IFERROR(__xludf.DUMMYFUNCTION("""COMPUTED_VALUE"""),16.0)</f>
        <v>16</v>
      </c>
      <c r="K21" s="273" t="str">
        <f>IFERROR(__xludf.DUMMYFUNCTION("""COMPUTED_VALUE"""),"ULIANOPOLIS")</f>
        <v>ULIANOPOLIS</v>
      </c>
      <c r="L21" s="274">
        <f>IFERROR(__xludf.DUMMYFUNCTION("""COMPUTED_VALUE"""),65.28)</f>
        <v>65.28</v>
      </c>
      <c r="N21" s="266"/>
      <c r="O21" s="266"/>
      <c r="Q21" s="266">
        <f>IFERROR(__xludf.DUMMYFUNCTION("""COMPUTED_VALUE"""),16.0)</f>
        <v>16</v>
      </c>
      <c r="R21" s="266" t="str">
        <f>IFERROR(__xludf.DUMMYFUNCTION("""COMPUTED_VALUE"""),"DOM ELISEU")</f>
        <v>DOM ELISEU</v>
      </c>
    </row>
    <row r="22" ht="22.5" customHeight="1">
      <c r="A22" s="258" t="s">
        <v>646</v>
      </c>
      <c r="B22" s="269" t="s">
        <v>604</v>
      </c>
      <c r="C22" s="275" t="s">
        <v>604</v>
      </c>
      <c r="D22" s="258" t="str">
        <f t="shared" si="2"/>
        <v>NÃO</v>
      </c>
      <c r="E22" s="280" t="s">
        <v>128</v>
      </c>
      <c r="F22" s="262" t="s">
        <v>280</v>
      </c>
      <c r="G22" s="263" t="s">
        <v>610</v>
      </c>
      <c r="H22" s="264">
        <f t="array" ref="H22">IFS(G22="JUNHO 2026",XLOOKUP(F22,tabelaregiaoprecos[[#ALL],[Região]],tabelaregiaoprecos[[#ALL],[JUNHO 2026]]),G22="FEVEREIRO 2026",XLOOKUP(F22,tabelaregiaoprecos[[#ALL],[Região]],tabelaregiaoprecos[[#ALL],[FEVEREIRO 2026]]))</f>
        <v>69.86</v>
      </c>
      <c r="I22" s="265"/>
      <c r="J22" s="273"/>
      <c r="K22" s="273"/>
      <c r="L22" s="274"/>
      <c r="N22" s="266"/>
      <c r="O22" s="266"/>
      <c r="Q22" s="266">
        <f>IFERROR(__xludf.DUMMYFUNCTION("""COMPUTED_VALUE"""),17.0)</f>
        <v>17</v>
      </c>
      <c r="R22" s="266" t="str">
        <f>IFERROR(__xludf.DUMMYFUNCTION("""COMPUTED_VALUE"""),"FARO")</f>
        <v>FARO</v>
      </c>
    </row>
    <row r="23" ht="22.5" customHeight="1">
      <c r="A23" s="268" t="s">
        <v>683</v>
      </c>
      <c r="B23" s="259" t="s">
        <v>605</v>
      </c>
      <c r="C23" s="281" t="s">
        <v>605</v>
      </c>
      <c r="D23" s="268" t="str">
        <f t="shared" si="2"/>
        <v>SIM</v>
      </c>
      <c r="E23" s="283" t="s">
        <v>411</v>
      </c>
      <c r="F23" s="272" t="s">
        <v>63</v>
      </c>
      <c r="G23" s="263" t="s">
        <v>610</v>
      </c>
      <c r="H23" s="264">
        <f t="array" ref="H23">IFS(G23="JUNHO 2026",XLOOKUP(F23,tabelaregiaoprecos[[#ALL],[Região]],tabelaregiaoprecos[[#ALL],[JUNHO 2026]]),G23="FEVEREIRO 2026",XLOOKUP(F23,tabelaregiaoprecos[[#ALL],[Região]],tabelaregiaoprecos[[#ALL],[FEVEREIRO 2026]]))</f>
        <v>87.51</v>
      </c>
      <c r="I23" s="265"/>
      <c r="J23" s="273"/>
      <c r="K23" s="273"/>
      <c r="L23" s="274"/>
      <c r="N23" s="266"/>
      <c r="O23" s="266"/>
      <c r="Q23" s="266">
        <f>IFERROR(__xludf.DUMMYFUNCTION("""COMPUTED_VALUE"""),18.0)</f>
        <v>18</v>
      </c>
      <c r="R23" s="266" t="str">
        <f>IFERROR(__xludf.DUMMYFUNCTION("""COMPUTED_VALUE"""),"GOIANESIA DO PARA")</f>
        <v>GOIANESIA DO PARA</v>
      </c>
    </row>
    <row r="24" ht="22.5" customHeight="1">
      <c r="A24" s="258" t="s">
        <v>173</v>
      </c>
      <c r="B24" s="286" t="s">
        <v>50</v>
      </c>
      <c r="C24" s="260" t="s">
        <v>605</v>
      </c>
      <c r="D24" s="258" t="str">
        <f t="shared" si="2"/>
        <v>SIM</v>
      </c>
      <c r="E24" s="283" t="s">
        <v>411</v>
      </c>
      <c r="F24" s="262" t="s">
        <v>658</v>
      </c>
      <c r="G24" s="263" t="s">
        <v>610</v>
      </c>
      <c r="H24" s="264">
        <f t="array" ref="H24">IFS(G24="JUNHO 2026",XLOOKUP(F24,tabelaregiaoprecos[[#ALL],[Região]],tabelaregiaoprecos[[#ALL],[JUNHO 2026]]),G24="FEVEREIRO 2026",XLOOKUP(F24,tabelaregiaoprecos[[#ALL],[Região]],tabelaregiaoprecos[[#ALL],[FEVEREIRO 2026]]))</f>
        <v>69.86</v>
      </c>
      <c r="I24" s="265"/>
      <c r="J24" s="289"/>
      <c r="K24" s="289"/>
      <c r="L24" s="290"/>
      <c r="M24" s="200"/>
      <c r="N24" s="266"/>
      <c r="O24" s="266"/>
      <c r="Q24" s="266">
        <f>IFERROR(__xludf.DUMMYFUNCTION("""COMPUTED_VALUE"""),19.0)</f>
        <v>19</v>
      </c>
      <c r="R24" s="266" t="str">
        <f>IFERROR(__xludf.DUMMYFUNCTION("""COMPUTED_VALUE"""),"GURUPA")</f>
        <v>GURUPA</v>
      </c>
    </row>
    <row r="25" ht="22.5" customHeight="1">
      <c r="A25" s="268" t="s">
        <v>687</v>
      </c>
      <c r="B25" s="286" t="s">
        <v>642</v>
      </c>
      <c r="C25" s="291" t="s">
        <v>605</v>
      </c>
      <c r="D25" s="268" t="str">
        <f t="shared" si="2"/>
        <v>SIM</v>
      </c>
      <c r="E25" s="277" t="s">
        <v>297</v>
      </c>
      <c r="F25" s="272" t="s">
        <v>297</v>
      </c>
      <c r="G25" s="263" t="s">
        <v>610</v>
      </c>
      <c r="H25" s="264">
        <f t="array" ref="H25">IFS(G25="JUNHO 2026",XLOOKUP(F25,tabelaregiaoprecos[[#ALL],[Região]],tabelaregiaoprecos[[#ALL],[JUNHO 2026]]),G25="FEVEREIRO 2026",XLOOKUP(F25,tabelaregiaoprecos[[#ALL],[Região]],tabelaregiaoprecos[[#ALL],[FEVEREIRO 2026]]))</f>
        <v>72.86</v>
      </c>
      <c r="I25" s="265"/>
      <c r="J25" s="289"/>
      <c r="K25" s="289"/>
      <c r="L25" s="290"/>
      <c r="N25" s="266"/>
      <c r="O25" s="266"/>
      <c r="Q25" s="266">
        <f>IFERROR(__xludf.DUMMYFUNCTION("""COMPUTED_VALUE"""),20.0)</f>
        <v>20</v>
      </c>
      <c r="R25" s="266" t="str">
        <f>IFERROR(__xludf.DUMMYFUNCTION("""COMPUTED_VALUE"""),"JACAREACANGA")</f>
        <v>JACAREACANGA</v>
      </c>
    </row>
    <row r="26" ht="22.5" customHeight="1">
      <c r="A26" s="258" t="s">
        <v>690</v>
      </c>
      <c r="B26" s="259" t="s">
        <v>605</v>
      </c>
      <c r="C26" s="281" t="s">
        <v>605</v>
      </c>
      <c r="D26" s="258" t="str">
        <f t="shared" si="2"/>
        <v>SIM</v>
      </c>
      <c r="E26" s="283" t="s">
        <v>411</v>
      </c>
      <c r="F26" s="262" t="s">
        <v>658</v>
      </c>
      <c r="G26" s="263" t="s">
        <v>610</v>
      </c>
      <c r="H26" s="264">
        <f t="array" ref="H26">IFS(G26="JUNHO 2026",XLOOKUP(F26,tabelaregiaoprecos[[#ALL],[Região]],tabelaregiaoprecos[[#ALL],[JUNHO 2026]]),G26="FEVEREIRO 2026",XLOOKUP(F26,tabelaregiaoprecos[[#ALL],[Região]],tabelaregiaoprecos[[#ALL],[FEVEREIRO 2026]]))</f>
        <v>69.86</v>
      </c>
      <c r="I26" s="265"/>
      <c r="J26" s="289"/>
      <c r="K26" s="289"/>
      <c r="L26" s="290"/>
      <c r="M26" s="200"/>
      <c r="N26" s="266"/>
      <c r="O26" s="266"/>
      <c r="Q26" s="266">
        <f>IFERROR(__xludf.DUMMYFUNCTION("""COMPUTED_VALUE"""),21.0)</f>
        <v>21</v>
      </c>
      <c r="R26" s="266" t="str">
        <f>IFERROR(__xludf.DUMMYFUNCTION("""COMPUTED_VALUE"""),"MELGACO")</f>
        <v>MELGACO</v>
      </c>
    </row>
    <row r="27" ht="22.5" customHeight="1">
      <c r="A27" s="268" t="s">
        <v>694</v>
      </c>
      <c r="B27" s="269" t="s">
        <v>604</v>
      </c>
      <c r="C27" s="270" t="s">
        <v>604</v>
      </c>
      <c r="D27" s="268" t="str">
        <f t="shared" si="2"/>
        <v>NÃO</v>
      </c>
      <c r="E27" s="277" t="s">
        <v>128</v>
      </c>
      <c r="F27" s="272" t="s">
        <v>695</v>
      </c>
      <c r="G27" s="263" t="s">
        <v>610</v>
      </c>
      <c r="H27" s="264">
        <f t="array" ref="H27">IFS(G27="JUNHO 2026",XLOOKUP(F27,tabelaregiaoprecos[[#ALL],[Região]],tabelaregiaoprecos[[#ALL],[JUNHO 2026]]),G27="FEVEREIRO 2026",XLOOKUP(F27,tabelaregiaoprecos[[#ALL],[Região]],tabelaregiaoprecos[[#ALL],[FEVEREIRO 2026]]))</f>
        <v>74.4</v>
      </c>
      <c r="I27" s="265"/>
      <c r="J27" s="289"/>
      <c r="K27" s="289"/>
      <c r="L27" s="290"/>
      <c r="N27" s="266"/>
      <c r="O27" s="266"/>
      <c r="Q27" s="266">
        <f>IFERROR(__xludf.DUMMYFUNCTION("""COMPUTED_VALUE"""),22.0)</f>
        <v>22</v>
      </c>
      <c r="R27" s="266" t="str">
        <f>IFERROR(__xludf.DUMMYFUNCTION("""COMPUTED_VALUE"""),"MOJUI DOS CAMPOS")</f>
        <v>MOJUI DOS CAMPOS</v>
      </c>
    </row>
    <row r="28" ht="22.5" customHeight="1">
      <c r="A28" s="258" t="s">
        <v>699</v>
      </c>
      <c r="B28" s="292" t="s">
        <v>642</v>
      </c>
      <c r="C28" s="287" t="s">
        <v>642</v>
      </c>
      <c r="D28" s="258" t="str">
        <f t="shared" si="2"/>
        <v>SIM</v>
      </c>
      <c r="E28" s="280" t="s">
        <v>61</v>
      </c>
      <c r="F28" s="262" t="s">
        <v>496</v>
      </c>
      <c r="G28" s="263" t="s">
        <v>610</v>
      </c>
      <c r="H28" s="264">
        <f t="array" ref="H28">IFS(G28="JUNHO 2026",XLOOKUP(F28,tabelaregiaoprecos[[#ALL],[Região]],tabelaregiaoprecos[[#ALL],[JUNHO 2026]]),G28="FEVEREIRO 2026",XLOOKUP(F28,tabelaregiaoprecos[[#ALL],[Região]],tabelaregiaoprecos[[#ALL],[FEVEREIRO 2026]]))</f>
        <v>89.38</v>
      </c>
      <c r="I28" s="265"/>
      <c r="J28" s="289"/>
      <c r="K28" s="289"/>
      <c r="L28" s="290"/>
      <c r="N28" s="266"/>
      <c r="O28" s="266"/>
      <c r="Q28" s="266">
        <f>IFERROR(__xludf.DUMMYFUNCTION("""COMPUTED_VALUE"""),23.0)</f>
        <v>23</v>
      </c>
      <c r="R28" s="266" t="str">
        <f>IFERROR(__xludf.DUMMYFUNCTION("""COMPUTED_VALUE"""),"NOVA ESPERANCA DO PIRIA")</f>
        <v>NOVA ESPERANCA DO PIRIA</v>
      </c>
    </row>
    <row r="29" ht="22.5" customHeight="1">
      <c r="A29" s="268" t="s">
        <v>701</v>
      </c>
      <c r="B29" s="259" t="s">
        <v>605</v>
      </c>
      <c r="C29" s="281" t="s">
        <v>605</v>
      </c>
      <c r="D29" s="268" t="str">
        <f t="shared" si="2"/>
        <v>SIM</v>
      </c>
      <c r="E29" s="277" t="s">
        <v>61</v>
      </c>
      <c r="F29" s="272" t="s">
        <v>496</v>
      </c>
      <c r="G29" s="263" t="s">
        <v>610</v>
      </c>
      <c r="H29" s="264">
        <f t="array" ref="H29">IFS(G29="JUNHO 2026",XLOOKUP(F29,tabelaregiaoprecos[[#ALL],[Região]],tabelaregiaoprecos[[#ALL],[JUNHO 2026]]),G29="FEVEREIRO 2026",XLOOKUP(F29,tabelaregiaoprecos[[#ALL],[Região]],tabelaregiaoprecos[[#ALL],[FEVEREIRO 2026]]))</f>
        <v>89.38</v>
      </c>
      <c r="I29" s="265"/>
      <c r="J29" s="289"/>
      <c r="K29" s="289"/>
      <c r="L29" s="290"/>
      <c r="N29" s="266"/>
      <c r="O29" s="266"/>
      <c r="Q29" s="266">
        <f>IFERROR(__xludf.DUMMYFUNCTION("""COMPUTED_VALUE"""),24.0)</f>
        <v>24</v>
      </c>
      <c r="R29" s="266" t="str">
        <f>IFERROR(__xludf.DUMMYFUNCTION("""COMPUTED_VALUE"""),"NOVA IPIXUNA")</f>
        <v>NOVA IPIXUNA</v>
      </c>
    </row>
    <row r="30" ht="22.5" customHeight="1">
      <c r="A30" s="258" t="s">
        <v>706</v>
      </c>
      <c r="B30" s="278" t="s">
        <v>50</v>
      </c>
      <c r="C30" s="279" t="s">
        <v>50</v>
      </c>
      <c r="D30" s="258" t="str">
        <f t="shared" si="2"/>
        <v>SIM</v>
      </c>
      <c r="E30" s="261" t="s">
        <v>374</v>
      </c>
      <c r="F30" s="262" t="s">
        <v>375</v>
      </c>
      <c r="G30" s="263" t="s">
        <v>610</v>
      </c>
      <c r="H30" s="264">
        <f t="array" ref="H30">IFS(G30="JUNHO 2026",XLOOKUP(F30,tabelaregiaoprecos[[#ALL],[Região]],tabelaregiaoprecos[[#ALL],[JUNHO 2026]]),G30="FEVEREIRO 2026",XLOOKUP(F30,tabelaregiaoprecos[[#ALL],[Região]],tabelaregiaoprecos[[#ALL],[FEVEREIRO 2026]]))</f>
        <v>76.32</v>
      </c>
      <c r="I30" s="265"/>
      <c r="J30" s="289"/>
      <c r="K30" s="289"/>
      <c r="L30" s="290"/>
      <c r="N30" s="266"/>
      <c r="O30" s="266"/>
      <c r="Q30" s="266">
        <f>IFERROR(__xludf.DUMMYFUNCTION("""COMPUTED_VALUE"""),25.0)</f>
        <v>25</v>
      </c>
      <c r="R30" s="266" t="str">
        <f>IFERROR(__xludf.DUMMYFUNCTION("""COMPUTED_VALUE"""),"NOVO PROGRESSO")</f>
        <v>NOVO PROGRESSO</v>
      </c>
    </row>
    <row r="31" ht="22.5" customHeight="1">
      <c r="A31" s="268" t="s">
        <v>712</v>
      </c>
      <c r="B31" s="269" t="s">
        <v>604</v>
      </c>
      <c r="C31" s="270" t="s">
        <v>604</v>
      </c>
      <c r="D31" s="268" t="str">
        <f t="shared" si="2"/>
        <v>NÃO</v>
      </c>
      <c r="E31" s="277" t="s">
        <v>128</v>
      </c>
      <c r="F31" s="272" t="s">
        <v>695</v>
      </c>
      <c r="G31" s="263" t="s">
        <v>610</v>
      </c>
      <c r="H31" s="264">
        <f t="array" ref="H31">IFS(G31="JUNHO 2026",XLOOKUP(F31,tabelaregiaoprecos[[#ALL],[Região]],tabelaregiaoprecos[[#ALL],[JUNHO 2026]]),G31="FEVEREIRO 2026",XLOOKUP(F31,tabelaregiaoprecos[[#ALL],[Região]],tabelaregiaoprecos[[#ALL],[FEVEREIRO 2026]]))</f>
        <v>74.4</v>
      </c>
      <c r="I31" s="265"/>
      <c r="J31" s="289"/>
      <c r="K31" s="289"/>
      <c r="L31" s="290"/>
      <c r="N31" s="266"/>
      <c r="O31" s="266"/>
      <c r="Q31" s="266">
        <f>IFERROR(__xludf.DUMMYFUNCTION("""COMPUTED_VALUE"""),26.0)</f>
        <v>26</v>
      </c>
      <c r="R31" s="266" t="str">
        <f>IFERROR(__xludf.DUMMYFUNCTION("""COMPUTED_VALUE"""),"OURILANDIA DO NORTE")</f>
        <v>OURILANDIA DO NORTE</v>
      </c>
    </row>
    <row r="32" ht="22.5" customHeight="1">
      <c r="A32" s="258" t="s">
        <v>716</v>
      </c>
      <c r="B32" s="269" t="s">
        <v>604</v>
      </c>
      <c r="C32" s="275" t="s">
        <v>604</v>
      </c>
      <c r="D32" s="258" t="str">
        <f t="shared" si="2"/>
        <v>NÃO</v>
      </c>
      <c r="E32" s="261" t="s">
        <v>128</v>
      </c>
      <c r="F32" s="262" t="s">
        <v>717</v>
      </c>
      <c r="G32" s="263" t="s">
        <v>610</v>
      </c>
      <c r="H32" s="264">
        <f t="array" ref="H32">IFS(G32="JUNHO 2026",XLOOKUP(F32,tabelaregiaoprecos[[#ALL],[Região]],tabelaregiaoprecos[[#ALL],[JUNHO 2026]]),G32="FEVEREIRO 2026",XLOOKUP(F32,tabelaregiaoprecos[[#ALL],[Região]],tabelaregiaoprecos[[#ALL],[FEVEREIRO 2026]]))</f>
        <v>79.99</v>
      </c>
      <c r="I32" s="265"/>
      <c r="J32" s="289"/>
      <c r="K32" s="289"/>
      <c r="L32" s="290"/>
      <c r="N32" s="266"/>
      <c r="O32" s="266"/>
      <c r="Q32" s="266">
        <f>IFERROR(__xludf.DUMMYFUNCTION("""COMPUTED_VALUE"""),27.0)</f>
        <v>27</v>
      </c>
      <c r="R32" s="266" t="str">
        <f>IFERROR(__xludf.DUMMYFUNCTION("""COMPUTED_VALUE"""),"PALESTINA DO PARA")</f>
        <v>PALESTINA DO PARA</v>
      </c>
    </row>
    <row r="33" ht="22.5" customHeight="1">
      <c r="A33" s="268" t="s">
        <v>719</v>
      </c>
      <c r="B33" s="292" t="s">
        <v>642</v>
      </c>
      <c r="C33" s="281" t="s">
        <v>605</v>
      </c>
      <c r="D33" s="268" t="str">
        <f t="shared" si="2"/>
        <v>SIM</v>
      </c>
      <c r="E33" s="277" t="s">
        <v>258</v>
      </c>
      <c r="F33" s="272" t="s">
        <v>258</v>
      </c>
      <c r="G33" s="263" t="s">
        <v>610</v>
      </c>
      <c r="H33" s="264">
        <f t="array" ref="H33">IFS(G33="JUNHO 2026",XLOOKUP(F33,tabelaregiaoprecos[[#ALL],[Região]],tabelaregiaoprecos[[#ALL],[JUNHO 2026]]),G33="FEVEREIRO 2026",XLOOKUP(F33,tabelaregiaoprecos[[#ALL],[Região]],tabelaregiaoprecos[[#ALL],[FEVEREIRO 2026]]))</f>
        <v>89.59</v>
      </c>
      <c r="I33" s="265"/>
      <c r="J33" s="289"/>
      <c r="K33" s="289"/>
      <c r="L33" s="290"/>
      <c r="N33" s="266"/>
      <c r="O33" s="266"/>
      <c r="Q33" s="266">
        <f>IFERROR(__xludf.DUMMYFUNCTION("""COMPUTED_VALUE"""),28.0)</f>
        <v>28</v>
      </c>
      <c r="R33" s="266" t="str">
        <f>IFERROR(__xludf.DUMMYFUNCTION("""COMPUTED_VALUE"""),"PICARRA")</f>
        <v>PICARRA</v>
      </c>
    </row>
    <row r="34" ht="22.5" customHeight="1">
      <c r="A34" s="258" t="s">
        <v>728</v>
      </c>
      <c r="B34" s="292" t="s">
        <v>642</v>
      </c>
      <c r="C34" s="287" t="s">
        <v>642</v>
      </c>
      <c r="D34" s="258" t="str">
        <f t="shared" si="2"/>
        <v>SIM</v>
      </c>
      <c r="E34" s="283" t="s">
        <v>411</v>
      </c>
      <c r="F34" s="262" t="s">
        <v>132</v>
      </c>
      <c r="G34" s="263" t="s">
        <v>610</v>
      </c>
      <c r="H34" s="264">
        <f t="array" ref="H34">IFS(G34="JUNHO 2026",XLOOKUP(F34,tabelaregiaoprecos[[#ALL],[Região]],tabelaregiaoprecos[[#ALL],[JUNHO 2026]]),G34="FEVEREIRO 2026",XLOOKUP(F34,tabelaregiaoprecos[[#ALL],[Região]],tabelaregiaoprecos[[#ALL],[FEVEREIRO 2026]]))</f>
        <v>65.28</v>
      </c>
      <c r="I34" s="265"/>
      <c r="J34" s="289"/>
      <c r="K34" s="289"/>
      <c r="L34" s="290"/>
      <c r="N34" s="266"/>
      <c r="O34" s="266"/>
      <c r="Q34" s="266">
        <f>IFERROR(__xludf.DUMMYFUNCTION("""COMPUTED_VALUE"""),29.0)</f>
        <v>29</v>
      </c>
      <c r="R34" s="266" t="str">
        <f>IFERROR(__xludf.DUMMYFUNCTION("""COMPUTED_VALUE"""),"PORTEL")</f>
        <v>PORTEL</v>
      </c>
    </row>
    <row r="35" ht="22.5" customHeight="1">
      <c r="A35" s="268" t="s">
        <v>739</v>
      </c>
      <c r="B35" s="269" t="s">
        <v>604</v>
      </c>
      <c r="C35" s="270" t="s">
        <v>604</v>
      </c>
      <c r="D35" s="268" t="str">
        <f t="shared" si="2"/>
        <v>NÃO</v>
      </c>
      <c r="E35" s="277" t="s">
        <v>258</v>
      </c>
      <c r="F35" s="272" t="s">
        <v>258</v>
      </c>
      <c r="G35" s="263" t="s">
        <v>610</v>
      </c>
      <c r="H35" s="264">
        <f t="array" ref="H35">IFS(G35="JUNHO 2026",XLOOKUP(F35,tabelaregiaoprecos[[#ALL],[Região]],tabelaregiaoprecos[[#ALL],[JUNHO 2026]]),G35="FEVEREIRO 2026",XLOOKUP(F35,tabelaregiaoprecos[[#ALL],[Região]],tabelaregiaoprecos[[#ALL],[FEVEREIRO 2026]]))</f>
        <v>89.59</v>
      </c>
      <c r="I35" s="265"/>
      <c r="J35" s="289"/>
      <c r="K35" s="289"/>
      <c r="L35" s="290"/>
      <c r="N35" s="266"/>
      <c r="O35" s="266"/>
      <c r="Q35" s="266">
        <f>IFERROR(__xludf.DUMMYFUNCTION("""COMPUTED_VALUE"""),30.0)</f>
        <v>30</v>
      </c>
      <c r="R35" s="266" t="str">
        <f>IFERROR(__xludf.DUMMYFUNCTION("""COMPUTED_VALUE"""),"PORTO DE MOZ")</f>
        <v>PORTO DE MOZ</v>
      </c>
    </row>
    <row r="36" ht="22.5" customHeight="1">
      <c r="A36" s="258" t="s">
        <v>744</v>
      </c>
      <c r="B36" s="269" t="s">
        <v>604</v>
      </c>
      <c r="C36" s="275" t="s">
        <v>604</v>
      </c>
      <c r="D36" s="258" t="str">
        <f t="shared" si="2"/>
        <v>NÃO</v>
      </c>
      <c r="E36" s="261" t="s">
        <v>61</v>
      </c>
      <c r="F36" s="262" t="s">
        <v>496</v>
      </c>
      <c r="G36" s="263" t="s">
        <v>610</v>
      </c>
      <c r="H36" s="264">
        <f t="array" ref="H36">IFS(G36="JUNHO 2026",XLOOKUP(F36,tabelaregiaoprecos[[#ALL],[Região]],tabelaregiaoprecos[[#ALL],[JUNHO 2026]]),G36="FEVEREIRO 2026",XLOOKUP(F36,tabelaregiaoprecos[[#ALL],[Região]],tabelaregiaoprecos[[#ALL],[FEVEREIRO 2026]]))</f>
        <v>89.38</v>
      </c>
      <c r="I36" s="265"/>
      <c r="J36" s="289"/>
      <c r="K36" s="289"/>
      <c r="L36" s="290"/>
      <c r="N36" s="266"/>
      <c r="O36" s="266"/>
      <c r="Q36" s="266">
        <f>IFERROR(__xludf.DUMMYFUNCTION("""COMPUTED_VALUE"""),31.0)</f>
        <v>31</v>
      </c>
      <c r="R36" s="266" t="str">
        <f>IFERROR(__xludf.DUMMYFUNCTION("""COMPUTED_VALUE"""),"PRAINHA")</f>
        <v>PRAINHA</v>
      </c>
    </row>
    <row r="37" ht="22.5" customHeight="1">
      <c r="A37" s="268" t="s">
        <v>748</v>
      </c>
      <c r="B37" s="292" t="s">
        <v>642</v>
      </c>
      <c r="C37" s="281" t="s">
        <v>605</v>
      </c>
      <c r="D37" s="268" t="str">
        <f t="shared" si="2"/>
        <v>SIM</v>
      </c>
      <c r="E37" s="277" t="s">
        <v>61</v>
      </c>
      <c r="F37" s="272" t="s">
        <v>63</v>
      </c>
      <c r="G37" s="263" t="s">
        <v>610</v>
      </c>
      <c r="H37" s="264">
        <f t="array" ref="H37">IFS(G37="JUNHO 2026",XLOOKUP(F37,tabelaregiaoprecos[[#ALL],[Região]],tabelaregiaoprecos[[#ALL],[JUNHO 2026]]),G37="FEVEREIRO 2026",XLOOKUP(F37,tabelaregiaoprecos[[#ALL],[Região]],tabelaregiaoprecos[[#ALL],[FEVEREIRO 2026]]))</f>
        <v>87.51</v>
      </c>
      <c r="I37" s="265"/>
      <c r="J37" s="289"/>
      <c r="K37" s="289"/>
      <c r="L37" s="290"/>
      <c r="N37" s="266"/>
      <c r="O37" s="266"/>
      <c r="Q37" s="266">
        <f>IFERROR(__xludf.DUMMYFUNCTION("""COMPUTED_VALUE"""),32.0)</f>
        <v>32</v>
      </c>
      <c r="R37" s="266" t="str">
        <f>IFERROR(__xludf.DUMMYFUNCTION("""COMPUTED_VALUE"""),"RONDON DO PARA")</f>
        <v>RONDON DO PARA</v>
      </c>
    </row>
    <row r="38" ht="22.5" customHeight="1">
      <c r="A38" s="258" t="s">
        <v>761</v>
      </c>
      <c r="B38" s="259" t="s">
        <v>605</v>
      </c>
      <c r="C38" s="260" t="s">
        <v>605</v>
      </c>
      <c r="D38" s="258" t="str">
        <f t="shared" si="2"/>
        <v>SIM</v>
      </c>
      <c r="E38" s="261" t="s">
        <v>128</v>
      </c>
      <c r="F38" s="262" t="s">
        <v>695</v>
      </c>
      <c r="G38" s="263" t="s">
        <v>610</v>
      </c>
      <c r="H38" s="264">
        <f t="array" ref="H38">IFS(G38="JUNHO 2026",XLOOKUP(F38,tabelaregiaoprecos[[#ALL],[Região]],tabelaregiaoprecos[[#ALL],[JUNHO 2026]]),G38="FEVEREIRO 2026",XLOOKUP(F38,tabelaregiaoprecos[[#ALL],[Região]],tabelaregiaoprecos[[#ALL],[FEVEREIRO 2026]]))</f>
        <v>74.4</v>
      </c>
      <c r="I38" s="265"/>
      <c r="J38" s="289"/>
      <c r="K38" s="289"/>
      <c r="L38" s="290"/>
      <c r="N38" s="266"/>
      <c r="O38" s="266"/>
      <c r="Q38" s="266">
        <f>IFERROR(__xludf.DUMMYFUNCTION("""COMPUTED_VALUE"""),33.0)</f>
        <v>33</v>
      </c>
      <c r="R38" s="266" t="str">
        <f>IFERROR(__xludf.DUMMYFUNCTION("""COMPUTED_VALUE"""),"SANTA CRUZ DO ARARI")</f>
        <v>SANTA CRUZ DO ARARI</v>
      </c>
    </row>
    <row r="39" ht="22.5" customHeight="1">
      <c r="A39" s="268" t="s">
        <v>769</v>
      </c>
      <c r="B39" s="259" t="s">
        <v>605</v>
      </c>
      <c r="C39" s="281" t="s">
        <v>605</v>
      </c>
      <c r="D39" s="268" t="str">
        <f t="shared" si="2"/>
        <v>SIM</v>
      </c>
      <c r="E39" s="271" t="s">
        <v>61</v>
      </c>
      <c r="F39" s="272" t="s">
        <v>496</v>
      </c>
      <c r="G39" s="263" t="s">
        <v>610</v>
      </c>
      <c r="H39" s="264">
        <f t="array" ref="H39">IFS(G39="JUNHO 2026",XLOOKUP(F39,tabelaregiaoprecos[[#ALL],[Região]],tabelaregiaoprecos[[#ALL],[JUNHO 2026]]),G39="FEVEREIRO 2026",XLOOKUP(F39,tabelaregiaoprecos[[#ALL],[Região]],tabelaregiaoprecos[[#ALL],[FEVEREIRO 2026]]))</f>
        <v>89.38</v>
      </c>
      <c r="I39" s="265"/>
      <c r="J39" s="289"/>
      <c r="K39" s="289"/>
      <c r="L39" s="290"/>
      <c r="N39" s="266"/>
      <c r="O39" s="266"/>
      <c r="Q39" s="266">
        <f>IFERROR(__xludf.DUMMYFUNCTION("""COMPUTED_VALUE"""),34.0)</f>
        <v>34</v>
      </c>
      <c r="R39" s="266" t="str">
        <f>IFERROR(__xludf.DUMMYFUNCTION("""COMPUTED_VALUE"""),"SANTA LUZIA DO PARA")</f>
        <v>SANTA LUZIA DO PARA</v>
      </c>
    </row>
    <row r="40" ht="22.5" customHeight="1">
      <c r="A40" s="258" t="s">
        <v>775</v>
      </c>
      <c r="B40" s="292" t="s">
        <v>642</v>
      </c>
      <c r="C40" s="260" t="s">
        <v>642</v>
      </c>
      <c r="D40" s="258" t="str">
        <f t="shared" si="2"/>
        <v>SIM</v>
      </c>
      <c r="E40" s="280" t="s">
        <v>61</v>
      </c>
      <c r="F40" s="262" t="s">
        <v>132</v>
      </c>
      <c r="G40" s="263" t="s">
        <v>610</v>
      </c>
      <c r="H40" s="264">
        <f t="array" ref="H40">IFS(G40="JUNHO 2026",XLOOKUP(F40,tabelaregiaoprecos[[#ALL],[Região]],tabelaregiaoprecos[[#ALL],[JUNHO 2026]]),G40="FEVEREIRO 2026",XLOOKUP(F40,tabelaregiaoprecos[[#ALL],[Região]],tabelaregiaoprecos[[#ALL],[FEVEREIRO 2026]]))</f>
        <v>65.28</v>
      </c>
      <c r="I40" s="265"/>
      <c r="J40" s="289"/>
      <c r="K40" s="289"/>
      <c r="L40" s="290"/>
      <c r="N40" s="266"/>
      <c r="O40" s="266"/>
      <c r="Q40" s="266">
        <f>IFERROR(__xludf.DUMMYFUNCTION("""COMPUTED_VALUE"""),35.0)</f>
        <v>35</v>
      </c>
      <c r="R40" s="266" t="str">
        <f>IFERROR(__xludf.DUMMYFUNCTION("""COMPUTED_VALUE"""),"SANTA MARIA DAS BARREIRAS")</f>
        <v>SANTA MARIA DAS BARREIRAS</v>
      </c>
    </row>
    <row r="41" ht="22.5" customHeight="1">
      <c r="A41" s="268" t="s">
        <v>358</v>
      </c>
      <c r="B41" s="330" t="s">
        <v>605</v>
      </c>
      <c r="C41" s="281" t="s">
        <v>605</v>
      </c>
      <c r="D41" s="268" t="str">
        <f t="shared" si="2"/>
        <v>SIM</v>
      </c>
      <c r="E41" s="283" t="s">
        <v>411</v>
      </c>
      <c r="F41" s="272" t="s">
        <v>798</v>
      </c>
      <c r="G41" s="263" t="s">
        <v>610</v>
      </c>
      <c r="H41" s="264">
        <f t="array" ref="H41">IFS(G41="JUNHO 2026",XLOOKUP(F41,tabelaregiaoprecos[[#ALL],[Região]],tabelaregiaoprecos[[#ALL],[JUNHO 2026]]),G41="FEVEREIRO 2026",XLOOKUP(F41,tabelaregiaoprecos[[#ALL],[Região]],tabelaregiaoprecos[[#ALL],[FEVEREIRO 2026]]))</f>
        <v>77.04</v>
      </c>
      <c r="I41" s="265"/>
      <c r="J41" s="289"/>
      <c r="K41" s="289"/>
      <c r="L41" s="290"/>
      <c r="N41" s="266"/>
      <c r="O41" s="266"/>
      <c r="Q41" s="266">
        <f>IFERROR(__xludf.DUMMYFUNCTION("""COMPUTED_VALUE"""),36.0)</f>
        <v>36</v>
      </c>
      <c r="R41" s="266" t="str">
        <f>IFERROR(__xludf.DUMMYFUNCTION("""COMPUTED_VALUE"""),"SANTANA DO ARAGUAIA")</f>
        <v>SANTANA DO ARAGUAIA</v>
      </c>
    </row>
    <row r="42" ht="22.5" customHeight="1">
      <c r="A42" s="258" t="s">
        <v>802</v>
      </c>
      <c r="B42" s="282" t="s">
        <v>604</v>
      </c>
      <c r="C42" s="275" t="s">
        <v>604</v>
      </c>
      <c r="D42" s="258" t="str">
        <f t="shared" si="2"/>
        <v>NÃO</v>
      </c>
      <c r="E42" s="261" t="s">
        <v>258</v>
      </c>
      <c r="F42" s="262" t="s">
        <v>258</v>
      </c>
      <c r="G42" s="263" t="s">
        <v>610</v>
      </c>
      <c r="H42" s="264">
        <f t="array" ref="H42">IFS(G42="JUNHO 2026",XLOOKUP(F42,tabelaregiaoprecos[[#ALL],[Região]],tabelaregiaoprecos[[#ALL],[JUNHO 2026]]),G42="FEVEREIRO 2026",XLOOKUP(F42,tabelaregiaoprecos[[#ALL],[Região]],tabelaregiaoprecos[[#ALL],[FEVEREIRO 2026]]))</f>
        <v>89.59</v>
      </c>
      <c r="I42" s="265"/>
      <c r="J42" s="200"/>
      <c r="K42" s="200"/>
      <c r="L42" s="248"/>
      <c r="N42" s="266"/>
      <c r="O42" s="266"/>
      <c r="Q42" s="266">
        <f>IFERROR(__xludf.DUMMYFUNCTION("""COMPUTED_VALUE"""),37.0)</f>
        <v>37</v>
      </c>
      <c r="R42" s="266" t="str">
        <f>IFERROR(__xludf.DUMMYFUNCTION("""COMPUTED_VALUE"""),"SAO DOMINGOS DO ARAGUAIA")</f>
        <v>SAO DOMINGOS DO ARAGUAIA</v>
      </c>
    </row>
    <row r="43" ht="22.5" customHeight="1">
      <c r="A43" s="268" t="s">
        <v>805</v>
      </c>
      <c r="B43" s="292" t="s">
        <v>642</v>
      </c>
      <c r="C43" s="276" t="s">
        <v>642</v>
      </c>
      <c r="D43" s="268" t="str">
        <f t="shared" si="2"/>
        <v>SIM</v>
      </c>
      <c r="E43" s="277" t="s">
        <v>61</v>
      </c>
      <c r="F43" s="272" t="s">
        <v>798</v>
      </c>
      <c r="G43" s="263" t="s">
        <v>610</v>
      </c>
      <c r="H43" s="264">
        <f t="array" ref="H43">IFS(G43="JUNHO 2026",XLOOKUP(F43,tabelaregiaoprecos[[#ALL],[Região]],tabelaregiaoprecos[[#ALL],[JUNHO 2026]]),G43="FEVEREIRO 2026",XLOOKUP(F43,tabelaregiaoprecos[[#ALL],[Região]],tabelaregiaoprecos[[#ALL],[FEVEREIRO 2026]]))</f>
        <v>77.04</v>
      </c>
      <c r="I43" s="265"/>
      <c r="J43" s="200"/>
      <c r="K43" s="200"/>
      <c r="L43" s="248"/>
      <c r="N43" s="266"/>
      <c r="O43" s="266"/>
      <c r="Q43" s="266">
        <f>IFERROR(__xludf.DUMMYFUNCTION("""COMPUTED_VALUE"""),38.0)</f>
        <v>38</v>
      </c>
      <c r="R43" s="266" t="str">
        <f>IFERROR(__xludf.DUMMYFUNCTION("""COMPUTED_VALUE"""),"SAO FELIX DO XINGU")</f>
        <v>SAO FELIX DO XINGU</v>
      </c>
    </row>
    <row r="44" ht="22.5" customHeight="1">
      <c r="A44" s="258" t="s">
        <v>812</v>
      </c>
      <c r="B44" s="282" t="s">
        <v>604</v>
      </c>
      <c r="C44" s="275" t="s">
        <v>604</v>
      </c>
      <c r="D44" s="258" t="str">
        <f t="shared" si="2"/>
        <v>NÃO</v>
      </c>
      <c r="E44" s="280" t="s">
        <v>128</v>
      </c>
      <c r="F44" s="262" t="s">
        <v>280</v>
      </c>
      <c r="G44" s="263" t="s">
        <v>610</v>
      </c>
      <c r="H44" s="264">
        <f t="array" ref="H44">IFS(G44="JUNHO 2026",XLOOKUP(F44,tabelaregiaoprecos[[#ALL],[Região]],tabelaregiaoprecos[[#ALL],[JUNHO 2026]]),G44="FEVEREIRO 2026",XLOOKUP(F44,tabelaregiaoprecos[[#ALL],[Região]],tabelaregiaoprecos[[#ALL],[FEVEREIRO 2026]]))</f>
        <v>69.86</v>
      </c>
      <c r="I44" s="265"/>
      <c r="J44" s="200"/>
      <c r="K44" s="200"/>
      <c r="L44" s="248"/>
      <c r="N44" s="266"/>
      <c r="O44" s="266"/>
      <c r="Q44" s="266">
        <f>IFERROR(__xludf.DUMMYFUNCTION("""COMPUTED_VALUE"""),39.0)</f>
        <v>39</v>
      </c>
      <c r="R44" s="266" t="str">
        <f>IFERROR(__xludf.DUMMYFUNCTION("""COMPUTED_VALUE"""),"SAO GERALDO DO ARAGUAIA")</f>
        <v>SAO GERALDO DO ARAGUAIA</v>
      </c>
    </row>
    <row r="45" ht="22.5" customHeight="1">
      <c r="A45" s="268" t="s">
        <v>817</v>
      </c>
      <c r="B45" s="284" t="s">
        <v>642</v>
      </c>
      <c r="C45" s="276" t="s">
        <v>642</v>
      </c>
      <c r="D45" s="268" t="str">
        <f t="shared" si="2"/>
        <v>SIM</v>
      </c>
      <c r="E45" s="277" t="s">
        <v>61</v>
      </c>
      <c r="F45" s="272" t="s">
        <v>132</v>
      </c>
      <c r="G45" s="263" t="s">
        <v>610</v>
      </c>
      <c r="H45" s="264">
        <f t="array" ref="H45">IFS(G45="JUNHO 2026",XLOOKUP(F45,tabelaregiaoprecos[[#ALL],[Região]],tabelaregiaoprecos[[#ALL],[JUNHO 2026]]),G45="FEVEREIRO 2026",XLOOKUP(F45,tabelaregiaoprecos[[#ALL],[Região]],tabelaregiaoprecos[[#ALL],[FEVEREIRO 2026]]))</f>
        <v>65.28</v>
      </c>
      <c r="I45" s="265"/>
      <c r="J45" s="200"/>
      <c r="K45" s="200"/>
      <c r="L45" s="248"/>
      <c r="N45" s="266"/>
      <c r="O45" s="266"/>
      <c r="Q45" s="266">
        <f>IFERROR(__xludf.DUMMYFUNCTION("""COMPUTED_VALUE"""),40.0)</f>
        <v>40</v>
      </c>
      <c r="R45" s="266" t="str">
        <f>IFERROR(__xludf.DUMMYFUNCTION("""COMPUTED_VALUE"""),"SAO JOAO DO ARAGUAIA")</f>
        <v>SAO JOAO DO ARAGUAIA</v>
      </c>
    </row>
    <row r="46" ht="22.5" customHeight="1">
      <c r="A46" s="258" t="s">
        <v>822</v>
      </c>
      <c r="B46" s="282" t="s">
        <v>604</v>
      </c>
      <c r="C46" s="275" t="s">
        <v>604</v>
      </c>
      <c r="D46" s="258" t="str">
        <f t="shared" si="2"/>
        <v>NÃO</v>
      </c>
      <c r="E46" s="261" t="s">
        <v>128</v>
      </c>
      <c r="F46" s="262" t="s">
        <v>280</v>
      </c>
      <c r="G46" s="263" t="s">
        <v>610</v>
      </c>
      <c r="H46" s="264">
        <f t="array" ref="H46">IFS(G46="JUNHO 2026",XLOOKUP(F46,tabelaregiaoprecos[[#ALL],[Região]],tabelaregiaoprecos[[#ALL],[JUNHO 2026]]),G46="FEVEREIRO 2026",XLOOKUP(F46,tabelaregiaoprecos[[#ALL],[Região]],tabelaregiaoprecos[[#ALL],[FEVEREIRO 2026]]))</f>
        <v>69.86</v>
      </c>
      <c r="I46" s="265"/>
      <c r="J46" s="200"/>
      <c r="K46" s="200"/>
      <c r="L46" s="248"/>
      <c r="N46" s="266"/>
      <c r="O46" s="266"/>
      <c r="Q46" s="266">
        <f>IFERROR(__xludf.DUMMYFUNCTION("""COMPUTED_VALUE"""),41.0)</f>
        <v>41</v>
      </c>
      <c r="R46" s="266" t="str">
        <f>IFERROR(__xludf.DUMMYFUNCTION("""COMPUTED_VALUE"""),"TRAIRAO")</f>
        <v>TRAIRAO</v>
      </c>
    </row>
    <row r="47" ht="22.5" customHeight="1">
      <c r="A47" s="268" t="s">
        <v>826</v>
      </c>
      <c r="B47" s="292" t="s">
        <v>642</v>
      </c>
      <c r="C47" s="287" t="s">
        <v>642</v>
      </c>
      <c r="D47" s="268" t="str">
        <f t="shared" si="2"/>
        <v>SIM</v>
      </c>
      <c r="E47" s="277" t="s">
        <v>128</v>
      </c>
      <c r="F47" s="272" t="s">
        <v>695</v>
      </c>
      <c r="G47" s="263" t="s">
        <v>610</v>
      </c>
      <c r="H47" s="264">
        <f t="array" ref="H47">IFS(G47="JUNHO 2026",XLOOKUP(F47,tabelaregiaoprecos[[#ALL],[Região]],tabelaregiaoprecos[[#ALL],[JUNHO 2026]]),G47="FEVEREIRO 2026",XLOOKUP(F47,tabelaregiaoprecos[[#ALL],[Região]],tabelaregiaoprecos[[#ALL],[FEVEREIRO 2026]]))</f>
        <v>74.4</v>
      </c>
      <c r="I47" s="265"/>
      <c r="J47" s="200"/>
      <c r="K47" s="200"/>
      <c r="L47" s="248"/>
      <c r="N47" s="266"/>
      <c r="O47" s="266"/>
      <c r="Q47" s="266">
        <f>IFERROR(__xludf.DUMMYFUNCTION("""COMPUTED_VALUE"""),42.0)</f>
        <v>42</v>
      </c>
      <c r="R47" s="266" t="str">
        <f>IFERROR(__xludf.DUMMYFUNCTION("""COMPUTED_VALUE"""),"TUCUMA")</f>
        <v>TUCUMA</v>
      </c>
    </row>
    <row r="48" ht="22.5" customHeight="1">
      <c r="A48" s="258" t="s">
        <v>827</v>
      </c>
      <c r="B48" s="292" t="s">
        <v>642</v>
      </c>
      <c r="C48" s="287" t="s">
        <v>642</v>
      </c>
      <c r="D48" s="258" t="str">
        <f t="shared" si="2"/>
        <v>SIM</v>
      </c>
      <c r="E48" s="261" t="s">
        <v>258</v>
      </c>
      <c r="F48" s="262" t="s">
        <v>258</v>
      </c>
      <c r="G48" s="263" t="s">
        <v>610</v>
      </c>
      <c r="H48" s="264">
        <f t="array" ref="H48">IFS(G48="JUNHO 2026",XLOOKUP(F48,tabelaregiaoprecos[[#ALL],[Região]],tabelaregiaoprecos[[#ALL],[JUNHO 2026]]),G48="FEVEREIRO 2026",XLOOKUP(F48,tabelaregiaoprecos[[#ALL],[Região]],tabelaregiaoprecos[[#ALL],[FEVEREIRO 2026]]))</f>
        <v>89.59</v>
      </c>
      <c r="I48" s="265"/>
      <c r="J48" s="200"/>
      <c r="K48" s="200"/>
      <c r="L48" s="248"/>
      <c r="N48" s="266"/>
      <c r="O48" s="266"/>
      <c r="Q48" s="266">
        <f>IFERROR(__xludf.DUMMYFUNCTION("""COMPUTED_VALUE"""),43.0)</f>
        <v>43</v>
      </c>
      <c r="R48" s="266" t="str">
        <f>IFERROR(__xludf.DUMMYFUNCTION("""COMPUTED_VALUE"""),"ULIANOPOLIS")</f>
        <v>ULIANOPOLIS</v>
      </c>
    </row>
    <row r="49" ht="22.5" customHeight="1">
      <c r="A49" s="268" t="s">
        <v>828</v>
      </c>
      <c r="B49" s="368" t="s">
        <v>50</v>
      </c>
      <c r="C49" s="288" t="s">
        <v>50</v>
      </c>
      <c r="D49" s="268" t="str">
        <f t="shared" si="2"/>
        <v>SIM</v>
      </c>
      <c r="E49" s="277" t="s">
        <v>297</v>
      </c>
      <c r="F49" s="272" t="s">
        <v>297</v>
      </c>
      <c r="G49" s="263" t="s">
        <v>610</v>
      </c>
      <c r="H49" s="264">
        <f t="array" ref="H49">IFS(G49="JUNHO 2026",XLOOKUP(F49,tabelaregiaoprecos[[#ALL],[Região]],tabelaregiaoprecos[[#ALL],[JUNHO 2026]]),G49="FEVEREIRO 2026",XLOOKUP(F49,tabelaregiaoprecos[[#ALL],[Região]],tabelaregiaoprecos[[#ALL],[FEVEREIRO 2026]]))</f>
        <v>72.86</v>
      </c>
      <c r="I49" s="265"/>
      <c r="J49" s="200"/>
      <c r="K49" s="200"/>
      <c r="L49" s="248"/>
      <c r="N49" s="266"/>
      <c r="O49" s="266"/>
      <c r="Q49" s="266">
        <f>IFERROR(__xludf.DUMMYFUNCTION("""COMPUTED_VALUE"""),44.0)</f>
        <v>44</v>
      </c>
      <c r="R49" s="266" t="str">
        <f>IFERROR(__xludf.DUMMYFUNCTION("""COMPUTED_VALUE"""),"VISEU")</f>
        <v>VISEU</v>
      </c>
    </row>
    <row r="50" ht="22.5" customHeight="1">
      <c r="A50" s="258" t="s">
        <v>833</v>
      </c>
      <c r="B50" s="292" t="s">
        <v>642</v>
      </c>
      <c r="C50" s="287" t="s">
        <v>642</v>
      </c>
      <c r="D50" s="258" t="str">
        <f t="shared" si="2"/>
        <v>SIM</v>
      </c>
      <c r="E50" s="261" t="s">
        <v>61</v>
      </c>
      <c r="F50" s="262" t="s">
        <v>798</v>
      </c>
      <c r="G50" s="263" t="s">
        <v>610</v>
      </c>
      <c r="H50" s="264">
        <f t="array" ref="H50">IFS(G50="JUNHO 2026",XLOOKUP(F50,tabelaregiaoprecos[[#ALL],[Região]],tabelaregiaoprecos[[#ALL],[JUNHO 2026]]),G50="FEVEREIRO 2026",XLOOKUP(F50,tabelaregiaoprecos[[#ALL],[Região]],tabelaregiaoprecos[[#ALL],[FEVEREIRO 2026]]))</f>
        <v>77.04</v>
      </c>
      <c r="I50" s="265"/>
      <c r="J50" s="200"/>
      <c r="K50" s="200"/>
      <c r="L50" s="248"/>
      <c r="N50" s="266"/>
      <c r="O50" s="266"/>
      <c r="Q50" s="266"/>
      <c r="R50" s="266"/>
    </row>
    <row r="51" ht="22.5" customHeight="1">
      <c r="A51" s="268" t="s">
        <v>834</v>
      </c>
      <c r="B51" s="269" t="s">
        <v>604</v>
      </c>
      <c r="C51" s="270" t="s">
        <v>604</v>
      </c>
      <c r="D51" s="268" t="str">
        <f t="shared" si="2"/>
        <v>NÃO</v>
      </c>
      <c r="E51" s="271" t="s">
        <v>128</v>
      </c>
      <c r="F51" s="272" t="s">
        <v>132</v>
      </c>
      <c r="G51" s="263" t="s">
        <v>610</v>
      </c>
      <c r="H51" s="264">
        <f t="array" ref="H51">IFS(G51="JUNHO 2026",XLOOKUP(F51,tabelaregiaoprecos[[#ALL],[Região]],tabelaregiaoprecos[[#ALL],[JUNHO 2026]]),G51="FEVEREIRO 2026",XLOOKUP(F51,tabelaregiaoprecos[[#ALL],[Região]],tabelaregiaoprecos[[#ALL],[FEVEREIRO 2026]]))</f>
        <v>65.28</v>
      </c>
      <c r="I51" s="265"/>
      <c r="J51" s="200"/>
      <c r="K51" s="200"/>
      <c r="L51" s="248"/>
      <c r="N51" s="266"/>
      <c r="O51" s="266"/>
      <c r="Q51" s="266"/>
      <c r="R51" s="266"/>
    </row>
    <row r="52" ht="22.5" customHeight="1">
      <c r="A52" s="258" t="s">
        <v>838</v>
      </c>
      <c r="B52" s="259" t="s">
        <v>605</v>
      </c>
      <c r="C52" s="260" t="s">
        <v>605</v>
      </c>
      <c r="D52" s="258" t="str">
        <f t="shared" si="2"/>
        <v>SIM</v>
      </c>
      <c r="E52" s="280" t="s">
        <v>128</v>
      </c>
      <c r="F52" s="262" t="s">
        <v>695</v>
      </c>
      <c r="G52" s="263" t="s">
        <v>610</v>
      </c>
      <c r="H52" s="264">
        <f t="array" ref="H52">IFS(G52="JUNHO 2026",XLOOKUP(F52,tabelaregiaoprecos[[#ALL],[Região]],tabelaregiaoprecos[[#ALL],[JUNHO 2026]]),G52="FEVEREIRO 2026",XLOOKUP(F52,tabelaregiaoprecos[[#ALL],[Região]],tabelaregiaoprecos[[#ALL],[FEVEREIRO 2026]]))</f>
        <v>74.4</v>
      </c>
      <c r="I52" s="265"/>
      <c r="J52" s="200"/>
      <c r="K52" s="200"/>
      <c r="L52" s="248"/>
      <c r="N52" s="266"/>
      <c r="O52" s="266"/>
      <c r="Q52" s="266"/>
      <c r="R52" s="266"/>
    </row>
    <row r="53" ht="22.5" customHeight="1">
      <c r="A53" s="268" t="s">
        <v>839</v>
      </c>
      <c r="B53" s="269" t="s">
        <v>604</v>
      </c>
      <c r="C53" s="270" t="s">
        <v>604</v>
      </c>
      <c r="D53" s="268" t="str">
        <f t="shared" si="2"/>
        <v>NÃO</v>
      </c>
      <c r="E53" s="277" t="s">
        <v>297</v>
      </c>
      <c r="F53" s="272" t="s">
        <v>297</v>
      </c>
      <c r="G53" s="263" t="s">
        <v>610</v>
      </c>
      <c r="H53" s="264">
        <f t="array" ref="H53">IFS(G53="JUNHO 2026",XLOOKUP(F53,tabelaregiaoprecos[[#ALL],[Região]],tabelaregiaoprecos[[#ALL],[JUNHO 2026]]),G53="FEVEREIRO 2026",XLOOKUP(F53,tabelaregiaoprecos[[#ALL],[Região]],tabelaregiaoprecos[[#ALL],[FEVEREIRO 2026]]))</f>
        <v>72.86</v>
      </c>
      <c r="I53" s="265"/>
      <c r="J53" s="200"/>
      <c r="K53" s="200"/>
      <c r="L53" s="248"/>
      <c r="N53" s="266"/>
      <c r="O53" s="266"/>
      <c r="Q53" s="266"/>
      <c r="R53" s="266"/>
    </row>
    <row r="54" ht="22.5" customHeight="1">
      <c r="A54" s="258" t="s">
        <v>840</v>
      </c>
      <c r="B54" s="292" t="s">
        <v>642</v>
      </c>
      <c r="C54" s="287" t="s">
        <v>642</v>
      </c>
      <c r="D54" s="258" t="str">
        <f t="shared" si="2"/>
        <v>SIM</v>
      </c>
      <c r="E54" s="261" t="s">
        <v>128</v>
      </c>
      <c r="F54" s="262" t="s">
        <v>280</v>
      </c>
      <c r="G54" s="263" t="s">
        <v>610</v>
      </c>
      <c r="H54" s="264">
        <f t="array" ref="H54">IFS(G54="JUNHO 2026",XLOOKUP(F54,tabelaregiaoprecos[[#ALL],[Região]],tabelaregiaoprecos[[#ALL],[JUNHO 2026]]),G54="FEVEREIRO 2026",XLOOKUP(F54,tabelaregiaoprecos[[#ALL],[Região]],tabelaregiaoprecos[[#ALL],[FEVEREIRO 2026]]))</f>
        <v>69.86</v>
      </c>
      <c r="I54" s="265"/>
      <c r="J54" s="200"/>
      <c r="K54" s="200"/>
      <c r="L54" s="248"/>
      <c r="N54" s="200"/>
      <c r="O54" s="200"/>
      <c r="Q54" s="266"/>
      <c r="R54" s="266"/>
    </row>
    <row r="55" ht="22.5" customHeight="1">
      <c r="A55" s="268" t="s">
        <v>844</v>
      </c>
      <c r="B55" s="292" t="s">
        <v>642</v>
      </c>
      <c r="C55" s="276" t="s">
        <v>642</v>
      </c>
      <c r="D55" s="268" t="str">
        <f t="shared" si="2"/>
        <v>SIM</v>
      </c>
      <c r="E55" s="277" t="s">
        <v>61</v>
      </c>
      <c r="F55" s="272" t="s">
        <v>132</v>
      </c>
      <c r="G55" s="263" t="s">
        <v>610</v>
      </c>
      <c r="H55" s="264">
        <f t="array" ref="H55">IFS(G55="JUNHO 2026",XLOOKUP(F55,tabelaregiaoprecos[[#ALL],[Região]],tabelaregiaoprecos[[#ALL],[JUNHO 2026]]),G55="FEVEREIRO 2026",XLOOKUP(F55,tabelaregiaoprecos[[#ALL],[Região]],tabelaregiaoprecos[[#ALL],[FEVEREIRO 2026]]))</f>
        <v>65.28</v>
      </c>
      <c r="I55" s="265"/>
      <c r="J55" s="200"/>
      <c r="K55" s="200"/>
      <c r="L55" s="248"/>
      <c r="N55" s="200"/>
      <c r="O55" s="200"/>
      <c r="Q55" s="266"/>
      <c r="R55" s="266"/>
    </row>
    <row r="56" ht="22.5" customHeight="1">
      <c r="A56" s="258" t="s">
        <v>845</v>
      </c>
      <c r="B56" s="282" t="s">
        <v>604</v>
      </c>
      <c r="C56" s="275" t="s">
        <v>604</v>
      </c>
      <c r="D56" s="258" t="str">
        <f t="shared" si="2"/>
        <v>NÃO</v>
      </c>
      <c r="E56" s="261" t="s">
        <v>128</v>
      </c>
      <c r="F56" s="262" t="s">
        <v>717</v>
      </c>
      <c r="G56" s="263" t="s">
        <v>610</v>
      </c>
      <c r="H56" s="264">
        <f t="array" ref="H56">IFS(G56="JUNHO 2026",XLOOKUP(F56,tabelaregiaoprecos[[#ALL],[Região]],tabelaregiaoprecos[[#ALL],[JUNHO 2026]]),G56="FEVEREIRO 2026",XLOOKUP(F56,tabelaregiaoprecos[[#ALL],[Região]],tabelaregiaoprecos[[#ALL],[FEVEREIRO 2026]]))</f>
        <v>79.99</v>
      </c>
      <c r="I56" s="265"/>
      <c r="J56" s="200"/>
      <c r="K56" s="200"/>
      <c r="L56" s="248"/>
      <c r="N56" s="200"/>
      <c r="O56" s="200"/>
      <c r="Q56" s="200"/>
    </row>
    <row r="57" ht="22.5" customHeight="1">
      <c r="A57" s="371" t="s">
        <v>846</v>
      </c>
      <c r="B57" s="282" t="s">
        <v>604</v>
      </c>
      <c r="C57" s="372" t="s">
        <v>604</v>
      </c>
      <c r="D57" s="268" t="str">
        <f t="shared" si="2"/>
        <v>NÃO</v>
      </c>
      <c r="E57" s="277" t="s">
        <v>258</v>
      </c>
      <c r="F57" s="272" t="s">
        <v>258</v>
      </c>
      <c r="G57" s="263" t="s">
        <v>610</v>
      </c>
      <c r="H57" s="264">
        <f t="array" ref="H57">IFS(G57="JUNHO 2026",XLOOKUP(F57,tabelaregiaoprecos[[#ALL],[Região]],tabelaregiaoprecos[[#ALL],[JUNHO 2026]]),G57="FEVEREIRO 2026",XLOOKUP(F57,tabelaregiaoprecos[[#ALL],[Região]],tabelaregiaoprecos[[#ALL],[FEVEREIRO 2026]]))</f>
        <v>89.59</v>
      </c>
      <c r="I57" s="373"/>
      <c r="J57" s="200"/>
      <c r="K57" s="200"/>
      <c r="L57" s="248"/>
      <c r="N57" s="200"/>
      <c r="O57" s="200"/>
      <c r="Q57" s="200"/>
    </row>
    <row r="58" ht="22.5" customHeight="1">
      <c r="A58" s="258" t="s">
        <v>848</v>
      </c>
      <c r="B58" s="259" t="s">
        <v>642</v>
      </c>
      <c r="C58" s="260" t="s">
        <v>642</v>
      </c>
      <c r="D58" s="258" t="str">
        <f t="shared" si="2"/>
        <v>SIM</v>
      </c>
      <c r="E58" s="261" t="s">
        <v>61</v>
      </c>
      <c r="F58" s="262" t="s">
        <v>798</v>
      </c>
      <c r="G58" s="263" t="s">
        <v>610</v>
      </c>
      <c r="H58" s="264">
        <f t="array" ref="H58">IFS(G58="JUNHO 2026",XLOOKUP(F58,tabelaregiaoprecos[[#ALL],[Região]],tabelaregiaoprecos[[#ALL],[JUNHO 2026]]),G58="FEVEREIRO 2026",XLOOKUP(F58,tabelaregiaoprecos[[#ALL],[Região]],tabelaregiaoprecos[[#ALL],[FEVEREIRO 2026]]))</f>
        <v>77.04</v>
      </c>
      <c r="I58" s="265"/>
      <c r="J58" s="200"/>
      <c r="K58" s="200"/>
      <c r="L58" s="248"/>
      <c r="N58" s="200"/>
      <c r="O58" s="200"/>
      <c r="Q58" s="200"/>
    </row>
    <row r="59" ht="22.5" customHeight="1">
      <c r="A59" s="268" t="s">
        <v>850</v>
      </c>
      <c r="B59" s="259" t="s">
        <v>642</v>
      </c>
      <c r="C59" s="276" t="s">
        <v>642</v>
      </c>
      <c r="D59" s="268" t="str">
        <f t="shared" si="2"/>
        <v>SIM</v>
      </c>
      <c r="E59" s="271" t="s">
        <v>61</v>
      </c>
      <c r="F59" s="272" t="s">
        <v>63</v>
      </c>
      <c r="G59" s="263" t="s">
        <v>610</v>
      </c>
      <c r="H59" s="264">
        <f t="array" ref="H59">IFS(G59="JUNHO 2026",XLOOKUP(F59,tabelaregiaoprecos[[#ALL],[Região]],tabelaregiaoprecos[[#ALL],[JUNHO 2026]]),G59="FEVEREIRO 2026",XLOOKUP(F59,tabelaregiaoprecos[[#ALL],[Região]],tabelaregiaoprecos[[#ALL],[FEVEREIRO 2026]]))</f>
        <v>87.51</v>
      </c>
      <c r="I59" s="265"/>
      <c r="J59" s="200"/>
      <c r="K59" s="200"/>
      <c r="L59" s="248"/>
      <c r="N59" s="200"/>
      <c r="O59" s="200"/>
      <c r="Q59" s="200"/>
    </row>
    <row r="60" ht="22.5" customHeight="1">
      <c r="A60" s="258" t="s">
        <v>851</v>
      </c>
      <c r="B60" s="259" t="s">
        <v>642</v>
      </c>
      <c r="C60" s="287" t="s">
        <v>642</v>
      </c>
      <c r="D60" s="258" t="str">
        <f t="shared" si="2"/>
        <v>SIM</v>
      </c>
      <c r="E60" s="283" t="s">
        <v>411</v>
      </c>
      <c r="F60" s="262" t="s">
        <v>798</v>
      </c>
      <c r="G60" s="263" t="s">
        <v>610</v>
      </c>
      <c r="H60" s="264">
        <f t="array" ref="H60">IFS(G60="JUNHO 2026",XLOOKUP(F60,tabelaregiaoprecos[[#ALL],[Região]],tabelaregiaoprecos[[#ALL],[JUNHO 2026]]),G60="FEVEREIRO 2026",XLOOKUP(F60,tabelaregiaoprecos[[#ALL],[Região]],tabelaregiaoprecos[[#ALL],[FEVEREIRO 2026]]))</f>
        <v>77.04</v>
      </c>
      <c r="I60" s="265"/>
      <c r="J60" s="200"/>
      <c r="K60" s="200"/>
      <c r="L60" s="248"/>
      <c r="N60" s="200"/>
      <c r="O60" s="200"/>
      <c r="Q60" s="200"/>
    </row>
    <row r="61" ht="22.5" customHeight="1">
      <c r="A61" s="268" t="s">
        <v>852</v>
      </c>
      <c r="B61" s="368" t="s">
        <v>50</v>
      </c>
      <c r="C61" s="288" t="s">
        <v>50</v>
      </c>
      <c r="D61" s="268" t="str">
        <f t="shared" si="2"/>
        <v>SIM</v>
      </c>
      <c r="E61" s="277" t="s">
        <v>61</v>
      </c>
      <c r="F61" s="272" t="s">
        <v>132</v>
      </c>
      <c r="G61" s="263" t="s">
        <v>610</v>
      </c>
      <c r="H61" s="264">
        <f t="array" ref="H61">IFS(G61="JUNHO 2026",XLOOKUP(F61,tabelaregiaoprecos[[#ALL],[Região]],tabelaregiaoprecos[[#ALL],[JUNHO 2026]]),G61="FEVEREIRO 2026",XLOOKUP(F61,tabelaregiaoprecos[[#ALL],[Região]],tabelaregiaoprecos[[#ALL],[FEVEREIRO 2026]]))</f>
        <v>65.28</v>
      </c>
      <c r="I61" s="265"/>
      <c r="J61" s="200"/>
      <c r="K61" s="200"/>
      <c r="L61" s="248"/>
      <c r="N61" s="200"/>
      <c r="O61" s="200"/>
      <c r="Q61" s="200"/>
    </row>
    <row r="62" ht="22.5" customHeight="1">
      <c r="A62" s="258" t="s">
        <v>854</v>
      </c>
      <c r="B62" s="292" t="s">
        <v>642</v>
      </c>
      <c r="C62" s="287" t="s">
        <v>642</v>
      </c>
      <c r="D62" s="258" t="str">
        <f t="shared" si="2"/>
        <v>SIM</v>
      </c>
      <c r="E62" s="280" t="s">
        <v>61</v>
      </c>
      <c r="F62" s="262" t="s">
        <v>132</v>
      </c>
      <c r="G62" s="263" t="s">
        <v>610</v>
      </c>
      <c r="H62" s="264">
        <f t="array" ref="H62">IFS(G62="JUNHO 2026",XLOOKUP(F62,tabelaregiaoprecos[[#ALL],[Região]],tabelaregiaoprecos[[#ALL],[JUNHO 2026]]),G62="FEVEREIRO 2026",XLOOKUP(F62,tabelaregiaoprecos[[#ALL],[Região]],tabelaregiaoprecos[[#ALL],[FEVEREIRO 2026]]))</f>
        <v>65.28</v>
      </c>
      <c r="I62" s="265"/>
      <c r="J62" s="200"/>
      <c r="K62" s="200"/>
      <c r="L62" s="248"/>
      <c r="N62" s="200"/>
      <c r="O62" s="200"/>
      <c r="Q62" s="200"/>
    </row>
    <row r="63" ht="22.5" customHeight="1">
      <c r="A63" s="268" t="s">
        <v>855</v>
      </c>
      <c r="B63" s="368" t="s">
        <v>50</v>
      </c>
      <c r="C63" s="281" t="s">
        <v>605</v>
      </c>
      <c r="D63" s="268" t="str">
        <f t="shared" si="2"/>
        <v>SIM</v>
      </c>
      <c r="E63" s="277" t="s">
        <v>374</v>
      </c>
      <c r="F63" s="272" t="s">
        <v>555</v>
      </c>
      <c r="G63" s="263" t="s">
        <v>610</v>
      </c>
      <c r="H63" s="264">
        <f t="array" ref="H63">IFS(G63="JUNHO 2026",XLOOKUP(F63,tabelaregiaoprecos[[#ALL],[Região]],tabelaregiaoprecos[[#ALL],[JUNHO 2026]]),G63="FEVEREIRO 2026",XLOOKUP(F63,tabelaregiaoprecos[[#ALL],[Região]],tabelaregiaoprecos[[#ALL],[FEVEREIRO 2026]]))</f>
        <v>87.51</v>
      </c>
      <c r="I63" s="265"/>
      <c r="J63" s="200"/>
      <c r="K63" s="200"/>
      <c r="L63" s="248"/>
      <c r="N63" s="200"/>
      <c r="O63" s="200"/>
      <c r="Q63" s="200"/>
    </row>
    <row r="64" ht="22.5" customHeight="1">
      <c r="A64" s="258" t="s">
        <v>856</v>
      </c>
      <c r="B64" s="292" t="s">
        <v>642</v>
      </c>
      <c r="C64" s="260" t="s">
        <v>605</v>
      </c>
      <c r="D64" s="258" t="str">
        <f t="shared" si="2"/>
        <v>SIM</v>
      </c>
      <c r="E64" s="261" t="s">
        <v>128</v>
      </c>
      <c r="F64" s="262" t="s">
        <v>717</v>
      </c>
      <c r="G64" s="263" t="s">
        <v>610</v>
      </c>
      <c r="H64" s="264">
        <f t="array" ref="H64">IFS(G64="JUNHO 2026",XLOOKUP(F64,tabelaregiaoprecos[[#ALL],[Região]],tabelaregiaoprecos[[#ALL],[JUNHO 2026]]),G64="FEVEREIRO 2026",XLOOKUP(F64,tabelaregiaoprecos[[#ALL],[Região]],tabelaregiaoprecos[[#ALL],[FEVEREIRO 2026]]))</f>
        <v>79.99</v>
      </c>
      <c r="I64" s="265"/>
      <c r="J64" s="200"/>
      <c r="K64" s="200"/>
      <c r="L64" s="248"/>
      <c r="N64" s="200"/>
      <c r="O64" s="200"/>
      <c r="Q64" s="200"/>
    </row>
    <row r="65" ht="22.5" customHeight="1">
      <c r="A65" s="268" t="s">
        <v>858</v>
      </c>
      <c r="B65" s="269" t="s">
        <v>604</v>
      </c>
      <c r="C65" s="270" t="s">
        <v>604</v>
      </c>
      <c r="D65" s="268" t="str">
        <f t="shared" si="2"/>
        <v>NÃO</v>
      </c>
      <c r="E65" s="271" t="s">
        <v>374</v>
      </c>
      <c r="F65" s="272" t="s">
        <v>555</v>
      </c>
      <c r="G65" s="263" t="s">
        <v>610</v>
      </c>
      <c r="H65" s="264">
        <f t="array" ref="H65">IFS(G65="JUNHO 2026",XLOOKUP(F65,tabelaregiaoprecos[[#ALL],[Região]],tabelaregiaoprecos[[#ALL],[JUNHO 2026]]),G65="FEVEREIRO 2026",XLOOKUP(F65,tabelaregiaoprecos[[#ALL],[Região]],tabelaregiaoprecos[[#ALL],[FEVEREIRO 2026]]))</f>
        <v>87.51</v>
      </c>
      <c r="I65" s="265"/>
      <c r="J65" s="200"/>
      <c r="K65" s="200"/>
      <c r="L65" s="248"/>
      <c r="N65" s="200"/>
      <c r="O65" s="200"/>
      <c r="Q65" s="200"/>
    </row>
    <row r="66" ht="22.5" customHeight="1">
      <c r="A66" s="258" t="s">
        <v>860</v>
      </c>
      <c r="B66" s="368" t="s">
        <v>50</v>
      </c>
      <c r="C66" s="260" t="s">
        <v>605</v>
      </c>
      <c r="D66" s="258" t="str">
        <f t="shared" si="2"/>
        <v>SIM</v>
      </c>
      <c r="E66" s="261" t="s">
        <v>128</v>
      </c>
      <c r="F66" s="262" t="s">
        <v>717</v>
      </c>
      <c r="G66" s="263" t="s">
        <v>610</v>
      </c>
      <c r="H66" s="264">
        <f t="array" ref="H66">IFS(G66="JUNHO 2026",XLOOKUP(F66,tabelaregiaoprecos[[#ALL],[Região]],tabelaregiaoprecos[[#ALL],[JUNHO 2026]]),G66="FEVEREIRO 2026",XLOOKUP(F66,tabelaregiaoprecos[[#ALL],[Região]],tabelaregiaoprecos[[#ALL],[FEVEREIRO 2026]]))</f>
        <v>79.99</v>
      </c>
      <c r="I66" s="265"/>
      <c r="J66" s="200"/>
      <c r="K66" s="200"/>
      <c r="L66" s="248"/>
      <c r="N66" s="200"/>
      <c r="O66" s="200"/>
      <c r="Q66" s="200"/>
    </row>
    <row r="67" ht="22.5" customHeight="1">
      <c r="A67" s="268" t="s">
        <v>861</v>
      </c>
      <c r="B67" s="368" t="s">
        <v>50</v>
      </c>
      <c r="C67" s="288" t="s">
        <v>50</v>
      </c>
      <c r="D67" s="268" t="str">
        <f t="shared" si="2"/>
        <v>SIM</v>
      </c>
      <c r="E67" s="271" t="s">
        <v>297</v>
      </c>
      <c r="F67" s="272" t="s">
        <v>297</v>
      </c>
      <c r="G67" s="263" t="s">
        <v>610</v>
      </c>
      <c r="H67" s="264">
        <f t="array" ref="H67">IFS(G67="JUNHO 2026",XLOOKUP(F67,tabelaregiaoprecos[[#ALL],[Região]],tabelaregiaoprecos[[#ALL],[JUNHO 2026]]),G67="FEVEREIRO 2026",XLOOKUP(F67,tabelaregiaoprecos[[#ALL],[Região]],tabelaregiaoprecos[[#ALL],[FEVEREIRO 2026]]))</f>
        <v>72.86</v>
      </c>
      <c r="I67" s="265"/>
      <c r="J67" s="200"/>
      <c r="K67" s="200"/>
      <c r="L67" s="248"/>
      <c r="N67" s="200"/>
      <c r="O67" s="200"/>
      <c r="Q67" s="200"/>
    </row>
    <row r="68" ht="22.5" customHeight="1">
      <c r="A68" s="258" t="s">
        <v>862</v>
      </c>
      <c r="B68" s="292" t="s">
        <v>642</v>
      </c>
      <c r="C68" s="287" t="s">
        <v>642</v>
      </c>
      <c r="D68" s="258" t="str">
        <f t="shared" si="2"/>
        <v>SIM</v>
      </c>
      <c r="E68" s="280" t="s">
        <v>61</v>
      </c>
      <c r="F68" s="262" t="s">
        <v>63</v>
      </c>
      <c r="G68" s="263" t="s">
        <v>610</v>
      </c>
      <c r="H68" s="264">
        <f t="array" ref="H68">IFS(G68="JUNHO 2026",XLOOKUP(F68,tabelaregiaoprecos[[#ALL],[Região]],tabelaregiaoprecos[[#ALL],[JUNHO 2026]]),G68="FEVEREIRO 2026",XLOOKUP(F68,tabelaregiaoprecos[[#ALL],[Região]],tabelaregiaoprecos[[#ALL],[FEVEREIRO 2026]]))</f>
        <v>87.51</v>
      </c>
      <c r="I68" s="265"/>
      <c r="J68" s="200"/>
      <c r="K68" s="200"/>
      <c r="L68" s="248"/>
      <c r="N68" s="200"/>
      <c r="O68" s="200"/>
      <c r="Q68" s="200"/>
    </row>
    <row r="69" ht="22.5" customHeight="1">
      <c r="A69" s="268" t="s">
        <v>863</v>
      </c>
      <c r="B69" s="368" t="s">
        <v>50</v>
      </c>
      <c r="C69" s="281" t="s">
        <v>605</v>
      </c>
      <c r="D69" s="268" t="str">
        <f t="shared" si="2"/>
        <v>SIM</v>
      </c>
      <c r="E69" s="277" t="s">
        <v>61</v>
      </c>
      <c r="F69" s="272" t="s">
        <v>132</v>
      </c>
      <c r="G69" s="263" t="s">
        <v>610</v>
      </c>
      <c r="H69" s="264">
        <f t="array" ref="H69">IFS(G69="JUNHO 2026",XLOOKUP(F69,tabelaregiaoprecos[[#ALL],[Região]],tabelaregiaoprecos[[#ALL],[JUNHO 2026]]),G69="FEVEREIRO 2026",XLOOKUP(F69,tabelaregiaoprecos[[#ALL],[Região]],tabelaregiaoprecos[[#ALL],[FEVEREIRO 2026]]))</f>
        <v>65.28</v>
      </c>
      <c r="I69" s="265"/>
      <c r="J69" s="200"/>
      <c r="K69" s="200"/>
      <c r="L69" s="248"/>
      <c r="N69" s="200"/>
      <c r="O69" s="200"/>
      <c r="Q69" s="200"/>
    </row>
    <row r="70" ht="22.5" customHeight="1">
      <c r="A70" s="258" t="s">
        <v>865</v>
      </c>
      <c r="B70" s="292" t="s">
        <v>642</v>
      </c>
      <c r="C70" s="287" t="s">
        <v>642</v>
      </c>
      <c r="D70" s="258" t="str">
        <f t="shared" si="2"/>
        <v>SIM</v>
      </c>
      <c r="E70" s="261" t="s">
        <v>61</v>
      </c>
      <c r="F70" s="262" t="s">
        <v>798</v>
      </c>
      <c r="G70" s="263" t="s">
        <v>610</v>
      </c>
      <c r="H70" s="264">
        <f t="array" ref="H70">IFS(G70="JUNHO 2026",XLOOKUP(F70,tabelaregiaoprecos[[#ALL],[Região]],tabelaregiaoprecos[[#ALL],[JUNHO 2026]]),G70="FEVEREIRO 2026",XLOOKUP(F70,tabelaregiaoprecos[[#ALL],[Região]],tabelaregiaoprecos[[#ALL],[FEVEREIRO 2026]]))</f>
        <v>77.04</v>
      </c>
      <c r="I70" s="265"/>
      <c r="J70" s="200"/>
      <c r="K70" s="200"/>
      <c r="L70" s="248"/>
      <c r="N70" s="200"/>
      <c r="O70" s="200"/>
      <c r="Q70" s="200"/>
    </row>
    <row r="71" ht="22.5" customHeight="1">
      <c r="A71" s="268" t="s">
        <v>866</v>
      </c>
      <c r="B71" s="368" t="s">
        <v>50</v>
      </c>
      <c r="C71" s="281" t="s">
        <v>605</v>
      </c>
      <c r="D71" s="268" t="str">
        <f t="shared" si="2"/>
        <v>SIM</v>
      </c>
      <c r="E71" s="277" t="s">
        <v>128</v>
      </c>
      <c r="F71" s="272" t="s">
        <v>695</v>
      </c>
      <c r="G71" s="263" t="s">
        <v>610</v>
      </c>
      <c r="H71" s="264">
        <f t="array" ref="H71">IFS(G71="JUNHO 2026",XLOOKUP(F71,tabelaregiaoprecos[[#ALL],[Região]],tabelaregiaoprecos[[#ALL],[JUNHO 2026]]),G71="FEVEREIRO 2026",XLOOKUP(F71,tabelaregiaoprecos[[#ALL],[Região]],tabelaregiaoprecos[[#ALL],[FEVEREIRO 2026]]))</f>
        <v>74.4</v>
      </c>
      <c r="I71" s="265"/>
      <c r="J71" s="200"/>
      <c r="K71" s="200"/>
      <c r="L71" s="248"/>
      <c r="N71" s="200"/>
      <c r="O71" s="200"/>
      <c r="Q71" s="200"/>
    </row>
    <row r="72" ht="22.5" customHeight="1">
      <c r="A72" s="258" t="s">
        <v>867</v>
      </c>
      <c r="B72" s="292" t="s">
        <v>642</v>
      </c>
      <c r="C72" s="260" t="s">
        <v>605</v>
      </c>
      <c r="D72" s="258" t="str">
        <f t="shared" si="2"/>
        <v>SIM</v>
      </c>
      <c r="E72" s="261" t="s">
        <v>61</v>
      </c>
      <c r="F72" s="262" t="s">
        <v>798</v>
      </c>
      <c r="G72" s="263" t="s">
        <v>610</v>
      </c>
      <c r="H72" s="264">
        <f t="array" ref="H72">IFS(G72="JUNHO 2026",XLOOKUP(F72,tabelaregiaoprecos[[#ALL],[Região]],tabelaregiaoprecos[[#ALL],[JUNHO 2026]]),G72="FEVEREIRO 2026",XLOOKUP(F72,tabelaregiaoprecos[[#ALL],[Região]],tabelaregiaoprecos[[#ALL],[FEVEREIRO 2026]]))</f>
        <v>77.04</v>
      </c>
      <c r="I72" s="265"/>
      <c r="J72" s="200"/>
      <c r="K72" s="200"/>
      <c r="L72" s="248"/>
      <c r="N72" s="200"/>
      <c r="O72" s="200"/>
      <c r="Q72" s="200"/>
    </row>
    <row r="73" ht="22.5" customHeight="1">
      <c r="A73" s="268" t="s">
        <v>868</v>
      </c>
      <c r="B73" s="284" t="s">
        <v>642</v>
      </c>
      <c r="C73" s="276" t="s">
        <v>642</v>
      </c>
      <c r="D73" s="268" t="str">
        <f t="shared" si="2"/>
        <v>SIM</v>
      </c>
      <c r="E73" s="277" t="s">
        <v>61</v>
      </c>
      <c r="F73" s="272" t="s">
        <v>798</v>
      </c>
      <c r="G73" s="263" t="s">
        <v>610</v>
      </c>
      <c r="H73" s="264">
        <f t="array" ref="H73">IFS(G73="JUNHO 2026",XLOOKUP(F73,tabelaregiaoprecos[[#ALL],[Região]],tabelaregiaoprecos[[#ALL],[JUNHO 2026]]),G73="FEVEREIRO 2026",XLOOKUP(F73,tabelaregiaoprecos[[#ALL],[Região]],tabelaregiaoprecos[[#ALL],[FEVEREIRO 2026]]))</f>
        <v>77.04</v>
      </c>
      <c r="I73" s="265"/>
      <c r="J73" s="200"/>
      <c r="K73" s="200"/>
      <c r="L73" s="248"/>
      <c r="N73" s="200"/>
      <c r="O73" s="200"/>
      <c r="Q73" s="200"/>
    </row>
    <row r="74" ht="22.5" customHeight="1">
      <c r="A74" s="258" t="s">
        <v>869</v>
      </c>
      <c r="B74" s="368" t="s">
        <v>50</v>
      </c>
      <c r="C74" s="260" t="s">
        <v>605</v>
      </c>
      <c r="D74" s="258" t="str">
        <f t="shared" si="2"/>
        <v>SIM</v>
      </c>
      <c r="E74" s="283" t="s">
        <v>411</v>
      </c>
      <c r="F74" s="262" t="s">
        <v>658</v>
      </c>
      <c r="G74" s="263" t="s">
        <v>610</v>
      </c>
      <c r="H74" s="264">
        <f t="array" ref="H74">IFS(G74="JUNHO 2026",XLOOKUP(F74,tabelaregiaoprecos[[#ALL],[Região]],tabelaregiaoprecos[[#ALL],[JUNHO 2026]]),G74="FEVEREIRO 2026",XLOOKUP(F74,tabelaregiaoprecos[[#ALL],[Região]],tabelaregiaoprecos[[#ALL],[FEVEREIRO 2026]]))</f>
        <v>69.86</v>
      </c>
      <c r="I74" s="265"/>
      <c r="J74" s="200"/>
      <c r="K74" s="200"/>
      <c r="L74" s="248"/>
      <c r="M74" s="200"/>
      <c r="N74" s="200"/>
      <c r="O74" s="200"/>
      <c r="Q74" s="200"/>
    </row>
    <row r="75" ht="22.5" customHeight="1">
      <c r="A75" s="268" t="s">
        <v>872</v>
      </c>
      <c r="B75" s="368" t="s">
        <v>50</v>
      </c>
      <c r="C75" s="288" t="s">
        <v>50</v>
      </c>
      <c r="D75" s="268" t="str">
        <f t="shared" si="2"/>
        <v>SIM</v>
      </c>
      <c r="E75" s="277" t="s">
        <v>374</v>
      </c>
      <c r="F75" s="272" t="s">
        <v>375</v>
      </c>
      <c r="G75" s="263" t="s">
        <v>610</v>
      </c>
      <c r="H75" s="264">
        <f t="array" ref="H75">IFS(G75="JUNHO 2026",XLOOKUP(F75,tabelaregiaoprecos[[#ALL],[Região]],tabelaregiaoprecos[[#ALL],[JUNHO 2026]]),G75="FEVEREIRO 2026",XLOOKUP(F75,tabelaregiaoprecos[[#ALL],[Região]],tabelaregiaoprecos[[#ALL],[FEVEREIRO 2026]]))</f>
        <v>76.32</v>
      </c>
      <c r="I75" s="265"/>
      <c r="J75" s="200"/>
      <c r="K75" s="200"/>
      <c r="L75" s="248"/>
      <c r="N75" s="200"/>
      <c r="O75" s="200"/>
      <c r="Q75" s="200"/>
    </row>
    <row r="76" ht="22.5" customHeight="1">
      <c r="A76" s="258" t="s">
        <v>881</v>
      </c>
      <c r="B76" s="282" t="s">
        <v>604</v>
      </c>
      <c r="C76" s="275" t="s">
        <v>604</v>
      </c>
      <c r="D76" s="258" t="str">
        <f t="shared" si="2"/>
        <v>NÃO</v>
      </c>
      <c r="E76" s="261" t="s">
        <v>258</v>
      </c>
      <c r="F76" s="262" t="s">
        <v>258</v>
      </c>
      <c r="G76" s="263" t="s">
        <v>610</v>
      </c>
      <c r="H76" s="264">
        <f t="array" ref="H76">IFS(G76="JUNHO 2026",XLOOKUP(F76,tabelaregiaoprecos[[#ALL],[Região]],tabelaregiaoprecos[[#ALL],[JUNHO 2026]]),G76="FEVEREIRO 2026",XLOOKUP(F76,tabelaregiaoprecos[[#ALL],[Região]],tabelaregiaoprecos[[#ALL],[FEVEREIRO 2026]]))</f>
        <v>89.59</v>
      </c>
      <c r="I76" s="265"/>
      <c r="J76" s="200"/>
      <c r="K76" s="200"/>
      <c r="L76" s="248"/>
      <c r="N76" s="200"/>
      <c r="O76" s="200"/>
      <c r="Q76" s="200"/>
    </row>
    <row r="77" ht="22.5" customHeight="1">
      <c r="A77" s="268" t="s">
        <v>882</v>
      </c>
      <c r="B77" s="368" t="s">
        <v>50</v>
      </c>
      <c r="C77" s="288" t="s">
        <v>50</v>
      </c>
      <c r="D77" s="268" t="str">
        <f t="shared" si="2"/>
        <v>SIM</v>
      </c>
      <c r="E77" s="277" t="s">
        <v>61</v>
      </c>
      <c r="F77" s="272" t="s">
        <v>63</v>
      </c>
      <c r="G77" s="263" t="s">
        <v>610</v>
      </c>
      <c r="H77" s="264">
        <f t="array" ref="H77">IFS(G77="JUNHO 2026",XLOOKUP(F77,tabelaregiaoprecos[[#ALL],[Região]],tabelaregiaoprecos[[#ALL],[JUNHO 2026]]),G77="FEVEREIRO 2026",XLOOKUP(F77,tabelaregiaoprecos[[#ALL],[Região]],tabelaregiaoprecos[[#ALL],[FEVEREIRO 2026]]))</f>
        <v>87.51</v>
      </c>
      <c r="I77" s="265"/>
      <c r="J77" s="200"/>
      <c r="K77" s="200"/>
      <c r="L77" s="248"/>
      <c r="N77" s="200"/>
      <c r="O77" s="200"/>
      <c r="Q77" s="200"/>
    </row>
    <row r="78" ht="22.5" customHeight="1">
      <c r="A78" s="258" t="s">
        <v>883</v>
      </c>
      <c r="B78" s="259" t="s">
        <v>605</v>
      </c>
      <c r="C78" s="260" t="s">
        <v>605</v>
      </c>
      <c r="D78" s="258" t="str">
        <f t="shared" si="2"/>
        <v>SIM</v>
      </c>
      <c r="E78" s="261" t="s">
        <v>61</v>
      </c>
      <c r="F78" s="262" t="s">
        <v>63</v>
      </c>
      <c r="G78" s="263" t="s">
        <v>610</v>
      </c>
      <c r="H78" s="264">
        <f t="array" ref="H78">IFS(G78="JUNHO 2026",XLOOKUP(F78,tabelaregiaoprecos[[#ALL],[Região]],tabelaregiaoprecos[[#ALL],[JUNHO 2026]]),G78="FEVEREIRO 2026",XLOOKUP(F78,tabelaregiaoprecos[[#ALL],[Região]],tabelaregiaoprecos[[#ALL],[FEVEREIRO 2026]]))</f>
        <v>87.51</v>
      </c>
      <c r="I78" s="265"/>
      <c r="J78" s="200"/>
      <c r="K78" s="200"/>
      <c r="L78" s="248"/>
      <c r="N78" s="200"/>
      <c r="O78" s="200"/>
      <c r="Q78" s="200"/>
    </row>
    <row r="79" ht="22.5" customHeight="1">
      <c r="A79" s="268" t="s">
        <v>886</v>
      </c>
      <c r="B79" s="269" t="s">
        <v>604</v>
      </c>
      <c r="C79" s="270" t="s">
        <v>604</v>
      </c>
      <c r="D79" s="268" t="str">
        <f t="shared" si="2"/>
        <v>NÃO</v>
      </c>
      <c r="E79" s="277" t="s">
        <v>297</v>
      </c>
      <c r="F79" s="272" t="s">
        <v>297</v>
      </c>
      <c r="G79" s="263" t="s">
        <v>610</v>
      </c>
      <c r="H79" s="264">
        <f t="array" ref="H79">IFS(G79="JUNHO 2026",XLOOKUP(F79,tabelaregiaoprecos[[#ALL],[Região]],tabelaregiaoprecos[[#ALL],[JUNHO 2026]]),G79="FEVEREIRO 2026",XLOOKUP(F79,tabelaregiaoprecos[[#ALL],[Região]],tabelaregiaoprecos[[#ALL],[FEVEREIRO 2026]]))</f>
        <v>72.86</v>
      </c>
      <c r="I79" s="265"/>
      <c r="J79" s="200"/>
      <c r="K79" s="200"/>
      <c r="L79" s="248"/>
      <c r="N79" s="200"/>
      <c r="O79" s="200"/>
      <c r="Q79" s="200"/>
    </row>
    <row r="80" ht="22.5" customHeight="1">
      <c r="A80" s="258" t="s">
        <v>887</v>
      </c>
      <c r="B80" s="374" t="s">
        <v>50</v>
      </c>
      <c r="C80" s="279" t="s">
        <v>50</v>
      </c>
      <c r="D80" s="258" t="str">
        <f t="shared" si="2"/>
        <v>SIM</v>
      </c>
      <c r="E80" s="261" t="s">
        <v>297</v>
      </c>
      <c r="F80" s="262" t="s">
        <v>297</v>
      </c>
      <c r="G80" s="263" t="s">
        <v>610</v>
      </c>
      <c r="H80" s="264">
        <f t="array" ref="H80">IFS(G80="JUNHO 2026",XLOOKUP(F80,tabelaregiaoprecos[[#ALL],[Região]],tabelaregiaoprecos[[#ALL],[JUNHO 2026]]),G80="FEVEREIRO 2026",XLOOKUP(F80,tabelaregiaoprecos[[#ALL],[Região]],tabelaregiaoprecos[[#ALL],[FEVEREIRO 2026]]))</f>
        <v>72.86</v>
      </c>
      <c r="I80" s="265"/>
      <c r="J80" s="200"/>
      <c r="K80" s="200"/>
      <c r="L80" s="248"/>
      <c r="N80" s="200"/>
      <c r="O80" s="200"/>
      <c r="Q80" s="200"/>
    </row>
    <row r="81" ht="22.5" customHeight="1">
      <c r="A81" s="268" t="s">
        <v>888</v>
      </c>
      <c r="B81" s="368" t="s">
        <v>605</v>
      </c>
      <c r="C81" s="288" t="s">
        <v>605</v>
      </c>
      <c r="D81" s="268" t="str">
        <f t="shared" si="2"/>
        <v>SIM</v>
      </c>
      <c r="E81" s="283" t="s">
        <v>411</v>
      </c>
      <c r="F81" s="272" t="s">
        <v>658</v>
      </c>
      <c r="G81" s="263" t="s">
        <v>610</v>
      </c>
      <c r="H81" s="264">
        <f t="array" ref="H81">IFS(G81="JUNHO 2026",XLOOKUP(F81,tabelaregiaoprecos[[#ALL],[Região]],tabelaregiaoprecos[[#ALL],[JUNHO 2026]]),G81="FEVEREIRO 2026",XLOOKUP(F81,tabelaregiaoprecos[[#ALL],[Região]],tabelaregiaoprecos[[#ALL],[FEVEREIRO 2026]]))</f>
        <v>69.86</v>
      </c>
      <c r="I81" s="265"/>
      <c r="J81" s="200"/>
      <c r="K81" s="200"/>
      <c r="L81" s="248"/>
      <c r="M81" s="200"/>
      <c r="N81" s="200"/>
      <c r="O81" s="200"/>
      <c r="Q81" s="200"/>
    </row>
    <row r="82" ht="22.5" customHeight="1">
      <c r="A82" s="258" t="s">
        <v>891</v>
      </c>
      <c r="B82" s="292" t="s">
        <v>642</v>
      </c>
      <c r="C82" s="287" t="s">
        <v>642</v>
      </c>
      <c r="D82" s="258" t="str">
        <f t="shared" si="2"/>
        <v>SIM</v>
      </c>
      <c r="E82" s="261" t="s">
        <v>258</v>
      </c>
      <c r="F82" s="262" t="s">
        <v>258</v>
      </c>
      <c r="G82" s="263" t="s">
        <v>610</v>
      </c>
      <c r="H82" s="264">
        <f t="array" ref="H82">IFS(G82="JUNHO 2026",XLOOKUP(F82,tabelaregiaoprecos[[#ALL],[Região]],tabelaregiaoprecos[[#ALL],[JUNHO 2026]]),G82="FEVEREIRO 2026",XLOOKUP(F82,tabelaregiaoprecos[[#ALL],[Região]],tabelaregiaoprecos[[#ALL],[FEVEREIRO 2026]]))</f>
        <v>89.59</v>
      </c>
      <c r="I82" s="265"/>
      <c r="J82" s="200"/>
      <c r="K82" s="200"/>
      <c r="L82" s="248"/>
      <c r="N82" s="200"/>
      <c r="O82" s="200"/>
      <c r="Q82" s="200"/>
    </row>
    <row r="83" ht="22.5" customHeight="1">
      <c r="A83" s="375" t="s">
        <v>893</v>
      </c>
      <c r="B83" s="269" t="s">
        <v>604</v>
      </c>
      <c r="C83" s="270" t="s">
        <v>604</v>
      </c>
      <c r="D83" s="268" t="str">
        <f t="shared" si="2"/>
        <v>NÃO</v>
      </c>
      <c r="E83" s="277" t="s">
        <v>61</v>
      </c>
      <c r="F83" s="272" t="s">
        <v>132</v>
      </c>
      <c r="G83" s="263" t="s">
        <v>610</v>
      </c>
      <c r="H83" s="264">
        <f t="array" ref="H83">IFS(G83="JUNHO 2026",XLOOKUP(F83,tabelaregiaoprecos[[#ALL],[Região]],tabelaregiaoprecos[[#ALL],[JUNHO 2026]]),G83="FEVEREIRO 2026",XLOOKUP(F83,tabelaregiaoprecos[[#ALL],[Região]],tabelaregiaoprecos[[#ALL],[FEVEREIRO 2026]]))</f>
        <v>65.28</v>
      </c>
      <c r="I83" s="265"/>
      <c r="J83" s="200"/>
      <c r="K83" s="200"/>
      <c r="L83" s="248"/>
      <c r="N83" s="200"/>
      <c r="O83" s="200"/>
      <c r="Q83" s="200"/>
    </row>
    <row r="84" ht="22.5" customHeight="1">
      <c r="A84" s="258" t="s">
        <v>894</v>
      </c>
      <c r="B84" s="269" t="s">
        <v>604</v>
      </c>
      <c r="C84" s="275" t="s">
        <v>604</v>
      </c>
      <c r="D84" s="258" t="str">
        <f t="shared" si="2"/>
        <v>NÃO</v>
      </c>
      <c r="E84" s="280" t="s">
        <v>128</v>
      </c>
      <c r="F84" s="262" t="s">
        <v>717</v>
      </c>
      <c r="G84" s="263" t="s">
        <v>610</v>
      </c>
      <c r="H84" s="264">
        <f t="array" ref="H84">IFS(G84="JUNHO 2026",XLOOKUP(F84,tabelaregiaoprecos[[#ALL],[Região]],tabelaregiaoprecos[[#ALL],[JUNHO 2026]]),G84="FEVEREIRO 2026",XLOOKUP(F84,tabelaregiaoprecos[[#ALL],[Região]],tabelaregiaoprecos[[#ALL],[FEVEREIRO 2026]]))</f>
        <v>79.99</v>
      </c>
      <c r="I84" s="265"/>
      <c r="J84" s="200"/>
      <c r="K84" s="200"/>
      <c r="L84" s="248"/>
      <c r="N84" s="200"/>
      <c r="O84" s="200"/>
      <c r="Q84" s="200"/>
    </row>
    <row r="85" ht="22.5" customHeight="1">
      <c r="A85" s="268" t="s">
        <v>874</v>
      </c>
      <c r="B85" s="368" t="s">
        <v>605</v>
      </c>
      <c r="C85" s="288" t="s">
        <v>605</v>
      </c>
      <c r="D85" s="268" t="str">
        <f t="shared" si="2"/>
        <v>SIM</v>
      </c>
      <c r="E85" s="277" t="s">
        <v>61</v>
      </c>
      <c r="F85" s="272" t="s">
        <v>496</v>
      </c>
      <c r="G85" s="263" t="s">
        <v>610</v>
      </c>
      <c r="H85" s="264">
        <f t="array" ref="H85">IFS(G85="JUNHO 2026",XLOOKUP(F85,tabelaregiaoprecos[[#ALL],[Região]],tabelaregiaoprecos[[#ALL],[JUNHO 2026]]),G85="FEVEREIRO 2026",XLOOKUP(F85,tabelaregiaoprecos[[#ALL],[Região]],tabelaregiaoprecos[[#ALL],[FEVEREIRO 2026]]))</f>
        <v>89.38</v>
      </c>
      <c r="I85" s="265"/>
      <c r="J85" s="200"/>
      <c r="K85" s="200"/>
      <c r="L85" s="248"/>
      <c r="N85" s="200"/>
      <c r="O85" s="200"/>
      <c r="Q85" s="200"/>
    </row>
    <row r="86" ht="22.5" customHeight="1">
      <c r="A86" s="258" t="s">
        <v>895</v>
      </c>
      <c r="B86" s="282" t="s">
        <v>604</v>
      </c>
      <c r="C86" s="275" t="s">
        <v>604</v>
      </c>
      <c r="D86" s="258" t="str">
        <f t="shared" si="2"/>
        <v>NÃO</v>
      </c>
      <c r="E86" s="261" t="s">
        <v>374</v>
      </c>
      <c r="F86" s="262" t="s">
        <v>555</v>
      </c>
      <c r="G86" s="263" t="s">
        <v>610</v>
      </c>
      <c r="H86" s="264">
        <f t="array" ref="H86">IFS(G86="JUNHO 2026",XLOOKUP(F86,tabelaregiaoprecos[[#ALL],[Região]],tabelaregiaoprecos[[#ALL],[JUNHO 2026]]),G86="FEVEREIRO 2026",XLOOKUP(F86,tabelaregiaoprecos[[#ALL],[Região]],tabelaregiaoprecos[[#ALL],[FEVEREIRO 2026]]))</f>
        <v>87.51</v>
      </c>
      <c r="I86" s="265"/>
      <c r="J86" s="200"/>
      <c r="K86" s="200"/>
      <c r="L86" s="248"/>
      <c r="N86" s="200"/>
      <c r="O86" s="200"/>
      <c r="Q86" s="200"/>
    </row>
    <row r="87" ht="22.5" customHeight="1">
      <c r="A87" s="268" t="s">
        <v>896</v>
      </c>
      <c r="B87" s="284" t="s">
        <v>642</v>
      </c>
      <c r="C87" s="276" t="s">
        <v>642</v>
      </c>
      <c r="D87" s="268" t="str">
        <f t="shared" si="2"/>
        <v>SIM</v>
      </c>
      <c r="E87" s="277" t="s">
        <v>128</v>
      </c>
      <c r="F87" s="272" t="s">
        <v>717</v>
      </c>
      <c r="G87" s="263" t="s">
        <v>610</v>
      </c>
      <c r="H87" s="264">
        <f t="array" ref="H87">IFS(G87="JUNHO 2026",XLOOKUP(F87,tabelaregiaoprecos[[#ALL],[Região]],tabelaregiaoprecos[[#ALL],[JUNHO 2026]]),G87="FEVEREIRO 2026",XLOOKUP(F87,tabelaregiaoprecos[[#ALL],[Região]],tabelaregiaoprecos[[#ALL],[FEVEREIRO 2026]]))</f>
        <v>79.99</v>
      </c>
      <c r="I87" s="265"/>
      <c r="J87" s="200"/>
      <c r="K87" s="200"/>
      <c r="L87" s="248"/>
      <c r="N87" s="200"/>
      <c r="O87" s="200"/>
      <c r="Q87" s="200"/>
    </row>
    <row r="88" ht="22.5" customHeight="1">
      <c r="A88" s="258" t="s">
        <v>897</v>
      </c>
      <c r="B88" s="278" t="s">
        <v>50</v>
      </c>
      <c r="C88" s="279" t="s">
        <v>50</v>
      </c>
      <c r="D88" s="258" t="str">
        <f t="shared" si="2"/>
        <v>SIM</v>
      </c>
      <c r="E88" s="261" t="s">
        <v>297</v>
      </c>
      <c r="F88" s="262" t="s">
        <v>297</v>
      </c>
      <c r="G88" s="263" t="s">
        <v>610</v>
      </c>
      <c r="H88" s="264">
        <f t="array" ref="H88">IFS(G88="JUNHO 2026",XLOOKUP(F88,tabelaregiaoprecos[[#ALL],[Região]],tabelaregiaoprecos[[#ALL],[JUNHO 2026]]),G88="FEVEREIRO 2026",XLOOKUP(F88,tabelaregiaoprecos[[#ALL],[Região]],tabelaregiaoprecos[[#ALL],[FEVEREIRO 2026]]))</f>
        <v>72.86</v>
      </c>
      <c r="I88" s="265"/>
      <c r="J88" s="200"/>
      <c r="K88" s="200"/>
      <c r="L88" s="248"/>
      <c r="N88" s="200"/>
      <c r="O88" s="200"/>
      <c r="Q88" s="200"/>
    </row>
    <row r="89" ht="22.5" customHeight="1">
      <c r="A89" s="268" t="s">
        <v>898</v>
      </c>
      <c r="B89" s="284" t="s">
        <v>642</v>
      </c>
      <c r="C89" s="276" t="s">
        <v>642</v>
      </c>
      <c r="D89" s="268" t="str">
        <f t="shared" si="2"/>
        <v>SIM</v>
      </c>
      <c r="E89" s="277" t="s">
        <v>61</v>
      </c>
      <c r="F89" s="272" t="s">
        <v>63</v>
      </c>
      <c r="G89" s="263" t="s">
        <v>610</v>
      </c>
      <c r="H89" s="264">
        <f t="array" ref="H89">IFS(G89="JUNHO 2026",XLOOKUP(F89,tabelaregiaoprecos[[#ALL],[Região]],tabelaregiaoprecos[[#ALL],[JUNHO 2026]]),G89="FEVEREIRO 2026",XLOOKUP(F89,tabelaregiaoprecos[[#ALL],[Região]],tabelaregiaoprecos[[#ALL],[FEVEREIRO 2026]]))</f>
        <v>87.51</v>
      </c>
      <c r="I89" s="265"/>
      <c r="J89" s="200"/>
      <c r="K89" s="200"/>
      <c r="L89" s="248"/>
      <c r="N89" s="200"/>
      <c r="O89" s="200"/>
      <c r="Q89" s="200"/>
    </row>
    <row r="90" ht="22.5" customHeight="1">
      <c r="A90" s="258" t="s">
        <v>899</v>
      </c>
      <c r="B90" s="278" t="s">
        <v>50</v>
      </c>
      <c r="C90" s="279" t="s">
        <v>50</v>
      </c>
      <c r="D90" s="258" t="str">
        <f t="shared" si="2"/>
        <v>SIM</v>
      </c>
      <c r="E90" s="261" t="s">
        <v>297</v>
      </c>
      <c r="F90" s="262" t="s">
        <v>297</v>
      </c>
      <c r="G90" s="263" t="s">
        <v>610</v>
      </c>
      <c r="H90" s="264">
        <f t="array" ref="H90">IFS(G90="JUNHO 2026",XLOOKUP(F90,tabelaregiaoprecos[[#ALL],[Região]],tabelaregiaoprecos[[#ALL],[JUNHO 2026]]),G90="FEVEREIRO 2026",XLOOKUP(F90,tabelaregiaoprecos[[#ALL],[Região]],tabelaregiaoprecos[[#ALL],[FEVEREIRO 2026]]))</f>
        <v>72.86</v>
      </c>
      <c r="I90" s="265"/>
      <c r="J90" s="200"/>
      <c r="K90" s="200"/>
      <c r="L90" s="248"/>
      <c r="N90" s="200"/>
      <c r="O90" s="200"/>
      <c r="Q90" s="200"/>
    </row>
    <row r="91" ht="22.5" customHeight="1">
      <c r="A91" s="268" t="s">
        <v>900</v>
      </c>
      <c r="B91" s="284" t="s">
        <v>642</v>
      </c>
      <c r="C91" s="276" t="s">
        <v>642</v>
      </c>
      <c r="D91" s="268" t="str">
        <f t="shared" si="2"/>
        <v>SIM</v>
      </c>
      <c r="E91" s="277" t="s">
        <v>61</v>
      </c>
      <c r="F91" s="272" t="s">
        <v>132</v>
      </c>
      <c r="G91" s="263" t="s">
        <v>610</v>
      </c>
      <c r="H91" s="264">
        <f t="array" ref="H91">IFS(G91="JUNHO 2026",XLOOKUP(F91,tabelaregiaoprecos[[#ALL],[Região]],tabelaregiaoprecos[[#ALL],[JUNHO 2026]]),G91="FEVEREIRO 2026",XLOOKUP(F91,tabelaregiaoprecos[[#ALL],[Região]],tabelaregiaoprecos[[#ALL],[FEVEREIRO 2026]]))</f>
        <v>65.28</v>
      </c>
      <c r="I91" s="265"/>
      <c r="J91" s="200"/>
      <c r="K91" s="200"/>
      <c r="L91" s="248"/>
      <c r="N91" s="200"/>
      <c r="O91" s="200"/>
      <c r="Q91" s="200"/>
    </row>
    <row r="92" ht="22.5" customHeight="1">
      <c r="A92" s="258" t="s">
        <v>901</v>
      </c>
      <c r="B92" s="282" t="s">
        <v>604</v>
      </c>
      <c r="C92" s="275" t="s">
        <v>604</v>
      </c>
      <c r="D92" s="258" t="str">
        <f t="shared" si="2"/>
        <v>NÃO</v>
      </c>
      <c r="E92" s="261" t="s">
        <v>128</v>
      </c>
      <c r="F92" s="262" t="s">
        <v>280</v>
      </c>
      <c r="G92" s="263" t="s">
        <v>610</v>
      </c>
      <c r="H92" s="264">
        <f t="array" ref="H92">IFS(G92="JUNHO 2026",XLOOKUP(F92,tabelaregiaoprecos[[#ALL],[Região]],tabelaregiaoprecos[[#ALL],[JUNHO 2026]]),G92="FEVEREIRO 2026",XLOOKUP(F92,tabelaregiaoprecos[[#ALL],[Região]],tabelaregiaoprecos[[#ALL],[FEVEREIRO 2026]]))</f>
        <v>69.86</v>
      </c>
      <c r="I92" s="265"/>
      <c r="J92" s="200"/>
      <c r="K92" s="200"/>
      <c r="L92" s="248"/>
      <c r="N92" s="200"/>
      <c r="O92" s="200"/>
      <c r="Q92" s="200"/>
    </row>
    <row r="93" ht="22.5" customHeight="1">
      <c r="A93" s="268" t="s">
        <v>902</v>
      </c>
      <c r="B93" s="278" t="s">
        <v>50</v>
      </c>
      <c r="C93" s="276" t="s">
        <v>642</v>
      </c>
      <c r="D93" s="268" t="str">
        <f t="shared" si="2"/>
        <v>SIM</v>
      </c>
      <c r="E93" s="277" t="s">
        <v>374</v>
      </c>
      <c r="F93" s="272" t="s">
        <v>375</v>
      </c>
      <c r="G93" s="263" t="s">
        <v>610</v>
      </c>
      <c r="H93" s="264">
        <f t="array" ref="H93">IFS(G93="JUNHO 2026",XLOOKUP(F93,tabelaregiaoprecos[[#ALL],[Região]],tabelaregiaoprecos[[#ALL],[JUNHO 2026]]),G93="FEVEREIRO 2026",XLOOKUP(F93,tabelaregiaoprecos[[#ALL],[Região]],tabelaregiaoprecos[[#ALL],[FEVEREIRO 2026]]))</f>
        <v>76.32</v>
      </c>
      <c r="I93" s="265"/>
      <c r="J93" s="200"/>
      <c r="K93" s="200"/>
      <c r="L93" s="248"/>
      <c r="N93" s="200"/>
      <c r="O93" s="200"/>
      <c r="Q93" s="200"/>
    </row>
    <row r="94" ht="22.5" customHeight="1">
      <c r="A94" s="258" t="s">
        <v>903</v>
      </c>
      <c r="B94" s="282" t="s">
        <v>604</v>
      </c>
      <c r="C94" s="275" t="s">
        <v>604</v>
      </c>
      <c r="D94" s="258" t="str">
        <f t="shared" si="2"/>
        <v>NÃO</v>
      </c>
      <c r="E94" s="261" t="s">
        <v>128</v>
      </c>
      <c r="F94" s="262" t="s">
        <v>695</v>
      </c>
      <c r="G94" s="263" t="s">
        <v>610</v>
      </c>
      <c r="H94" s="264">
        <f t="array" ref="H94">IFS(G94="JUNHO 2026",XLOOKUP(F94,tabelaregiaoprecos[[#ALL],[Região]],tabelaregiaoprecos[[#ALL],[JUNHO 2026]]),G94="FEVEREIRO 2026",XLOOKUP(F94,tabelaregiaoprecos[[#ALL],[Região]],tabelaregiaoprecos[[#ALL],[FEVEREIRO 2026]]))</f>
        <v>74.4</v>
      </c>
      <c r="I94" s="265"/>
      <c r="J94" s="200"/>
      <c r="K94" s="200"/>
      <c r="L94" s="248"/>
      <c r="N94" s="200"/>
      <c r="O94" s="200"/>
      <c r="Q94" s="200"/>
    </row>
    <row r="95" ht="22.5" customHeight="1">
      <c r="A95" s="268" t="s">
        <v>112</v>
      </c>
      <c r="B95" s="330" t="s">
        <v>605</v>
      </c>
      <c r="C95" s="281" t="s">
        <v>605</v>
      </c>
      <c r="D95" s="268" t="str">
        <f t="shared" si="2"/>
        <v>SIM</v>
      </c>
      <c r="E95" s="277" t="s">
        <v>128</v>
      </c>
      <c r="F95" s="272" t="s">
        <v>132</v>
      </c>
      <c r="G95" s="263" t="s">
        <v>610</v>
      </c>
      <c r="H95" s="264">
        <f t="array" ref="H95">IFS(G95="JUNHO 2026",XLOOKUP(F95,tabelaregiaoprecos[[#ALL],[Região]],tabelaregiaoprecos[[#ALL],[JUNHO 2026]]),G95="FEVEREIRO 2026",XLOOKUP(F95,tabelaregiaoprecos[[#ALL],[Região]],tabelaregiaoprecos[[#ALL],[FEVEREIRO 2026]]))</f>
        <v>65.28</v>
      </c>
      <c r="I95" s="265"/>
      <c r="J95" s="200"/>
      <c r="K95" s="200"/>
      <c r="L95" s="248"/>
      <c r="N95" s="200"/>
      <c r="O95" s="200"/>
      <c r="Q95" s="200"/>
    </row>
    <row r="96" ht="22.5" customHeight="1">
      <c r="A96" s="258" t="s">
        <v>904</v>
      </c>
      <c r="B96" s="284" t="s">
        <v>642</v>
      </c>
      <c r="C96" s="276" t="s">
        <v>642</v>
      </c>
      <c r="D96" s="258" t="str">
        <f t="shared" si="2"/>
        <v>SIM</v>
      </c>
      <c r="E96" s="261" t="s">
        <v>128</v>
      </c>
      <c r="F96" s="262" t="s">
        <v>695</v>
      </c>
      <c r="G96" s="263" t="s">
        <v>610</v>
      </c>
      <c r="H96" s="264">
        <f t="array" ref="H96">IFS(G96="JUNHO 2026",XLOOKUP(F96,tabelaregiaoprecos[[#ALL],[Região]],tabelaregiaoprecos[[#ALL],[JUNHO 2026]]),G96="FEVEREIRO 2026",XLOOKUP(F96,tabelaregiaoprecos[[#ALL],[Região]],tabelaregiaoprecos[[#ALL],[FEVEREIRO 2026]]))</f>
        <v>74.4</v>
      </c>
      <c r="I96" s="265"/>
      <c r="J96" s="200"/>
      <c r="K96" s="200"/>
      <c r="L96" s="248"/>
      <c r="N96" s="200"/>
      <c r="O96" s="200"/>
      <c r="Q96" s="200"/>
    </row>
    <row r="97" ht="22.5" customHeight="1">
      <c r="A97" s="268" t="s">
        <v>905</v>
      </c>
      <c r="B97" s="284" t="s">
        <v>642</v>
      </c>
      <c r="C97" s="276" t="s">
        <v>642</v>
      </c>
      <c r="D97" s="268" t="str">
        <f t="shared" si="2"/>
        <v>SIM</v>
      </c>
      <c r="E97" s="277" t="s">
        <v>128</v>
      </c>
      <c r="F97" s="272" t="s">
        <v>280</v>
      </c>
      <c r="G97" s="263" t="s">
        <v>610</v>
      </c>
      <c r="H97" s="264">
        <f t="array" ref="H97">IFS(G97="JUNHO 2026",XLOOKUP(F97,tabelaregiaoprecos[[#ALL],[Região]],tabelaregiaoprecos[[#ALL],[JUNHO 2026]]),G97="FEVEREIRO 2026",XLOOKUP(F97,tabelaregiaoprecos[[#ALL],[Região]],tabelaregiaoprecos[[#ALL],[FEVEREIRO 2026]]))</f>
        <v>69.86</v>
      </c>
      <c r="I97" s="265"/>
      <c r="J97" s="200"/>
      <c r="K97" s="200"/>
      <c r="L97" s="248"/>
      <c r="N97" s="200"/>
      <c r="O97" s="200"/>
      <c r="Q97" s="200"/>
    </row>
    <row r="98" ht="22.5" customHeight="1">
      <c r="A98" s="258" t="s">
        <v>906</v>
      </c>
      <c r="B98" s="330" t="s">
        <v>605</v>
      </c>
      <c r="C98" s="287" t="s">
        <v>642</v>
      </c>
      <c r="D98" s="258" t="str">
        <f t="shared" si="2"/>
        <v>SIM</v>
      </c>
      <c r="E98" s="261" t="s">
        <v>61</v>
      </c>
      <c r="F98" s="262" t="s">
        <v>496</v>
      </c>
      <c r="G98" s="263" t="s">
        <v>610</v>
      </c>
      <c r="H98" s="264">
        <f t="array" ref="H98">IFS(G98="JUNHO 2026",XLOOKUP(F98,tabelaregiaoprecos[[#ALL],[Região]],tabelaregiaoprecos[[#ALL],[JUNHO 2026]]),G98="FEVEREIRO 2026",XLOOKUP(F98,tabelaregiaoprecos[[#ALL],[Região]],tabelaregiaoprecos[[#ALL],[FEVEREIRO 2026]]))</f>
        <v>89.38</v>
      </c>
      <c r="I98" s="265"/>
      <c r="J98" s="200"/>
      <c r="K98" s="200"/>
      <c r="L98" s="248"/>
      <c r="N98" s="200"/>
      <c r="O98" s="200"/>
      <c r="Q98" s="200"/>
    </row>
    <row r="99" ht="22.5" customHeight="1">
      <c r="A99" s="268" t="s">
        <v>907</v>
      </c>
      <c r="B99" s="269" t="s">
        <v>604</v>
      </c>
      <c r="C99" s="270" t="s">
        <v>604</v>
      </c>
      <c r="D99" s="268" t="str">
        <f t="shared" si="2"/>
        <v>NÃO</v>
      </c>
      <c r="E99" s="277" t="s">
        <v>128</v>
      </c>
      <c r="F99" s="272" t="s">
        <v>695</v>
      </c>
      <c r="G99" s="263" t="s">
        <v>610</v>
      </c>
      <c r="H99" s="264">
        <f t="array" ref="H99">IFS(G99="JUNHO 2026",XLOOKUP(F99,tabelaregiaoprecos[[#ALL],[Região]],tabelaregiaoprecos[[#ALL],[JUNHO 2026]]),G99="FEVEREIRO 2026",XLOOKUP(F99,tabelaregiaoprecos[[#ALL],[Região]],tabelaregiaoprecos[[#ALL],[FEVEREIRO 2026]]))</f>
        <v>74.4</v>
      </c>
      <c r="I99" s="265"/>
      <c r="J99" s="200"/>
      <c r="K99" s="200"/>
      <c r="L99" s="248"/>
      <c r="N99" s="200"/>
      <c r="O99" s="200"/>
      <c r="Q99" s="200"/>
    </row>
    <row r="100" ht="22.5" customHeight="1">
      <c r="A100" s="258" t="s">
        <v>908</v>
      </c>
      <c r="B100" s="278" t="s">
        <v>50</v>
      </c>
      <c r="C100" s="279" t="s">
        <v>50</v>
      </c>
      <c r="D100" s="258" t="str">
        <f t="shared" si="2"/>
        <v>SIM</v>
      </c>
      <c r="E100" s="261" t="s">
        <v>297</v>
      </c>
      <c r="F100" s="262" t="s">
        <v>375</v>
      </c>
      <c r="G100" s="263" t="s">
        <v>610</v>
      </c>
      <c r="H100" s="264">
        <f t="array" ref="H100">IFS(G100="JUNHO 2026",XLOOKUP(F100,tabelaregiaoprecos[[#ALL],[Região]],tabelaregiaoprecos[[#ALL],[JUNHO 2026]]),G100="FEVEREIRO 2026",XLOOKUP(F100,tabelaregiaoprecos[[#ALL],[Região]],tabelaregiaoprecos[[#ALL],[FEVEREIRO 2026]]))</f>
        <v>76.32</v>
      </c>
      <c r="I100" s="265"/>
      <c r="J100" s="200"/>
      <c r="K100" s="200"/>
      <c r="L100" s="248"/>
      <c r="N100" s="200"/>
      <c r="O100" s="200"/>
      <c r="Q100" s="200"/>
    </row>
    <row r="101" ht="22.5" customHeight="1">
      <c r="A101" s="268" t="s">
        <v>892</v>
      </c>
      <c r="B101" s="330" t="s">
        <v>605</v>
      </c>
      <c r="C101" s="288" t="s">
        <v>50</v>
      </c>
      <c r="D101" s="268" t="str">
        <f t="shared" si="2"/>
        <v>SIM</v>
      </c>
      <c r="E101" s="277" t="s">
        <v>258</v>
      </c>
      <c r="F101" s="272" t="s">
        <v>258</v>
      </c>
      <c r="G101" s="263" t="s">
        <v>610</v>
      </c>
      <c r="H101" s="264">
        <f t="array" ref="H101">IFS(G101="JUNHO 2026",XLOOKUP(F101,tabelaregiaoprecos[[#ALL],[Região]],tabelaregiaoprecos[[#ALL],[JUNHO 2026]]),G101="FEVEREIRO 2026",XLOOKUP(F101,tabelaregiaoprecos[[#ALL],[Região]],tabelaregiaoprecos[[#ALL],[FEVEREIRO 2026]]))</f>
        <v>89.59</v>
      </c>
      <c r="I101" s="265"/>
      <c r="J101" s="200"/>
      <c r="K101" s="200"/>
      <c r="L101" s="248"/>
      <c r="N101" s="200"/>
      <c r="O101" s="200"/>
      <c r="Q101" s="200"/>
    </row>
    <row r="102" ht="22.5" customHeight="1">
      <c r="A102" s="258" t="s">
        <v>909</v>
      </c>
      <c r="B102" s="282" t="s">
        <v>604</v>
      </c>
      <c r="C102" s="275" t="s">
        <v>604</v>
      </c>
      <c r="D102" s="258" t="str">
        <f t="shared" si="2"/>
        <v>NÃO</v>
      </c>
      <c r="E102" s="261" t="s">
        <v>258</v>
      </c>
      <c r="F102" s="262" t="s">
        <v>258</v>
      </c>
      <c r="G102" s="263" t="s">
        <v>610</v>
      </c>
      <c r="H102" s="264">
        <f t="array" ref="H102">IFS(G102="JUNHO 2026",XLOOKUP(F102,tabelaregiaoprecos[[#ALL],[Região]],tabelaregiaoprecos[[#ALL],[JUNHO 2026]]),G102="FEVEREIRO 2026",XLOOKUP(F102,tabelaregiaoprecos[[#ALL],[Região]],tabelaregiaoprecos[[#ALL],[FEVEREIRO 2026]]))</f>
        <v>89.59</v>
      </c>
      <c r="I102" s="265"/>
      <c r="J102" s="200"/>
      <c r="K102" s="200"/>
      <c r="L102" s="248"/>
      <c r="N102" s="200"/>
      <c r="O102" s="200"/>
      <c r="Q102" s="200"/>
    </row>
    <row r="103" ht="22.5" customHeight="1">
      <c r="A103" s="268" t="s">
        <v>910</v>
      </c>
      <c r="B103" s="282" t="s">
        <v>604</v>
      </c>
      <c r="C103" s="270" t="s">
        <v>604</v>
      </c>
      <c r="D103" s="268" t="str">
        <f t="shared" si="2"/>
        <v>NÃO</v>
      </c>
      <c r="E103" s="271" t="s">
        <v>297</v>
      </c>
      <c r="F103" s="272" t="s">
        <v>375</v>
      </c>
      <c r="G103" s="263" t="s">
        <v>610</v>
      </c>
      <c r="H103" s="264">
        <f t="array" ref="H103">IFS(G103="JUNHO 2026",XLOOKUP(F103,tabelaregiaoprecos[[#ALL],[Região]],tabelaregiaoprecos[[#ALL],[JUNHO 2026]]),G103="FEVEREIRO 2026",XLOOKUP(F103,tabelaregiaoprecos[[#ALL],[Região]],tabelaregiaoprecos[[#ALL],[FEVEREIRO 2026]]))</f>
        <v>76.32</v>
      </c>
      <c r="I103" s="265"/>
      <c r="J103" s="200"/>
      <c r="K103" s="200"/>
      <c r="L103" s="248"/>
      <c r="N103" s="200"/>
      <c r="O103" s="200"/>
      <c r="Q103" s="200"/>
    </row>
    <row r="104" ht="22.5" customHeight="1">
      <c r="A104" s="258" t="s">
        <v>911</v>
      </c>
      <c r="B104" s="282" t="s">
        <v>604</v>
      </c>
      <c r="C104" s="275" t="s">
        <v>604</v>
      </c>
      <c r="D104" s="258" t="str">
        <f t="shared" si="2"/>
        <v>NÃO</v>
      </c>
      <c r="E104" s="261" t="s">
        <v>297</v>
      </c>
      <c r="F104" s="262" t="s">
        <v>297</v>
      </c>
      <c r="G104" s="263" t="s">
        <v>610</v>
      </c>
      <c r="H104" s="264">
        <f t="array" ref="H104">IFS(G104="JUNHO 2026",XLOOKUP(F104,tabelaregiaoprecos[[#ALL],[Região]],tabelaregiaoprecos[[#ALL],[JUNHO 2026]]),G104="FEVEREIRO 2026",XLOOKUP(F104,tabelaregiaoprecos[[#ALL],[Região]],tabelaregiaoprecos[[#ALL],[FEVEREIRO 2026]]))</f>
        <v>72.86</v>
      </c>
      <c r="I104" s="265"/>
      <c r="J104" s="200"/>
      <c r="K104" s="200"/>
      <c r="L104" s="248"/>
      <c r="N104" s="200"/>
      <c r="O104" s="200"/>
      <c r="Q104" s="200"/>
    </row>
    <row r="105" ht="22.5" customHeight="1">
      <c r="A105" s="268" t="s">
        <v>912</v>
      </c>
      <c r="B105" s="284" t="s">
        <v>642</v>
      </c>
      <c r="C105" s="276" t="s">
        <v>642</v>
      </c>
      <c r="D105" s="268" t="str">
        <f t="shared" si="2"/>
        <v>SIM</v>
      </c>
      <c r="E105" s="277" t="s">
        <v>61</v>
      </c>
      <c r="F105" s="272" t="s">
        <v>496</v>
      </c>
      <c r="G105" s="263" t="s">
        <v>610</v>
      </c>
      <c r="H105" s="264">
        <f t="array" ref="H105">IFS(G105="JUNHO 2026",XLOOKUP(F105,tabelaregiaoprecos[[#ALL],[Região]],tabelaregiaoprecos[[#ALL],[JUNHO 2026]]),G105="FEVEREIRO 2026",XLOOKUP(F105,tabelaregiaoprecos[[#ALL],[Região]],tabelaregiaoprecos[[#ALL],[FEVEREIRO 2026]]))</f>
        <v>89.38</v>
      </c>
      <c r="I105" s="265"/>
      <c r="J105" s="200"/>
      <c r="K105" s="200"/>
      <c r="L105" s="248"/>
      <c r="N105" s="200"/>
      <c r="O105" s="200"/>
      <c r="Q105" s="200"/>
    </row>
    <row r="106" ht="22.5" customHeight="1">
      <c r="A106" s="258" t="s">
        <v>913</v>
      </c>
      <c r="B106" s="292" t="s">
        <v>642</v>
      </c>
      <c r="C106" s="287" t="s">
        <v>642</v>
      </c>
      <c r="D106" s="258" t="str">
        <f t="shared" si="2"/>
        <v>SIM</v>
      </c>
      <c r="E106" s="261" t="s">
        <v>61</v>
      </c>
      <c r="F106" s="262" t="s">
        <v>496</v>
      </c>
      <c r="G106" s="263" t="s">
        <v>610</v>
      </c>
      <c r="H106" s="264">
        <f t="array" ref="H106">IFS(G106="JUNHO 2026",XLOOKUP(F106,tabelaregiaoprecos[[#ALL],[Região]],tabelaregiaoprecos[[#ALL],[JUNHO 2026]]),G106="FEVEREIRO 2026",XLOOKUP(F106,tabelaregiaoprecos[[#ALL],[Região]],tabelaregiaoprecos[[#ALL],[FEVEREIRO 2026]]))</f>
        <v>89.38</v>
      </c>
      <c r="I106" s="265"/>
      <c r="J106" s="200"/>
      <c r="K106" s="200"/>
      <c r="L106" s="248"/>
      <c r="N106" s="200"/>
      <c r="O106" s="200"/>
      <c r="Q106" s="200"/>
    </row>
    <row r="107" ht="22.5" customHeight="1">
      <c r="A107" s="268" t="s">
        <v>914</v>
      </c>
      <c r="B107" s="292" t="s">
        <v>642</v>
      </c>
      <c r="C107" s="281" t="s">
        <v>605</v>
      </c>
      <c r="D107" s="268" t="str">
        <f t="shared" si="2"/>
        <v>SIM</v>
      </c>
      <c r="E107" s="271" t="s">
        <v>128</v>
      </c>
      <c r="F107" s="272" t="s">
        <v>280</v>
      </c>
      <c r="G107" s="263" t="s">
        <v>610</v>
      </c>
      <c r="H107" s="264">
        <f t="array" ref="H107">IFS(G107="JUNHO 2026",XLOOKUP(F107,tabelaregiaoprecos[[#ALL],[Região]],tabelaregiaoprecos[[#ALL],[JUNHO 2026]]),G107="FEVEREIRO 2026",XLOOKUP(F107,tabelaregiaoprecos[[#ALL],[Região]],tabelaregiaoprecos[[#ALL],[FEVEREIRO 2026]]))</f>
        <v>69.86</v>
      </c>
      <c r="I107" s="265"/>
      <c r="J107" s="200"/>
      <c r="K107" s="200"/>
      <c r="L107" s="248"/>
      <c r="N107" s="200"/>
      <c r="O107" s="200"/>
      <c r="Q107" s="200"/>
    </row>
    <row r="108" ht="22.5" customHeight="1">
      <c r="A108" s="258" t="s">
        <v>915</v>
      </c>
      <c r="B108" s="292" t="s">
        <v>642</v>
      </c>
      <c r="C108" s="287" t="s">
        <v>642</v>
      </c>
      <c r="D108" s="258" t="str">
        <f t="shared" si="2"/>
        <v>SIM</v>
      </c>
      <c r="E108" s="261" t="s">
        <v>128</v>
      </c>
      <c r="F108" s="262" t="s">
        <v>280</v>
      </c>
      <c r="G108" s="263" t="s">
        <v>610</v>
      </c>
      <c r="H108" s="264">
        <f t="array" ref="H108">IFS(G108="JUNHO 2026",XLOOKUP(F108,tabelaregiaoprecos[[#ALL],[Região]],tabelaregiaoprecos[[#ALL],[JUNHO 2026]]),G108="FEVEREIRO 2026",XLOOKUP(F108,tabelaregiaoprecos[[#ALL],[Região]],tabelaregiaoprecos[[#ALL],[FEVEREIRO 2026]]))</f>
        <v>69.86</v>
      </c>
      <c r="I108" s="265"/>
      <c r="J108" s="200"/>
      <c r="K108" s="200"/>
      <c r="L108" s="248"/>
      <c r="N108" s="200"/>
      <c r="O108" s="200"/>
      <c r="Q108" s="200"/>
    </row>
    <row r="109" ht="22.5" customHeight="1">
      <c r="A109" s="268" t="s">
        <v>916</v>
      </c>
      <c r="B109" s="269" t="s">
        <v>604</v>
      </c>
      <c r="C109" s="270" t="s">
        <v>604</v>
      </c>
      <c r="D109" s="268" t="str">
        <f t="shared" si="2"/>
        <v>NÃO</v>
      </c>
      <c r="E109" s="271" t="s">
        <v>128</v>
      </c>
      <c r="F109" s="272" t="s">
        <v>132</v>
      </c>
      <c r="G109" s="263" t="s">
        <v>610</v>
      </c>
      <c r="H109" s="264">
        <f t="array" ref="H109">IFS(G109="JUNHO 2026",XLOOKUP(F109,tabelaregiaoprecos[[#ALL],[Região]],tabelaregiaoprecos[[#ALL],[JUNHO 2026]]),G109="FEVEREIRO 2026",XLOOKUP(F109,tabelaregiaoprecos[[#ALL],[Região]],tabelaregiaoprecos[[#ALL],[FEVEREIRO 2026]]))</f>
        <v>65.28</v>
      </c>
      <c r="I109" s="265"/>
      <c r="J109" s="200"/>
      <c r="K109" s="200"/>
      <c r="L109" s="248"/>
      <c r="N109" s="200"/>
      <c r="O109" s="200"/>
      <c r="Q109" s="200"/>
    </row>
    <row r="110" ht="22.5" customHeight="1">
      <c r="A110" s="258" t="s">
        <v>917</v>
      </c>
      <c r="B110" s="278" t="s">
        <v>50</v>
      </c>
      <c r="C110" s="287" t="s">
        <v>642</v>
      </c>
      <c r="D110" s="258" t="str">
        <f t="shared" si="2"/>
        <v>SIM</v>
      </c>
      <c r="E110" s="261" t="s">
        <v>374</v>
      </c>
      <c r="F110" s="262" t="s">
        <v>555</v>
      </c>
      <c r="G110" s="263" t="s">
        <v>610</v>
      </c>
      <c r="H110" s="264">
        <f t="array" ref="H110">IFS(G110="JUNHO 2026",XLOOKUP(F110,tabelaregiaoprecos[[#ALL],[Região]],tabelaregiaoprecos[[#ALL],[JUNHO 2026]]),G110="FEVEREIRO 2026",XLOOKUP(F110,tabelaregiaoprecos[[#ALL],[Região]],tabelaregiaoprecos[[#ALL],[FEVEREIRO 2026]]))</f>
        <v>87.51</v>
      </c>
      <c r="I110" s="265"/>
      <c r="J110" s="200"/>
      <c r="K110" s="200"/>
      <c r="L110" s="248"/>
      <c r="N110" s="200"/>
      <c r="O110" s="200"/>
      <c r="Q110" s="200"/>
    </row>
    <row r="111" ht="22.5" customHeight="1">
      <c r="A111" s="268" t="s">
        <v>847</v>
      </c>
      <c r="B111" s="292" t="s">
        <v>642</v>
      </c>
      <c r="C111" s="281" t="s">
        <v>605</v>
      </c>
      <c r="D111" s="268" t="str">
        <f t="shared" si="2"/>
        <v>SIM</v>
      </c>
      <c r="E111" s="277" t="s">
        <v>61</v>
      </c>
      <c r="F111" s="272" t="s">
        <v>496</v>
      </c>
      <c r="G111" s="263" t="s">
        <v>610</v>
      </c>
      <c r="H111" s="264">
        <f t="array" ref="H111">IFS(G111="JUNHO 2026",XLOOKUP(F111,tabelaregiaoprecos[[#ALL],[Região]],tabelaregiaoprecos[[#ALL],[JUNHO 2026]]),G111="FEVEREIRO 2026",XLOOKUP(F111,tabelaregiaoprecos[[#ALL],[Região]],tabelaregiaoprecos[[#ALL],[FEVEREIRO 2026]]))</f>
        <v>89.38</v>
      </c>
      <c r="I111" s="265"/>
      <c r="J111" s="200"/>
      <c r="K111" s="200"/>
      <c r="L111" s="248"/>
      <c r="N111" s="200"/>
      <c r="O111" s="200"/>
      <c r="Q111" s="200"/>
    </row>
    <row r="112" ht="22.5" customHeight="1">
      <c r="A112" s="258" t="s">
        <v>918</v>
      </c>
      <c r="B112" s="292" t="s">
        <v>642</v>
      </c>
      <c r="C112" s="260" t="s">
        <v>642</v>
      </c>
      <c r="D112" s="258" t="str">
        <f t="shared" si="2"/>
        <v>SIM</v>
      </c>
      <c r="E112" s="261" t="s">
        <v>258</v>
      </c>
      <c r="F112" s="262" t="s">
        <v>258</v>
      </c>
      <c r="G112" s="263" t="s">
        <v>610</v>
      </c>
      <c r="H112" s="264">
        <f t="array" ref="H112">IFS(G112="JUNHO 2026",XLOOKUP(F112,tabelaregiaoprecos[[#ALL],[Região]],tabelaregiaoprecos[[#ALL],[JUNHO 2026]]),G112="FEVEREIRO 2026",XLOOKUP(F112,tabelaregiaoprecos[[#ALL],[Região]],tabelaregiaoprecos[[#ALL],[FEVEREIRO 2026]]))</f>
        <v>89.59</v>
      </c>
      <c r="I112" s="265"/>
      <c r="J112" s="200"/>
      <c r="K112" s="200"/>
      <c r="L112" s="248"/>
      <c r="N112" s="200"/>
      <c r="O112" s="200"/>
      <c r="Q112" s="200"/>
    </row>
    <row r="113" ht="22.5" customHeight="1">
      <c r="A113" s="268" t="s">
        <v>919</v>
      </c>
      <c r="B113" s="368" t="s">
        <v>50</v>
      </c>
      <c r="C113" s="288" t="s">
        <v>50</v>
      </c>
      <c r="D113" s="268" t="str">
        <f t="shared" si="2"/>
        <v>SIM</v>
      </c>
      <c r="E113" s="283" t="s">
        <v>411</v>
      </c>
      <c r="F113" s="272" t="s">
        <v>658</v>
      </c>
      <c r="G113" s="263" t="s">
        <v>610</v>
      </c>
      <c r="H113" s="264">
        <f t="array" ref="H113">IFS(G113="JUNHO 2026",XLOOKUP(F113,tabelaregiaoprecos[[#ALL],[Região]],tabelaregiaoprecos[[#ALL],[JUNHO 2026]]),G113="FEVEREIRO 2026",XLOOKUP(F113,tabelaregiaoprecos[[#ALL],[Região]],tabelaregiaoprecos[[#ALL],[FEVEREIRO 2026]]))</f>
        <v>69.86</v>
      </c>
      <c r="I113" s="265"/>
      <c r="J113" s="200"/>
      <c r="K113" s="200"/>
      <c r="L113" s="248"/>
      <c r="M113" s="200"/>
      <c r="N113" s="200"/>
      <c r="O113" s="200"/>
      <c r="Q113" s="200"/>
    </row>
    <row r="114" ht="22.5" customHeight="1">
      <c r="A114" s="258" t="s">
        <v>920</v>
      </c>
      <c r="B114" s="282" t="s">
        <v>604</v>
      </c>
      <c r="C114" s="275" t="s">
        <v>604</v>
      </c>
      <c r="D114" s="258" t="str">
        <f t="shared" si="2"/>
        <v>NÃO</v>
      </c>
      <c r="E114" s="261" t="s">
        <v>258</v>
      </c>
      <c r="F114" s="262" t="s">
        <v>258</v>
      </c>
      <c r="G114" s="263" t="s">
        <v>610</v>
      </c>
      <c r="H114" s="264">
        <f t="array" ref="H114">IFS(G114="JUNHO 2026",XLOOKUP(F114,tabelaregiaoprecos[[#ALL],[Região]],tabelaregiaoprecos[[#ALL],[JUNHO 2026]]),G114="FEVEREIRO 2026",XLOOKUP(F114,tabelaregiaoprecos[[#ALL],[Região]],tabelaregiaoprecos[[#ALL],[FEVEREIRO 2026]]))</f>
        <v>89.59</v>
      </c>
      <c r="I114" s="265"/>
      <c r="J114" s="200"/>
      <c r="K114" s="200"/>
      <c r="L114" s="248"/>
      <c r="N114" s="200"/>
      <c r="O114" s="200"/>
      <c r="Q114" s="200"/>
    </row>
    <row r="115" ht="22.5" customHeight="1">
      <c r="A115" s="268" t="s">
        <v>921</v>
      </c>
      <c r="B115" s="330" t="s">
        <v>605</v>
      </c>
      <c r="C115" s="281" t="s">
        <v>605</v>
      </c>
      <c r="D115" s="268" t="str">
        <f t="shared" si="2"/>
        <v>SIM</v>
      </c>
      <c r="E115" s="283" t="s">
        <v>411</v>
      </c>
      <c r="F115" s="272" t="s">
        <v>798</v>
      </c>
      <c r="G115" s="263" t="s">
        <v>610</v>
      </c>
      <c r="H115" s="264">
        <f t="array" ref="H115">IFS(G115="JUNHO 2026",XLOOKUP(F115,tabelaregiaoprecos[[#ALL],[Região]],tabelaregiaoprecos[[#ALL],[JUNHO 2026]]),G115="FEVEREIRO 2026",XLOOKUP(F115,tabelaregiaoprecos[[#ALL],[Região]],tabelaregiaoprecos[[#ALL],[FEVEREIRO 2026]]))</f>
        <v>77.04</v>
      </c>
      <c r="I115" s="265"/>
      <c r="J115" s="200"/>
      <c r="K115" s="200"/>
      <c r="L115" s="248"/>
      <c r="N115" s="200"/>
      <c r="O115" s="200"/>
      <c r="Q115" s="200"/>
    </row>
    <row r="116" ht="22.5" customHeight="1">
      <c r="A116" s="258" t="s">
        <v>922</v>
      </c>
      <c r="B116" s="282" t="s">
        <v>604</v>
      </c>
      <c r="C116" s="275" t="s">
        <v>604</v>
      </c>
      <c r="D116" s="258" t="str">
        <f t="shared" si="2"/>
        <v>NÃO</v>
      </c>
      <c r="E116" s="261" t="s">
        <v>61</v>
      </c>
      <c r="F116" s="262" t="s">
        <v>496</v>
      </c>
      <c r="G116" s="263" t="s">
        <v>610</v>
      </c>
      <c r="H116" s="264">
        <f t="array" ref="H116">IFS(G116="JUNHO 2026",XLOOKUP(F116,tabelaregiaoprecos[[#ALL],[Região]],tabelaregiaoprecos[[#ALL],[JUNHO 2026]]),G116="FEVEREIRO 2026",XLOOKUP(F116,tabelaregiaoprecos[[#ALL],[Região]],tabelaregiaoprecos[[#ALL],[FEVEREIRO 2026]]))</f>
        <v>89.38</v>
      </c>
      <c r="I116" s="265"/>
      <c r="J116" s="200"/>
      <c r="K116" s="200"/>
      <c r="L116" s="248"/>
      <c r="N116" s="200"/>
      <c r="O116" s="200"/>
      <c r="Q116" s="200"/>
    </row>
    <row r="117" ht="22.5" customHeight="1">
      <c r="A117" s="268" t="s">
        <v>923</v>
      </c>
      <c r="B117" s="269" t="s">
        <v>604</v>
      </c>
      <c r="C117" s="270" t="s">
        <v>604</v>
      </c>
      <c r="D117" s="268" t="str">
        <f t="shared" si="2"/>
        <v>NÃO</v>
      </c>
      <c r="E117" s="271" t="s">
        <v>128</v>
      </c>
      <c r="F117" s="272" t="s">
        <v>280</v>
      </c>
      <c r="G117" s="263" t="s">
        <v>610</v>
      </c>
      <c r="H117" s="264">
        <f t="array" ref="H117">IFS(G117="JUNHO 2026",XLOOKUP(F117,tabelaregiaoprecos[[#ALL],[Região]],tabelaregiaoprecos[[#ALL],[JUNHO 2026]]),G117="FEVEREIRO 2026",XLOOKUP(F117,tabelaregiaoprecos[[#ALL],[Região]],tabelaregiaoprecos[[#ALL],[FEVEREIRO 2026]]))</f>
        <v>69.86</v>
      </c>
      <c r="I117" s="265"/>
      <c r="J117" s="200"/>
      <c r="K117" s="200"/>
      <c r="L117" s="248"/>
      <c r="N117" s="200"/>
      <c r="O117" s="200"/>
      <c r="Q117" s="200"/>
    </row>
    <row r="118" ht="22.5" customHeight="1">
      <c r="A118" s="258" t="s">
        <v>924</v>
      </c>
      <c r="B118" s="259" t="s">
        <v>605</v>
      </c>
      <c r="C118" s="260" t="s">
        <v>605</v>
      </c>
      <c r="D118" s="258" t="str">
        <f t="shared" si="2"/>
        <v>SIM</v>
      </c>
      <c r="E118" s="261" t="s">
        <v>61</v>
      </c>
      <c r="F118" s="262" t="s">
        <v>798</v>
      </c>
      <c r="G118" s="263" t="s">
        <v>610</v>
      </c>
      <c r="H118" s="264">
        <f t="array" ref="H118">IFS(G118="JUNHO 2026",XLOOKUP(F118,tabelaregiaoprecos[[#ALL],[Região]],tabelaregiaoprecos[[#ALL],[JUNHO 2026]]),G118="FEVEREIRO 2026",XLOOKUP(F118,tabelaregiaoprecos[[#ALL],[Região]],tabelaregiaoprecos[[#ALL],[FEVEREIRO 2026]]))</f>
        <v>77.04</v>
      </c>
      <c r="I118" s="265"/>
      <c r="J118" s="200"/>
      <c r="K118" s="200"/>
      <c r="L118" s="248"/>
      <c r="N118" s="200"/>
      <c r="O118" s="200"/>
      <c r="Q118" s="200"/>
    </row>
    <row r="119" ht="22.5" customHeight="1">
      <c r="A119" s="268" t="s">
        <v>925</v>
      </c>
      <c r="B119" s="269" t="s">
        <v>604</v>
      </c>
      <c r="C119" s="270" t="s">
        <v>604</v>
      </c>
      <c r="D119" s="268" t="str">
        <f t="shared" si="2"/>
        <v>NÃO</v>
      </c>
      <c r="E119" s="277" t="s">
        <v>128</v>
      </c>
      <c r="F119" s="272" t="s">
        <v>280</v>
      </c>
      <c r="G119" s="263" t="s">
        <v>610</v>
      </c>
      <c r="H119" s="264">
        <f t="array" ref="H119">IFS(G119="JUNHO 2026",XLOOKUP(F119,tabelaregiaoprecos[[#ALL],[Região]],tabelaregiaoprecos[[#ALL],[JUNHO 2026]]),G119="FEVEREIRO 2026",XLOOKUP(F119,tabelaregiaoprecos[[#ALL],[Região]],tabelaregiaoprecos[[#ALL],[FEVEREIRO 2026]]))</f>
        <v>69.86</v>
      </c>
      <c r="I119" s="265"/>
      <c r="J119" s="200"/>
      <c r="K119" s="200"/>
      <c r="L119" s="248"/>
      <c r="N119" s="200"/>
      <c r="O119" s="200"/>
      <c r="Q119" s="200"/>
    </row>
    <row r="120" ht="22.5" customHeight="1">
      <c r="A120" s="258" t="s">
        <v>212</v>
      </c>
      <c r="B120" s="368" t="s">
        <v>50</v>
      </c>
      <c r="C120" s="260" t="s">
        <v>605</v>
      </c>
      <c r="D120" s="258" t="str">
        <f t="shared" si="2"/>
        <v>SIM</v>
      </c>
      <c r="E120" s="261" t="s">
        <v>297</v>
      </c>
      <c r="F120" s="262" t="s">
        <v>297</v>
      </c>
      <c r="G120" s="263" t="s">
        <v>610</v>
      </c>
      <c r="H120" s="264">
        <f t="array" ref="H120">IFS(G120="JUNHO 2026",XLOOKUP(F120,tabelaregiaoprecos[[#ALL],[Região]],tabelaregiaoprecos[[#ALL],[JUNHO 2026]]),G120="FEVEREIRO 2026",XLOOKUP(F120,tabelaregiaoprecos[[#ALL],[Região]],tabelaregiaoprecos[[#ALL],[FEVEREIRO 2026]]))</f>
        <v>72.86</v>
      </c>
      <c r="I120" s="265"/>
      <c r="J120" s="200"/>
      <c r="K120" s="200"/>
      <c r="L120" s="248"/>
      <c r="N120" s="200"/>
      <c r="O120" s="200"/>
      <c r="Q120" s="200"/>
    </row>
    <row r="121" ht="22.5" customHeight="1">
      <c r="A121" s="268" t="s">
        <v>926</v>
      </c>
      <c r="B121" s="284" t="s">
        <v>642</v>
      </c>
      <c r="C121" s="276" t="s">
        <v>642</v>
      </c>
      <c r="D121" s="268" t="str">
        <f t="shared" si="2"/>
        <v>SIM</v>
      </c>
      <c r="E121" s="277" t="s">
        <v>61</v>
      </c>
      <c r="F121" s="272" t="s">
        <v>496</v>
      </c>
      <c r="G121" s="263" t="s">
        <v>610</v>
      </c>
      <c r="H121" s="264">
        <f t="array" ref="H121">IFS(G121="JUNHO 2026",XLOOKUP(F121,tabelaregiaoprecos[[#ALL],[Região]],tabelaregiaoprecos[[#ALL],[JUNHO 2026]]),G121="FEVEREIRO 2026",XLOOKUP(F121,tabelaregiaoprecos[[#ALL],[Região]],tabelaregiaoprecos[[#ALL],[FEVEREIRO 2026]]))</f>
        <v>89.38</v>
      </c>
      <c r="I121" s="265"/>
      <c r="J121" s="200"/>
      <c r="K121" s="200"/>
      <c r="L121" s="248"/>
      <c r="N121" s="200"/>
      <c r="O121" s="200"/>
      <c r="Q121" s="200"/>
    </row>
    <row r="122" ht="22.5" customHeight="1">
      <c r="A122" s="258" t="s">
        <v>927</v>
      </c>
      <c r="B122" s="284" t="s">
        <v>642</v>
      </c>
      <c r="C122" s="287" t="s">
        <v>642</v>
      </c>
      <c r="D122" s="258" t="str">
        <f t="shared" si="2"/>
        <v>SIM</v>
      </c>
      <c r="E122" s="283" t="s">
        <v>411</v>
      </c>
      <c r="F122" s="262" t="s">
        <v>798</v>
      </c>
      <c r="G122" s="263" t="s">
        <v>610</v>
      </c>
      <c r="H122" s="264">
        <f t="array" ref="H122">IFS(G122="JUNHO 2026",XLOOKUP(F122,tabelaregiaoprecos[[#ALL],[Região]],tabelaregiaoprecos[[#ALL],[JUNHO 2026]]),G122="FEVEREIRO 2026",XLOOKUP(F122,tabelaregiaoprecos[[#ALL],[Região]],tabelaregiaoprecos[[#ALL],[FEVEREIRO 2026]]))</f>
        <v>77.04</v>
      </c>
      <c r="I122" s="265"/>
      <c r="J122" s="200"/>
      <c r="K122" s="200"/>
      <c r="L122" s="248"/>
      <c r="N122" s="200"/>
      <c r="O122" s="200"/>
      <c r="Q122" s="200"/>
    </row>
    <row r="123" ht="22.5" customHeight="1">
      <c r="A123" s="268" t="s">
        <v>928</v>
      </c>
      <c r="B123" s="284" t="s">
        <v>642</v>
      </c>
      <c r="C123" s="281" t="s">
        <v>605</v>
      </c>
      <c r="D123" s="268" t="str">
        <f t="shared" si="2"/>
        <v>SIM</v>
      </c>
      <c r="E123" s="277" t="s">
        <v>61</v>
      </c>
      <c r="F123" s="272" t="s">
        <v>798</v>
      </c>
      <c r="G123" s="263" t="s">
        <v>610</v>
      </c>
      <c r="H123" s="264">
        <f t="array" ref="H123">IFS(G123="JUNHO 2026",XLOOKUP(F123,tabelaregiaoprecos[[#ALL],[Região]],tabelaregiaoprecos[[#ALL],[JUNHO 2026]]),G123="FEVEREIRO 2026",XLOOKUP(F123,tabelaregiaoprecos[[#ALL],[Região]],tabelaregiaoprecos[[#ALL],[FEVEREIRO 2026]]))</f>
        <v>77.04</v>
      </c>
      <c r="I123" s="265"/>
      <c r="J123" s="200"/>
      <c r="K123" s="200"/>
      <c r="L123" s="248"/>
      <c r="N123" s="200"/>
      <c r="O123" s="200"/>
      <c r="Q123" s="200"/>
    </row>
    <row r="124" ht="22.5" customHeight="1">
      <c r="A124" s="258" t="s">
        <v>929</v>
      </c>
      <c r="B124" s="282" t="s">
        <v>604</v>
      </c>
      <c r="C124" s="275" t="s">
        <v>604</v>
      </c>
      <c r="D124" s="258" t="str">
        <f t="shared" si="2"/>
        <v>NÃO</v>
      </c>
      <c r="E124" s="261" t="s">
        <v>128</v>
      </c>
      <c r="F124" s="262" t="s">
        <v>695</v>
      </c>
      <c r="G124" s="263" t="s">
        <v>610</v>
      </c>
      <c r="H124" s="264">
        <f t="array" ref="H124">IFS(G124="JUNHO 2026",XLOOKUP(F124,tabelaregiaoprecos[[#ALL],[Região]],tabelaregiaoprecos[[#ALL],[JUNHO 2026]]),G124="FEVEREIRO 2026",XLOOKUP(F124,tabelaregiaoprecos[[#ALL],[Região]],tabelaregiaoprecos[[#ALL],[FEVEREIRO 2026]]))</f>
        <v>74.4</v>
      </c>
      <c r="I124" s="265"/>
      <c r="J124" s="200"/>
      <c r="K124" s="200"/>
      <c r="L124" s="248"/>
      <c r="N124" s="200"/>
      <c r="O124" s="200"/>
      <c r="Q124" s="200"/>
    </row>
    <row r="125" ht="22.5" customHeight="1">
      <c r="A125" s="268" t="s">
        <v>930</v>
      </c>
      <c r="B125" s="284" t="s">
        <v>642</v>
      </c>
      <c r="C125" s="276" t="s">
        <v>642</v>
      </c>
      <c r="D125" s="268" t="str">
        <f t="shared" si="2"/>
        <v>SIM</v>
      </c>
      <c r="E125" s="271" t="s">
        <v>61</v>
      </c>
      <c r="F125" s="272" t="s">
        <v>798</v>
      </c>
      <c r="G125" s="263" t="s">
        <v>610</v>
      </c>
      <c r="H125" s="264">
        <f t="array" ref="H125">IFS(G125="JUNHO 2026",XLOOKUP(F125,tabelaregiaoprecos[[#ALL],[Região]],tabelaregiaoprecos[[#ALL],[JUNHO 2026]]),G125="FEVEREIRO 2026",XLOOKUP(F125,tabelaregiaoprecos[[#ALL],[Região]],tabelaregiaoprecos[[#ALL],[FEVEREIRO 2026]]))</f>
        <v>77.04</v>
      </c>
      <c r="I125" s="265"/>
      <c r="J125" s="200"/>
      <c r="K125" s="200"/>
      <c r="L125" s="248"/>
      <c r="N125" s="200"/>
      <c r="O125" s="200"/>
      <c r="Q125" s="200"/>
    </row>
    <row r="126" ht="22.5" customHeight="1">
      <c r="A126" s="258" t="s">
        <v>582</v>
      </c>
      <c r="B126" s="282" t="s">
        <v>604</v>
      </c>
      <c r="C126" s="275" t="s">
        <v>604</v>
      </c>
      <c r="D126" s="258" t="str">
        <f t="shared" si="2"/>
        <v>NÃO</v>
      </c>
      <c r="E126" s="261" t="s">
        <v>128</v>
      </c>
      <c r="F126" s="262" t="s">
        <v>280</v>
      </c>
      <c r="G126" s="263" t="s">
        <v>610</v>
      </c>
      <c r="H126" s="264">
        <f t="array" ref="H126">IFS(G126="JUNHO 2026",XLOOKUP(F126,tabelaregiaoprecos[[#ALL],[Região]],tabelaregiaoprecos[[#ALL],[JUNHO 2026]]),G126="FEVEREIRO 2026",XLOOKUP(F126,tabelaregiaoprecos[[#ALL],[Região]],tabelaregiaoprecos[[#ALL],[FEVEREIRO 2026]]))</f>
        <v>69.86</v>
      </c>
      <c r="I126" s="265"/>
      <c r="J126" s="200"/>
      <c r="K126" s="200"/>
      <c r="L126" s="248"/>
      <c r="N126" s="200"/>
      <c r="O126" s="200"/>
      <c r="Q126" s="200"/>
    </row>
    <row r="127" ht="22.5" customHeight="1">
      <c r="A127" s="268" t="s">
        <v>931</v>
      </c>
      <c r="B127" s="284" t="s">
        <v>642</v>
      </c>
      <c r="C127" s="281" t="s">
        <v>605</v>
      </c>
      <c r="D127" s="268" t="str">
        <f t="shared" si="2"/>
        <v>SIM</v>
      </c>
      <c r="E127" s="277" t="s">
        <v>61</v>
      </c>
      <c r="F127" s="272" t="s">
        <v>798</v>
      </c>
      <c r="G127" s="263" t="s">
        <v>610</v>
      </c>
      <c r="H127" s="264">
        <f t="array" ref="H127">IFS(G127="JUNHO 2026",XLOOKUP(F127,tabelaregiaoprecos[[#ALL],[Região]],tabelaregiaoprecos[[#ALL],[JUNHO 2026]]),G127="FEVEREIRO 2026",XLOOKUP(F127,tabelaregiaoprecos[[#ALL],[Região]],tabelaregiaoprecos[[#ALL],[FEVEREIRO 2026]]))</f>
        <v>77.04</v>
      </c>
      <c r="I127" s="265"/>
      <c r="J127" s="200"/>
      <c r="K127" s="200"/>
      <c r="L127" s="248"/>
      <c r="N127" s="200"/>
      <c r="O127" s="200"/>
      <c r="Q127" s="200"/>
    </row>
    <row r="128" ht="22.5" customHeight="1">
      <c r="A128" s="258" t="s">
        <v>932</v>
      </c>
      <c r="B128" s="282" t="s">
        <v>604</v>
      </c>
      <c r="C128" s="275" t="s">
        <v>604</v>
      </c>
      <c r="D128" s="258" t="str">
        <f t="shared" si="2"/>
        <v>NÃO</v>
      </c>
      <c r="E128" s="261" t="s">
        <v>128</v>
      </c>
      <c r="F128" s="262" t="s">
        <v>695</v>
      </c>
      <c r="G128" s="263" t="s">
        <v>610</v>
      </c>
      <c r="H128" s="264">
        <f t="array" ref="H128">IFS(G128="JUNHO 2026",XLOOKUP(F128,tabelaregiaoprecos[[#ALL],[Região]],tabelaregiaoprecos[[#ALL],[JUNHO 2026]]),G128="FEVEREIRO 2026",XLOOKUP(F128,tabelaregiaoprecos[[#ALL],[Região]],tabelaregiaoprecos[[#ALL],[FEVEREIRO 2026]]))</f>
        <v>74.4</v>
      </c>
      <c r="I128" s="265"/>
      <c r="J128" s="200"/>
      <c r="K128" s="200"/>
      <c r="L128" s="248"/>
      <c r="N128" s="200"/>
      <c r="O128" s="200"/>
      <c r="Q128" s="200"/>
    </row>
    <row r="129" ht="22.5" customHeight="1">
      <c r="A129" s="268" t="s">
        <v>933</v>
      </c>
      <c r="B129" s="284" t="s">
        <v>642</v>
      </c>
      <c r="C129" s="276" t="s">
        <v>642</v>
      </c>
      <c r="D129" s="268" t="str">
        <f t="shared" si="2"/>
        <v>SIM</v>
      </c>
      <c r="E129" s="277" t="s">
        <v>61</v>
      </c>
      <c r="F129" s="272" t="s">
        <v>798</v>
      </c>
      <c r="G129" s="263" t="s">
        <v>610</v>
      </c>
      <c r="H129" s="264">
        <f t="array" ref="H129">IFS(G129="JUNHO 2026",XLOOKUP(F129,tabelaregiaoprecos[[#ALL],[Região]],tabelaregiaoprecos[[#ALL],[JUNHO 2026]]),G129="FEVEREIRO 2026",XLOOKUP(F129,tabelaregiaoprecos[[#ALL],[Região]],tabelaregiaoprecos[[#ALL],[FEVEREIRO 2026]]))</f>
        <v>77.04</v>
      </c>
      <c r="I129" s="265"/>
      <c r="J129" s="200"/>
      <c r="K129" s="200"/>
      <c r="L129" s="248"/>
      <c r="N129" s="200"/>
      <c r="O129" s="200"/>
      <c r="Q129" s="200"/>
    </row>
    <row r="130" ht="22.5" customHeight="1">
      <c r="A130" s="258" t="s">
        <v>934</v>
      </c>
      <c r="B130" s="284" t="s">
        <v>642</v>
      </c>
      <c r="C130" s="287" t="s">
        <v>642</v>
      </c>
      <c r="D130" s="258" t="str">
        <f t="shared" si="2"/>
        <v>SIM</v>
      </c>
      <c r="E130" s="280" t="s">
        <v>61</v>
      </c>
      <c r="F130" s="262" t="s">
        <v>496</v>
      </c>
      <c r="G130" s="263" t="s">
        <v>610</v>
      </c>
      <c r="H130" s="264">
        <f t="array" ref="H130">IFS(G130="JUNHO 2026",XLOOKUP(F130,tabelaregiaoprecos[[#ALL],[Região]],tabelaregiaoprecos[[#ALL],[JUNHO 2026]]),G130="FEVEREIRO 2026",XLOOKUP(F130,tabelaregiaoprecos[[#ALL],[Região]],tabelaregiaoprecos[[#ALL],[FEVEREIRO 2026]]))</f>
        <v>89.38</v>
      </c>
      <c r="I130" s="265"/>
      <c r="J130" s="200"/>
      <c r="K130" s="200"/>
      <c r="L130" s="248"/>
      <c r="N130" s="200"/>
      <c r="O130" s="200"/>
      <c r="Q130" s="200"/>
    </row>
    <row r="131" ht="22.5" customHeight="1">
      <c r="A131" s="268" t="s">
        <v>935</v>
      </c>
      <c r="B131" s="269" t="s">
        <v>604</v>
      </c>
      <c r="C131" s="270" t="s">
        <v>604</v>
      </c>
      <c r="D131" s="268" t="str">
        <f t="shared" si="2"/>
        <v>NÃO</v>
      </c>
      <c r="E131" s="277" t="s">
        <v>128</v>
      </c>
      <c r="F131" s="272" t="s">
        <v>695</v>
      </c>
      <c r="G131" s="263" t="s">
        <v>610</v>
      </c>
      <c r="H131" s="264">
        <f t="array" ref="H131">IFS(G131="JUNHO 2026",XLOOKUP(F131,tabelaregiaoprecos[[#ALL],[Região]],tabelaregiaoprecos[[#ALL],[JUNHO 2026]]),G131="FEVEREIRO 2026",XLOOKUP(F131,tabelaregiaoprecos[[#ALL],[Região]],tabelaregiaoprecos[[#ALL],[FEVEREIRO 2026]]))</f>
        <v>74.4</v>
      </c>
      <c r="I131" s="265"/>
      <c r="J131" s="200"/>
      <c r="K131" s="200"/>
      <c r="L131" s="248"/>
      <c r="N131" s="200"/>
      <c r="O131" s="200"/>
      <c r="Q131" s="200"/>
    </row>
    <row r="132" ht="22.5" customHeight="1">
      <c r="A132" s="258" t="s">
        <v>841</v>
      </c>
      <c r="B132" s="368" t="s">
        <v>50</v>
      </c>
      <c r="C132" s="260" t="s">
        <v>605</v>
      </c>
      <c r="D132" s="258" t="str">
        <f t="shared" si="2"/>
        <v>SIM</v>
      </c>
      <c r="E132" s="261" t="s">
        <v>61</v>
      </c>
      <c r="F132" s="262" t="s">
        <v>798</v>
      </c>
      <c r="G132" s="263" t="s">
        <v>610</v>
      </c>
      <c r="H132" s="264">
        <f t="array" ref="H132">IFS(G132="JUNHO 2026",XLOOKUP(F132,tabelaregiaoprecos[[#ALL],[Região]],tabelaregiaoprecos[[#ALL],[JUNHO 2026]]),G132="FEVEREIRO 2026",XLOOKUP(F132,tabelaregiaoprecos[[#ALL],[Região]],tabelaregiaoprecos[[#ALL],[FEVEREIRO 2026]]))</f>
        <v>77.04</v>
      </c>
      <c r="I132" s="265"/>
      <c r="J132" s="200"/>
      <c r="K132" s="200"/>
      <c r="L132" s="248"/>
      <c r="N132" s="200"/>
      <c r="O132" s="200"/>
      <c r="Q132" s="200"/>
    </row>
    <row r="133" ht="22.5" customHeight="1">
      <c r="A133" s="268" t="s">
        <v>936</v>
      </c>
      <c r="B133" s="292" t="s">
        <v>642</v>
      </c>
      <c r="C133" s="287" t="s">
        <v>642</v>
      </c>
      <c r="D133" s="268" t="str">
        <f t="shared" si="2"/>
        <v>SIM</v>
      </c>
      <c r="E133" s="277" t="s">
        <v>258</v>
      </c>
      <c r="F133" s="272" t="s">
        <v>258</v>
      </c>
      <c r="G133" s="263" t="s">
        <v>610</v>
      </c>
      <c r="H133" s="264">
        <f t="array" ref="H133">IFS(G133="JUNHO 2026",XLOOKUP(F133,tabelaregiaoprecos[[#ALL],[Região]],tabelaregiaoprecos[[#ALL],[JUNHO 2026]]),G133="FEVEREIRO 2026",XLOOKUP(F133,tabelaregiaoprecos[[#ALL],[Região]],tabelaregiaoprecos[[#ALL],[FEVEREIRO 2026]]))</f>
        <v>89.59</v>
      </c>
      <c r="I133" s="265"/>
      <c r="J133" s="200"/>
      <c r="K133" s="200"/>
      <c r="L133" s="248"/>
      <c r="N133" s="200"/>
      <c r="O133" s="200"/>
      <c r="Q133" s="200"/>
    </row>
    <row r="134" ht="22.5" customHeight="1">
      <c r="A134" s="258" t="s">
        <v>937</v>
      </c>
      <c r="B134" s="330" t="s">
        <v>605</v>
      </c>
      <c r="C134" s="287" t="s">
        <v>642</v>
      </c>
      <c r="D134" s="258" t="str">
        <f t="shared" si="2"/>
        <v>SIM</v>
      </c>
      <c r="E134" s="261" t="s">
        <v>128</v>
      </c>
      <c r="F134" s="262" t="s">
        <v>280</v>
      </c>
      <c r="G134" s="263" t="s">
        <v>610</v>
      </c>
      <c r="H134" s="264">
        <f t="array" ref="H134">IFS(G134="JUNHO 2026",XLOOKUP(F134,tabelaregiaoprecos[[#ALL],[Região]],tabelaregiaoprecos[[#ALL],[JUNHO 2026]]),G134="FEVEREIRO 2026",XLOOKUP(F134,tabelaregiaoprecos[[#ALL],[Região]],tabelaregiaoprecos[[#ALL],[FEVEREIRO 2026]]))</f>
        <v>69.86</v>
      </c>
      <c r="I134" s="265"/>
      <c r="J134" s="200"/>
      <c r="K134" s="200"/>
      <c r="L134" s="248"/>
      <c r="N134" s="200"/>
      <c r="O134" s="200"/>
      <c r="Q134" s="200"/>
    </row>
    <row r="135" ht="22.5" customHeight="1">
      <c r="A135" s="268" t="s">
        <v>938</v>
      </c>
      <c r="B135" s="292" t="s">
        <v>642</v>
      </c>
      <c r="C135" s="260" t="s">
        <v>605</v>
      </c>
      <c r="D135" s="268" t="str">
        <f t="shared" si="2"/>
        <v>SIM</v>
      </c>
      <c r="E135" s="277" t="s">
        <v>374</v>
      </c>
      <c r="F135" s="272" t="s">
        <v>375</v>
      </c>
      <c r="G135" s="263" t="s">
        <v>610</v>
      </c>
      <c r="H135" s="264">
        <f t="array" ref="H135">IFS(G135="JUNHO 2026",XLOOKUP(F135,tabelaregiaoprecos[[#ALL],[Região]],tabelaregiaoprecos[[#ALL],[JUNHO 2026]]),G135="FEVEREIRO 2026",XLOOKUP(F135,tabelaregiaoprecos[[#ALL],[Região]],tabelaregiaoprecos[[#ALL],[FEVEREIRO 2026]]))</f>
        <v>76.32</v>
      </c>
      <c r="I135" s="265"/>
      <c r="J135" s="200"/>
      <c r="K135" s="200"/>
      <c r="L135" s="248"/>
      <c r="N135" s="200"/>
      <c r="O135" s="200"/>
      <c r="Q135" s="200"/>
    </row>
    <row r="136" ht="22.5" customHeight="1">
      <c r="A136" s="258" t="s">
        <v>939</v>
      </c>
      <c r="B136" s="292" t="s">
        <v>642</v>
      </c>
      <c r="C136" s="287" t="s">
        <v>642</v>
      </c>
      <c r="D136" s="258" t="str">
        <f t="shared" si="2"/>
        <v>SIM</v>
      </c>
      <c r="E136" s="261" t="s">
        <v>258</v>
      </c>
      <c r="F136" s="262" t="s">
        <v>258</v>
      </c>
      <c r="G136" s="263" t="s">
        <v>610</v>
      </c>
      <c r="H136" s="264">
        <f t="array" ref="H136">IFS(G136="JUNHO 2026",XLOOKUP(F136,tabelaregiaoprecos[[#ALL],[Região]],tabelaregiaoprecos[[#ALL],[JUNHO 2026]]),G136="FEVEREIRO 2026",XLOOKUP(F136,tabelaregiaoprecos[[#ALL],[Região]],tabelaregiaoprecos[[#ALL],[FEVEREIRO 2026]]))</f>
        <v>89.59</v>
      </c>
      <c r="I136" s="265"/>
      <c r="J136" s="200"/>
      <c r="K136" s="200"/>
      <c r="L136" s="248"/>
      <c r="N136" s="200"/>
      <c r="O136" s="200"/>
      <c r="Q136" s="200"/>
    </row>
    <row r="137" ht="22.5" customHeight="1">
      <c r="A137" s="268" t="s">
        <v>395</v>
      </c>
      <c r="B137" s="368" t="s">
        <v>50</v>
      </c>
      <c r="C137" s="281" t="s">
        <v>605</v>
      </c>
      <c r="D137" s="268" t="str">
        <f t="shared" si="2"/>
        <v>SIM</v>
      </c>
      <c r="E137" s="271" t="s">
        <v>61</v>
      </c>
      <c r="F137" s="272" t="s">
        <v>63</v>
      </c>
      <c r="G137" s="263" t="s">
        <v>610</v>
      </c>
      <c r="H137" s="264">
        <f t="array" ref="H137">IFS(G137="JUNHO 2026",XLOOKUP(F137,tabelaregiaoprecos[[#ALL],[Região]],tabelaregiaoprecos[[#ALL],[JUNHO 2026]]),G137="FEVEREIRO 2026",XLOOKUP(F137,tabelaregiaoprecos[[#ALL],[Região]],tabelaregiaoprecos[[#ALL],[FEVEREIRO 2026]]))</f>
        <v>87.51</v>
      </c>
      <c r="I137" s="265"/>
      <c r="J137" s="200"/>
      <c r="K137" s="200"/>
      <c r="L137" s="248"/>
      <c r="N137" s="200"/>
      <c r="O137" s="200"/>
      <c r="Q137" s="200"/>
    </row>
    <row r="138" ht="22.5" customHeight="1">
      <c r="A138" s="258" t="s">
        <v>940</v>
      </c>
      <c r="B138" s="292" t="s">
        <v>642</v>
      </c>
      <c r="C138" s="287" t="s">
        <v>642</v>
      </c>
      <c r="D138" s="258" t="str">
        <f t="shared" si="2"/>
        <v>SIM</v>
      </c>
      <c r="E138" s="261" t="s">
        <v>297</v>
      </c>
      <c r="F138" s="376" t="s">
        <v>798</v>
      </c>
      <c r="G138" s="263" t="s">
        <v>610</v>
      </c>
      <c r="H138" s="264">
        <f t="array" ref="H138">IFS(G138="JUNHO 2026",XLOOKUP(F138,tabelaregiaoprecos[[#ALL],[Região]],tabelaregiaoprecos[[#ALL],[JUNHO 2026]]),G138="FEVEREIRO 2026",XLOOKUP(F138,tabelaregiaoprecos[[#ALL],[Região]],tabelaregiaoprecos[[#ALL],[FEVEREIRO 2026]]))</f>
        <v>77.04</v>
      </c>
      <c r="I138" s="265"/>
      <c r="J138" s="200"/>
      <c r="K138" s="200"/>
      <c r="L138" s="248"/>
      <c r="N138" s="200"/>
      <c r="O138" s="200"/>
      <c r="Q138" s="200"/>
    </row>
    <row r="139" ht="22.5" customHeight="1">
      <c r="A139" s="268" t="s">
        <v>941</v>
      </c>
      <c r="B139" s="368" t="s">
        <v>50</v>
      </c>
      <c r="C139" s="288" t="s">
        <v>50</v>
      </c>
      <c r="D139" s="268" t="str">
        <f t="shared" si="2"/>
        <v>SIM</v>
      </c>
      <c r="E139" s="283" t="s">
        <v>297</v>
      </c>
      <c r="F139" s="377" t="s">
        <v>297</v>
      </c>
      <c r="G139" s="263" t="s">
        <v>610</v>
      </c>
      <c r="H139" s="264">
        <f t="array" ref="H139">IFS(G139="JUNHO 2026",XLOOKUP(F139,tabelaregiaoprecos[[#ALL],[Região]],tabelaregiaoprecos[[#ALL],[JUNHO 2026]]),G139="FEVEREIRO 2026",XLOOKUP(F139,tabelaregiaoprecos[[#ALL],[Região]],tabelaregiaoprecos[[#ALL],[FEVEREIRO 2026]]))</f>
        <v>72.86</v>
      </c>
      <c r="I139" s="265"/>
      <c r="J139" s="200"/>
      <c r="K139" s="200"/>
      <c r="L139" s="248"/>
      <c r="N139" s="200"/>
      <c r="O139" s="200"/>
      <c r="Q139" s="200"/>
    </row>
    <row r="140" ht="22.5" customHeight="1">
      <c r="A140" s="258" t="s">
        <v>942</v>
      </c>
      <c r="B140" s="330" t="s">
        <v>605</v>
      </c>
      <c r="C140" s="281" t="s">
        <v>605</v>
      </c>
      <c r="D140" s="258" t="str">
        <f t="shared" si="2"/>
        <v>SIM</v>
      </c>
      <c r="E140" s="280" t="s">
        <v>61</v>
      </c>
      <c r="F140" s="262" t="s">
        <v>132</v>
      </c>
      <c r="G140" s="263" t="s">
        <v>610</v>
      </c>
      <c r="H140" s="264">
        <f t="array" ref="H140">IFS(G140="JUNHO 2026",XLOOKUP(F140,tabelaregiaoprecos[[#ALL],[Região]],tabelaregiaoprecos[[#ALL],[JUNHO 2026]]),G140="FEVEREIRO 2026",XLOOKUP(F140,tabelaregiaoprecos[[#ALL],[Região]],tabelaregiaoprecos[[#ALL],[FEVEREIRO 2026]]))</f>
        <v>65.28</v>
      </c>
      <c r="I140" s="265"/>
      <c r="J140" s="200"/>
      <c r="K140" s="200"/>
      <c r="L140" s="248"/>
      <c r="N140" s="200"/>
      <c r="O140" s="200"/>
      <c r="Q140" s="200"/>
    </row>
    <row r="141" ht="22.5" customHeight="1">
      <c r="A141" s="268" t="s">
        <v>943</v>
      </c>
      <c r="B141" s="284" t="s">
        <v>642</v>
      </c>
      <c r="C141" s="276" t="s">
        <v>642</v>
      </c>
      <c r="D141" s="268" t="str">
        <f t="shared" si="2"/>
        <v>SIM</v>
      </c>
      <c r="E141" s="277" t="s">
        <v>61</v>
      </c>
      <c r="F141" s="272" t="s">
        <v>496</v>
      </c>
      <c r="G141" s="263" t="s">
        <v>610</v>
      </c>
      <c r="H141" s="264">
        <f t="array" ref="H141">IFS(G141="JUNHO 2026",XLOOKUP(F141,tabelaregiaoprecos[[#ALL],[Região]],tabelaregiaoprecos[[#ALL],[JUNHO 2026]]),G141="FEVEREIRO 2026",XLOOKUP(F141,tabelaregiaoprecos[[#ALL],[Região]],tabelaregiaoprecos[[#ALL],[FEVEREIRO 2026]]))</f>
        <v>89.38</v>
      </c>
      <c r="I141" s="265"/>
      <c r="J141" s="200"/>
      <c r="K141" s="200"/>
      <c r="L141" s="248"/>
      <c r="N141" s="200"/>
      <c r="O141" s="200"/>
      <c r="Q141" s="200"/>
    </row>
    <row r="142" ht="22.5" customHeight="1">
      <c r="A142" s="258" t="s">
        <v>944</v>
      </c>
      <c r="B142" s="282" t="s">
        <v>604</v>
      </c>
      <c r="C142" s="275" t="s">
        <v>604</v>
      </c>
      <c r="D142" s="258" t="str">
        <f t="shared" si="2"/>
        <v>NÃO</v>
      </c>
      <c r="E142" s="280" t="s">
        <v>374</v>
      </c>
      <c r="F142" s="262" t="s">
        <v>555</v>
      </c>
      <c r="G142" s="263" t="s">
        <v>610</v>
      </c>
      <c r="H142" s="264">
        <f t="array" ref="H142">IFS(G142="JUNHO 2026",XLOOKUP(F142,tabelaregiaoprecos[[#ALL],[Região]],tabelaregiaoprecos[[#ALL],[JUNHO 2026]]),G142="FEVEREIRO 2026",XLOOKUP(F142,tabelaregiaoprecos[[#ALL],[Região]],tabelaregiaoprecos[[#ALL],[FEVEREIRO 2026]]))</f>
        <v>87.51</v>
      </c>
      <c r="I142" s="265"/>
      <c r="J142" s="200"/>
      <c r="K142" s="200"/>
      <c r="L142" s="248"/>
      <c r="N142" s="200"/>
      <c r="O142" s="200"/>
      <c r="Q142" s="200"/>
    </row>
    <row r="143" ht="22.5" customHeight="1">
      <c r="A143" s="268" t="s">
        <v>945</v>
      </c>
      <c r="B143" s="269" t="s">
        <v>604</v>
      </c>
      <c r="C143" s="270" t="s">
        <v>604</v>
      </c>
      <c r="D143" s="268" t="str">
        <f t="shared" si="2"/>
        <v>NÃO</v>
      </c>
      <c r="E143" s="277" t="s">
        <v>128</v>
      </c>
      <c r="F143" s="272" t="s">
        <v>280</v>
      </c>
      <c r="G143" s="263" t="s">
        <v>610</v>
      </c>
      <c r="H143" s="264">
        <f t="array" ref="H143">IFS(G143="JUNHO 2026",XLOOKUP(F143,tabelaregiaoprecos[[#ALL],[Região]],tabelaregiaoprecos[[#ALL],[JUNHO 2026]]),G143="FEVEREIRO 2026",XLOOKUP(F143,tabelaregiaoprecos[[#ALL],[Região]],tabelaregiaoprecos[[#ALL],[FEVEREIRO 2026]]))</f>
        <v>69.86</v>
      </c>
      <c r="I143" s="265"/>
      <c r="J143" s="200"/>
      <c r="K143" s="200"/>
      <c r="L143" s="248"/>
      <c r="N143" s="200"/>
      <c r="O143" s="200"/>
      <c r="Q143" s="200"/>
    </row>
    <row r="144" ht="22.5" customHeight="1">
      <c r="A144" s="258" t="s">
        <v>946</v>
      </c>
      <c r="B144" s="368" t="s">
        <v>50</v>
      </c>
      <c r="C144" s="260" t="s">
        <v>605</v>
      </c>
      <c r="D144" s="258" t="str">
        <f t="shared" si="2"/>
        <v>SIM</v>
      </c>
      <c r="E144" s="261" t="s">
        <v>128</v>
      </c>
      <c r="F144" s="262" t="s">
        <v>717</v>
      </c>
      <c r="G144" s="263" t="s">
        <v>610</v>
      </c>
      <c r="H144" s="264">
        <f t="array" ref="H144">IFS(G144="JUNHO 2026",XLOOKUP(F144,tabelaregiaoprecos[[#ALL],[Região]],tabelaregiaoprecos[[#ALL],[JUNHO 2026]]),G144="FEVEREIRO 2026",XLOOKUP(F144,tabelaregiaoprecos[[#ALL],[Região]],tabelaregiaoprecos[[#ALL],[FEVEREIRO 2026]]))</f>
        <v>79.99</v>
      </c>
      <c r="I144" s="265"/>
      <c r="J144" s="200"/>
      <c r="K144" s="200"/>
      <c r="L144" s="248"/>
      <c r="N144" s="200"/>
      <c r="O144" s="200"/>
      <c r="Q144" s="200"/>
    </row>
    <row r="145" ht="22.5" customHeight="1">
      <c r="A145" s="268" t="s">
        <v>947</v>
      </c>
      <c r="B145" s="269" t="s">
        <v>604</v>
      </c>
      <c r="C145" s="270" t="s">
        <v>604</v>
      </c>
      <c r="D145" s="268" t="str">
        <f t="shared" si="2"/>
        <v>NÃO</v>
      </c>
      <c r="E145" s="277" t="s">
        <v>128</v>
      </c>
      <c r="F145" s="272" t="s">
        <v>132</v>
      </c>
      <c r="G145" s="263" t="s">
        <v>610</v>
      </c>
      <c r="H145" s="264">
        <f t="array" ref="H145">IFS(G145="JUNHO 2026",XLOOKUP(F145,tabelaregiaoprecos[[#ALL],[Região]],tabelaregiaoprecos[[#ALL],[JUNHO 2026]]),G145="FEVEREIRO 2026",XLOOKUP(F145,tabelaregiaoprecos[[#ALL],[Região]],tabelaregiaoprecos[[#ALL],[FEVEREIRO 2026]]))</f>
        <v>65.28</v>
      </c>
      <c r="I145" s="265"/>
      <c r="J145" s="200"/>
      <c r="K145" s="200"/>
      <c r="L145" s="248"/>
      <c r="N145" s="200"/>
      <c r="O145" s="200"/>
      <c r="Q145" s="200"/>
    </row>
    <row r="146" ht="22.5" customHeight="1">
      <c r="A146" s="258" t="s">
        <v>948</v>
      </c>
      <c r="B146" s="368" t="s">
        <v>50</v>
      </c>
      <c r="C146" s="287" t="s">
        <v>642</v>
      </c>
      <c r="D146" s="258" t="str">
        <f t="shared" si="2"/>
        <v>SIM</v>
      </c>
      <c r="E146" s="261" t="s">
        <v>374</v>
      </c>
      <c r="F146" s="262" t="s">
        <v>375</v>
      </c>
      <c r="G146" s="263" t="s">
        <v>610</v>
      </c>
      <c r="H146" s="264">
        <f t="array" ref="H146">IFS(G146="JUNHO 2026",XLOOKUP(F146,tabelaregiaoprecos[[#ALL],[Região]],tabelaregiaoprecos[[#ALL],[JUNHO 2026]]),G146="FEVEREIRO 2026",XLOOKUP(F146,tabelaregiaoprecos[[#ALL],[Região]],tabelaregiaoprecos[[#ALL],[FEVEREIRO 2026]]))</f>
        <v>76.32</v>
      </c>
      <c r="I146" s="265"/>
      <c r="J146" s="200"/>
      <c r="K146" s="200"/>
      <c r="L146" s="248"/>
      <c r="N146" s="200"/>
      <c r="O146" s="200"/>
      <c r="Q146" s="200"/>
    </row>
    <row r="147" ht="22.5" customHeight="1">
      <c r="A147" s="268" t="s">
        <v>949</v>
      </c>
      <c r="B147" s="284" t="s">
        <v>642</v>
      </c>
      <c r="C147" s="281" t="s">
        <v>605</v>
      </c>
      <c r="D147" s="268" t="str">
        <f t="shared" si="2"/>
        <v>SIM</v>
      </c>
      <c r="E147" s="277" t="s">
        <v>61</v>
      </c>
      <c r="F147" s="272" t="s">
        <v>798</v>
      </c>
      <c r="G147" s="263" t="s">
        <v>610</v>
      </c>
      <c r="H147" s="264">
        <f t="array" ref="H147">IFS(G147="JUNHO 2026",XLOOKUP(F147,tabelaregiaoprecos[[#ALL],[Região]],tabelaregiaoprecos[[#ALL],[JUNHO 2026]]),G147="FEVEREIRO 2026",XLOOKUP(F147,tabelaregiaoprecos[[#ALL],[Região]],tabelaregiaoprecos[[#ALL],[FEVEREIRO 2026]]))</f>
        <v>77.04</v>
      </c>
      <c r="I147" s="265"/>
      <c r="J147" s="200"/>
      <c r="K147" s="200"/>
      <c r="L147" s="248"/>
      <c r="N147" s="200"/>
      <c r="O147" s="200"/>
      <c r="Q147" s="200"/>
    </row>
    <row r="148" ht="22.5" customHeight="1">
      <c r="A148" s="258" t="s">
        <v>950</v>
      </c>
      <c r="B148" s="282" t="s">
        <v>604</v>
      </c>
      <c r="C148" s="275" t="s">
        <v>604</v>
      </c>
      <c r="D148" s="258" t="str">
        <f t="shared" si="2"/>
        <v>NÃO</v>
      </c>
      <c r="E148" s="261" t="s">
        <v>61</v>
      </c>
      <c r="F148" s="262" t="s">
        <v>496</v>
      </c>
      <c r="G148" s="263" t="s">
        <v>610</v>
      </c>
      <c r="H148" s="264">
        <f t="array" ref="H148">IFS(G148="JUNHO 2026",XLOOKUP(F148,tabelaregiaoprecos[[#ALL],[Região]],tabelaregiaoprecos[[#ALL],[JUNHO 2026]]),G148="FEVEREIRO 2026",XLOOKUP(F148,tabelaregiaoprecos[[#ALL],[Região]],tabelaregiaoprecos[[#ALL],[FEVEREIRO 2026]]))</f>
        <v>89.38</v>
      </c>
      <c r="I148" s="265"/>
      <c r="J148" s="200"/>
      <c r="K148" s="200"/>
      <c r="L148" s="248"/>
      <c r="N148" s="200"/>
      <c r="O148" s="200"/>
      <c r="Q148" s="200"/>
    </row>
    <row r="149" ht="22.5" customHeight="1">
      <c r="A149" s="268" t="s">
        <v>951</v>
      </c>
      <c r="B149" s="368" t="s">
        <v>50</v>
      </c>
      <c r="C149" s="288" t="s">
        <v>50</v>
      </c>
      <c r="D149" s="268" t="str">
        <f t="shared" si="2"/>
        <v>SIM</v>
      </c>
      <c r="E149" s="277" t="s">
        <v>374</v>
      </c>
      <c r="F149" s="272" t="s">
        <v>375</v>
      </c>
      <c r="G149" s="263" t="s">
        <v>610</v>
      </c>
      <c r="H149" s="264">
        <f t="array" ref="H149">IFS(G149="JUNHO 2026",XLOOKUP(F149,tabelaregiaoprecos[[#ALL],[Região]],tabelaregiaoprecos[[#ALL],[JUNHO 2026]]),G149="FEVEREIRO 2026",XLOOKUP(F149,tabelaregiaoprecos[[#ALL],[Região]],tabelaregiaoprecos[[#ALL],[FEVEREIRO 2026]]))</f>
        <v>76.32</v>
      </c>
      <c r="I149" s="265"/>
      <c r="J149" s="200"/>
      <c r="K149" s="200"/>
      <c r="L149" s="248"/>
      <c r="N149" s="200"/>
      <c r="O149" s="200"/>
      <c r="Q149" s="200"/>
    </row>
    <row r="150" ht="22.5" customHeight="1">
      <c r="A150" s="258" t="s">
        <v>952</v>
      </c>
      <c r="B150" s="259" t="s">
        <v>642</v>
      </c>
      <c r="C150" s="260" t="s">
        <v>642</v>
      </c>
      <c r="D150" s="258" t="str">
        <f t="shared" si="2"/>
        <v>SIM</v>
      </c>
      <c r="E150" s="261" t="s">
        <v>128</v>
      </c>
      <c r="F150" s="262" t="s">
        <v>280</v>
      </c>
      <c r="G150" s="263" t="s">
        <v>610</v>
      </c>
      <c r="H150" s="264">
        <f t="array" ref="H150">IFS(G150="JUNHO 2026",XLOOKUP(F150,tabelaregiaoprecos[[#ALL],[Região]],tabelaregiaoprecos[[#ALL],[JUNHO 2026]]),G150="FEVEREIRO 2026",XLOOKUP(F150,tabelaregiaoprecos[[#ALL],[Região]],tabelaregiaoprecos[[#ALL],[FEVEREIRO 2026]]))</f>
        <v>69.86</v>
      </c>
      <c r="I150" s="265"/>
      <c r="J150" s="200"/>
      <c r="K150" s="200"/>
      <c r="L150" s="248"/>
      <c r="N150" s="200"/>
      <c r="O150" s="200"/>
      <c r="Q150" s="200"/>
    </row>
    <row r="151">
      <c r="A151" s="35"/>
      <c r="B151" s="35"/>
      <c r="C151" s="35"/>
      <c r="D151" s="378"/>
      <c r="E151" s="35"/>
      <c r="F151" s="35"/>
      <c r="G151" s="35"/>
      <c r="H151" s="35"/>
      <c r="J151" s="200"/>
      <c r="K151" s="200"/>
      <c r="L151" s="248"/>
      <c r="M151" s="200"/>
      <c r="N151" s="200"/>
      <c r="O151" s="200"/>
      <c r="Q151" s="200"/>
    </row>
    <row r="152" ht="22.5" customHeight="1">
      <c r="A152" s="35"/>
      <c r="B152" s="35"/>
      <c r="C152" s="35"/>
      <c r="D152" s="378"/>
      <c r="E152" s="35"/>
      <c r="F152" s="35"/>
      <c r="G152" s="35"/>
      <c r="H152" s="35"/>
      <c r="J152" s="200"/>
      <c r="K152" s="200"/>
      <c r="L152" s="379" t="s">
        <v>70</v>
      </c>
      <c r="M152" s="380" t="s">
        <v>953</v>
      </c>
      <c r="N152" s="380" t="s">
        <v>610</v>
      </c>
      <c r="O152" s="200"/>
      <c r="Q152" s="200"/>
    </row>
    <row r="153" ht="22.5" customHeight="1">
      <c r="A153" s="35"/>
      <c r="B153" s="35"/>
      <c r="C153" s="35"/>
      <c r="D153" s="378"/>
      <c r="E153" s="35"/>
      <c r="F153" s="35"/>
      <c r="G153" s="35"/>
      <c r="H153" s="35"/>
      <c r="J153" s="200"/>
      <c r="K153" s="200"/>
      <c r="L153" s="381" t="s">
        <v>280</v>
      </c>
      <c r="M153" s="381">
        <v>49.02</v>
      </c>
      <c r="N153" s="381">
        <v>69.86</v>
      </c>
      <c r="O153" s="200"/>
      <c r="Q153" s="200"/>
    </row>
    <row r="154" ht="22.5" customHeight="1">
      <c r="A154" s="35"/>
      <c r="B154" s="35"/>
      <c r="C154" s="35"/>
      <c r="D154" s="378"/>
      <c r="E154" s="35"/>
      <c r="F154" s="35"/>
      <c r="G154" s="35"/>
      <c r="H154" s="35"/>
      <c r="J154" s="200"/>
      <c r="K154" s="200"/>
      <c r="L154" s="381" t="s">
        <v>297</v>
      </c>
      <c r="M154" s="381">
        <v>31.25</v>
      </c>
      <c r="N154" s="381">
        <v>72.86</v>
      </c>
      <c r="O154" s="200"/>
      <c r="Q154" s="200"/>
    </row>
    <row r="155" ht="22.5" customHeight="1">
      <c r="A155" s="35"/>
      <c r="B155" s="35"/>
      <c r="C155" s="35"/>
      <c r="D155" s="378"/>
      <c r="E155" s="35"/>
      <c r="F155" s="35"/>
      <c r="G155" s="35"/>
      <c r="H155" s="35"/>
      <c r="J155" s="200"/>
      <c r="K155" s="200"/>
      <c r="L155" s="381" t="s">
        <v>695</v>
      </c>
      <c r="M155" s="381">
        <v>81.58</v>
      </c>
      <c r="N155" s="381">
        <v>74.4</v>
      </c>
      <c r="O155" s="200"/>
      <c r="Q155" s="200"/>
    </row>
    <row r="156" ht="22.5" customHeight="1">
      <c r="A156" s="35"/>
      <c r="B156" s="35"/>
      <c r="C156" s="35"/>
      <c r="D156" s="378"/>
      <c r="E156" s="35"/>
      <c r="F156" s="35"/>
      <c r="G156" s="35"/>
      <c r="H156" s="35"/>
      <c r="J156" s="200"/>
      <c r="K156" s="200"/>
      <c r="L156" s="381" t="s">
        <v>658</v>
      </c>
      <c r="M156" s="381">
        <v>68.64</v>
      </c>
      <c r="N156" s="381">
        <v>69.86</v>
      </c>
      <c r="O156" s="200"/>
      <c r="Q156" s="200"/>
    </row>
    <row r="157" ht="22.5" customHeight="1">
      <c r="A157" s="35"/>
      <c r="B157" s="35"/>
      <c r="C157" s="35"/>
      <c r="D157" s="378"/>
      <c r="E157" s="35"/>
      <c r="F157" s="35"/>
      <c r="G157" s="35"/>
      <c r="H157" s="35"/>
      <c r="J157" s="200"/>
      <c r="K157" s="200"/>
      <c r="L157" s="381" t="s">
        <v>798</v>
      </c>
      <c r="M157" s="381">
        <v>34.75</v>
      </c>
      <c r="N157" s="381">
        <v>77.04</v>
      </c>
      <c r="O157" s="200"/>
      <c r="Q157" s="200"/>
    </row>
    <row r="158" ht="22.5" customHeight="1">
      <c r="A158" s="35"/>
      <c r="B158" s="35"/>
      <c r="C158" s="35"/>
      <c r="D158" s="378"/>
      <c r="E158" s="35"/>
      <c r="F158" s="35"/>
      <c r="G158" s="35"/>
      <c r="H158" s="35"/>
      <c r="J158" s="200"/>
      <c r="K158" s="200"/>
      <c r="L158" s="381" t="s">
        <v>717</v>
      </c>
      <c r="M158" s="381">
        <v>30.0</v>
      </c>
      <c r="N158" s="381">
        <v>79.99</v>
      </c>
      <c r="O158" s="200"/>
      <c r="Q158" s="200"/>
    </row>
    <row r="159" ht="22.5" customHeight="1">
      <c r="A159" s="35"/>
      <c r="B159" s="35"/>
      <c r="C159" s="35"/>
      <c r="D159" s="378"/>
      <c r="E159" s="35"/>
      <c r="F159" s="35"/>
      <c r="G159" s="35"/>
      <c r="H159" s="35"/>
      <c r="J159" s="200"/>
      <c r="K159" s="200"/>
      <c r="L159" s="381" t="s">
        <v>258</v>
      </c>
      <c r="M159" s="381">
        <v>61.37</v>
      </c>
      <c r="N159" s="381">
        <v>89.59</v>
      </c>
      <c r="O159" s="200"/>
      <c r="Q159" s="200"/>
    </row>
    <row r="160" ht="22.5" customHeight="1">
      <c r="A160" s="35"/>
      <c r="B160" s="35"/>
      <c r="C160" s="35"/>
      <c r="D160" s="378"/>
      <c r="E160" s="35"/>
      <c r="F160" s="35"/>
      <c r="G160" s="35"/>
      <c r="H160" s="35"/>
      <c r="J160" s="200"/>
      <c r="K160" s="200"/>
      <c r="L160" s="381" t="s">
        <v>496</v>
      </c>
      <c r="M160" s="381">
        <v>75.27</v>
      </c>
      <c r="N160" s="381">
        <v>89.38</v>
      </c>
      <c r="O160" s="200"/>
      <c r="Q160" s="200"/>
    </row>
    <row r="161" ht="22.5" customHeight="1">
      <c r="A161" s="35"/>
      <c r="B161" s="35"/>
      <c r="C161" s="35"/>
      <c r="D161" s="378"/>
      <c r="E161" s="35"/>
      <c r="F161" s="35"/>
      <c r="G161" s="35"/>
      <c r="H161" s="35"/>
      <c r="J161" s="200"/>
      <c r="K161" s="200"/>
      <c r="L161" s="381" t="s">
        <v>132</v>
      </c>
      <c r="M161" s="381">
        <v>30.0</v>
      </c>
      <c r="N161" s="381">
        <v>65.28</v>
      </c>
      <c r="O161" s="200"/>
      <c r="Q161" s="200"/>
    </row>
    <row r="162" ht="22.5" customHeight="1">
      <c r="A162" s="35"/>
      <c r="B162" s="35"/>
      <c r="C162" s="35"/>
      <c r="D162" s="378"/>
      <c r="E162" s="35"/>
      <c r="F162" s="35"/>
      <c r="G162" s="35"/>
      <c r="H162" s="35"/>
      <c r="J162" s="200"/>
      <c r="K162" s="200"/>
      <c r="L162" s="381" t="s">
        <v>555</v>
      </c>
      <c r="M162" s="381">
        <v>30.0</v>
      </c>
      <c r="N162" s="381">
        <v>87.51</v>
      </c>
      <c r="O162" s="200"/>
      <c r="Q162" s="200"/>
    </row>
    <row r="163" ht="22.5" customHeight="1">
      <c r="A163" s="35"/>
      <c r="B163" s="35"/>
      <c r="C163" s="35"/>
      <c r="D163" s="378"/>
      <c r="E163" s="35"/>
      <c r="F163" s="35"/>
      <c r="G163" s="35"/>
      <c r="H163" s="35"/>
      <c r="J163" s="200"/>
      <c r="K163" s="200"/>
      <c r="L163" s="381" t="s">
        <v>63</v>
      </c>
      <c r="M163" s="381">
        <v>51.27</v>
      </c>
      <c r="N163" s="381">
        <v>87.51</v>
      </c>
      <c r="O163" s="200"/>
      <c r="Q163" s="200"/>
    </row>
    <row r="164" ht="22.5" customHeight="1">
      <c r="A164" s="35"/>
      <c r="B164" s="35"/>
      <c r="C164" s="35"/>
      <c r="D164" s="378"/>
      <c r="E164" s="35"/>
      <c r="F164" s="35"/>
      <c r="G164" s="35"/>
      <c r="H164" s="35"/>
      <c r="J164" s="200"/>
      <c r="K164" s="200"/>
      <c r="L164" s="381" t="s">
        <v>375</v>
      </c>
      <c r="M164" s="381">
        <v>83.69</v>
      </c>
      <c r="N164" s="381">
        <v>76.32</v>
      </c>
      <c r="O164" s="200"/>
      <c r="Q164" s="200"/>
    </row>
    <row r="165">
      <c r="A165" s="35"/>
      <c r="B165" s="35"/>
      <c r="C165" s="35"/>
      <c r="D165" s="378"/>
      <c r="E165" s="35"/>
      <c r="F165" s="35"/>
      <c r="G165" s="35"/>
      <c r="H165" s="35"/>
      <c r="J165" s="200"/>
      <c r="K165" s="200"/>
      <c r="L165" s="248"/>
      <c r="M165" s="200"/>
      <c r="N165" s="200"/>
      <c r="O165" s="200"/>
      <c r="Q165" s="200"/>
    </row>
    <row r="166">
      <c r="A166" s="35"/>
      <c r="B166" s="35"/>
      <c r="C166" s="35"/>
      <c r="D166" s="378"/>
      <c r="E166" s="35"/>
      <c r="F166" s="35"/>
      <c r="G166" s="35"/>
      <c r="H166" s="35"/>
      <c r="J166" s="200"/>
      <c r="K166" s="200"/>
      <c r="L166" s="248"/>
      <c r="M166" s="200"/>
      <c r="N166" s="200"/>
      <c r="O166" s="200"/>
      <c r="Q166" s="200"/>
    </row>
    <row r="167" ht="22.5" customHeight="1">
      <c r="A167" s="35"/>
      <c r="B167" s="35"/>
      <c r="C167" s="35"/>
      <c r="D167" s="378"/>
      <c r="E167" s="35"/>
      <c r="F167" s="35"/>
      <c r="G167" s="35"/>
      <c r="H167" s="35"/>
      <c r="J167" s="200"/>
      <c r="K167" s="200"/>
      <c r="L167" s="379" t="s">
        <v>954</v>
      </c>
      <c r="M167" s="200"/>
      <c r="N167" s="200"/>
      <c r="O167" s="200"/>
      <c r="Q167" s="200"/>
    </row>
    <row r="168" ht="22.5" customHeight="1">
      <c r="A168" s="35"/>
      <c r="B168" s="35"/>
      <c r="C168" s="35"/>
      <c r="D168" s="378"/>
      <c r="E168" s="35"/>
      <c r="F168" s="35"/>
      <c r="G168" s="35"/>
      <c r="H168" s="35"/>
      <c r="J168" s="200"/>
      <c r="K168" s="200"/>
      <c r="L168" s="381" t="s">
        <v>61</v>
      </c>
      <c r="M168" s="200"/>
      <c r="N168" s="200"/>
      <c r="O168" s="200"/>
      <c r="Q168" s="200"/>
    </row>
    <row r="169" ht="22.5" customHeight="1">
      <c r="A169" s="35"/>
      <c r="B169" s="35"/>
      <c r="C169" s="35"/>
      <c r="D169" s="378"/>
      <c r="E169" s="35"/>
      <c r="F169" s="35"/>
      <c r="G169" s="35"/>
      <c r="H169" s="35"/>
      <c r="J169" s="200"/>
      <c r="K169" s="200"/>
      <c r="L169" s="381" t="s">
        <v>128</v>
      </c>
      <c r="M169" s="200"/>
      <c r="N169" s="200"/>
      <c r="O169" s="200"/>
      <c r="Q169" s="200"/>
    </row>
    <row r="170" ht="22.5" customHeight="1">
      <c r="A170" s="35"/>
      <c r="B170" s="35"/>
      <c r="C170" s="35"/>
      <c r="D170" s="378"/>
      <c r="E170" s="35"/>
      <c r="F170" s="35"/>
      <c r="G170" s="35"/>
      <c r="H170" s="35"/>
      <c r="J170" s="200"/>
      <c r="K170" s="200"/>
      <c r="L170" s="381" t="s">
        <v>374</v>
      </c>
      <c r="M170" s="200"/>
      <c r="N170" s="200"/>
      <c r="O170" s="200"/>
      <c r="Q170" s="200"/>
    </row>
    <row r="171" ht="22.5" customHeight="1">
      <c r="A171" s="35"/>
      <c r="B171" s="35"/>
      <c r="C171" s="35"/>
      <c r="D171" s="378"/>
      <c r="E171" s="35"/>
      <c r="F171" s="35"/>
      <c r="G171" s="35"/>
      <c r="H171" s="35"/>
      <c r="J171" s="200"/>
      <c r="K171" s="200"/>
      <c r="L171" s="381" t="s">
        <v>411</v>
      </c>
      <c r="M171" s="200"/>
      <c r="N171" s="200"/>
      <c r="O171" s="200"/>
      <c r="Q171" s="200"/>
    </row>
    <row r="172" ht="22.5" customHeight="1">
      <c r="A172" s="35"/>
      <c r="B172" s="35"/>
      <c r="C172" s="35"/>
      <c r="D172" s="378"/>
      <c r="E172" s="35"/>
      <c r="F172" s="35"/>
      <c r="G172" s="35"/>
      <c r="H172" s="35"/>
      <c r="J172" s="200"/>
      <c r="K172" s="200"/>
      <c r="L172" s="381" t="s">
        <v>258</v>
      </c>
      <c r="M172" s="200"/>
      <c r="N172" s="200"/>
      <c r="O172" s="200"/>
      <c r="Q172" s="200"/>
    </row>
    <row r="173" ht="22.5" customHeight="1">
      <c r="A173" s="35"/>
      <c r="B173" s="35"/>
      <c r="C173" s="35"/>
      <c r="D173" s="378"/>
      <c r="E173" s="35"/>
      <c r="F173" s="35"/>
      <c r="G173" s="35"/>
      <c r="H173" s="35"/>
      <c r="J173" s="200"/>
      <c r="K173" s="200"/>
      <c r="L173" s="381" t="s">
        <v>297</v>
      </c>
      <c r="M173" s="200"/>
      <c r="N173" s="200"/>
      <c r="O173" s="200"/>
      <c r="Q173" s="200"/>
    </row>
    <row r="174">
      <c r="A174" s="35"/>
      <c r="B174" s="35"/>
      <c r="C174" s="35"/>
      <c r="D174" s="378"/>
      <c r="E174" s="35"/>
      <c r="F174" s="35"/>
      <c r="G174" s="35"/>
      <c r="H174" s="35"/>
      <c r="J174" s="200"/>
      <c r="K174" s="200"/>
      <c r="M174" s="200"/>
      <c r="N174" s="200"/>
      <c r="O174" s="200"/>
      <c r="Q174" s="200"/>
    </row>
    <row r="175">
      <c r="A175" s="35"/>
      <c r="B175" s="35"/>
      <c r="C175" s="35"/>
      <c r="D175" s="378"/>
      <c r="E175" s="35"/>
      <c r="F175" s="35"/>
      <c r="G175" s="35"/>
      <c r="H175" s="35"/>
      <c r="J175" s="200"/>
      <c r="K175" s="200"/>
      <c r="L175" s="248"/>
      <c r="M175" s="200"/>
      <c r="N175" s="200"/>
      <c r="O175" s="200"/>
      <c r="Q175" s="200"/>
    </row>
    <row r="176">
      <c r="A176" s="35"/>
      <c r="B176" s="35"/>
      <c r="C176" s="35"/>
      <c r="D176" s="378"/>
      <c r="E176" s="35"/>
      <c r="F176" s="35"/>
      <c r="G176" s="35"/>
      <c r="H176" s="35"/>
      <c r="J176" s="200"/>
      <c r="K176" s="200"/>
      <c r="L176" s="248"/>
      <c r="M176" s="200"/>
      <c r="N176" s="200"/>
      <c r="O176" s="200"/>
      <c r="Q176" s="200"/>
    </row>
    <row r="177">
      <c r="A177" s="35"/>
      <c r="B177" s="35"/>
      <c r="C177" s="35"/>
      <c r="D177" s="378"/>
      <c r="E177" s="35"/>
      <c r="F177" s="35"/>
      <c r="G177" s="35"/>
      <c r="H177" s="35"/>
      <c r="J177" s="200"/>
      <c r="K177" s="200"/>
      <c r="L177" s="248"/>
      <c r="M177" s="200"/>
      <c r="N177" s="200"/>
      <c r="O177" s="200"/>
      <c r="Q177" s="200"/>
    </row>
    <row r="178">
      <c r="A178" s="35"/>
      <c r="B178" s="35"/>
      <c r="C178" s="35"/>
      <c r="D178" s="378"/>
      <c r="E178" s="35"/>
      <c r="F178" s="35"/>
      <c r="G178" s="35"/>
      <c r="H178" s="35"/>
      <c r="J178" s="200"/>
      <c r="K178" s="200"/>
      <c r="L178" s="248"/>
      <c r="M178" s="200"/>
      <c r="N178" s="200"/>
      <c r="O178" s="200"/>
      <c r="Q178" s="200"/>
    </row>
    <row r="179">
      <c r="A179" s="35"/>
      <c r="B179" s="35"/>
      <c r="C179" s="35"/>
      <c r="D179" s="378"/>
      <c r="E179" s="35"/>
      <c r="F179" s="35"/>
      <c r="G179" s="35"/>
      <c r="H179" s="35"/>
      <c r="J179" s="200"/>
      <c r="K179" s="200"/>
      <c r="L179" s="248"/>
      <c r="M179" s="200"/>
      <c r="N179" s="200"/>
      <c r="O179" s="200"/>
      <c r="Q179" s="200"/>
    </row>
    <row r="180">
      <c r="A180" s="35"/>
      <c r="B180" s="35"/>
      <c r="C180" s="35"/>
      <c r="D180" s="378"/>
      <c r="E180" s="35"/>
      <c r="F180" s="35"/>
      <c r="G180" s="35"/>
      <c r="H180" s="35"/>
      <c r="J180" s="200"/>
      <c r="K180" s="200"/>
      <c r="L180" s="248"/>
      <c r="M180" s="200"/>
      <c r="N180" s="200"/>
      <c r="O180" s="200"/>
      <c r="Q180" s="200"/>
    </row>
    <row r="181">
      <c r="A181" s="35"/>
      <c r="B181" s="35"/>
      <c r="C181" s="35"/>
      <c r="D181" s="378"/>
      <c r="E181" s="35"/>
      <c r="F181" s="35"/>
      <c r="G181" s="35"/>
      <c r="H181" s="35"/>
      <c r="J181" s="200"/>
      <c r="K181" s="200"/>
      <c r="L181" s="248"/>
      <c r="M181" s="200"/>
      <c r="N181" s="200"/>
      <c r="O181" s="200"/>
      <c r="Q181" s="200"/>
    </row>
    <row r="182">
      <c r="A182" s="35"/>
      <c r="B182" s="35"/>
      <c r="C182" s="35"/>
      <c r="D182" s="378"/>
      <c r="E182" s="35"/>
      <c r="F182" s="35"/>
      <c r="G182" s="35"/>
      <c r="H182" s="35"/>
      <c r="J182" s="200"/>
      <c r="K182" s="200"/>
      <c r="L182" s="248"/>
      <c r="M182" s="200"/>
      <c r="N182" s="200"/>
      <c r="O182" s="200"/>
      <c r="Q182" s="200"/>
    </row>
    <row r="183">
      <c r="A183" s="35"/>
      <c r="B183" s="35"/>
      <c r="C183" s="35"/>
      <c r="D183" s="378"/>
      <c r="E183" s="35"/>
      <c r="F183" s="35"/>
      <c r="G183" s="35"/>
      <c r="H183" s="35"/>
      <c r="J183" s="200"/>
      <c r="K183" s="200"/>
      <c r="L183" s="248"/>
      <c r="M183" s="200"/>
      <c r="N183" s="200"/>
      <c r="O183" s="200"/>
      <c r="Q183" s="200"/>
    </row>
    <row r="184">
      <c r="A184" s="35"/>
      <c r="B184" s="35"/>
      <c r="C184" s="35"/>
      <c r="D184" s="378"/>
      <c r="E184" s="35"/>
      <c r="F184" s="35"/>
      <c r="G184" s="35"/>
      <c r="H184" s="35"/>
      <c r="J184" s="200"/>
      <c r="K184" s="200"/>
      <c r="L184" s="248"/>
      <c r="M184" s="200"/>
      <c r="N184" s="200"/>
      <c r="O184" s="200"/>
      <c r="Q184" s="200"/>
    </row>
    <row r="185">
      <c r="A185" s="35"/>
      <c r="B185" s="35"/>
      <c r="C185" s="35"/>
      <c r="D185" s="378"/>
      <c r="E185" s="35"/>
      <c r="F185" s="35"/>
      <c r="G185" s="35"/>
      <c r="H185" s="35"/>
      <c r="J185" s="200"/>
      <c r="K185" s="200"/>
      <c r="L185" s="248"/>
      <c r="M185" s="200"/>
      <c r="N185" s="200"/>
      <c r="O185" s="200"/>
      <c r="Q185" s="200"/>
    </row>
    <row r="186">
      <c r="A186" s="35"/>
      <c r="B186" s="35"/>
      <c r="C186" s="35"/>
      <c r="D186" s="378"/>
      <c r="E186" s="35"/>
      <c r="F186" s="35"/>
      <c r="G186" s="35"/>
      <c r="H186" s="35"/>
      <c r="J186" s="200"/>
      <c r="K186" s="200"/>
      <c r="L186" s="248"/>
      <c r="M186" s="200"/>
      <c r="N186" s="200"/>
      <c r="O186" s="200"/>
      <c r="Q186" s="200"/>
    </row>
    <row r="187">
      <c r="A187" s="35"/>
      <c r="B187" s="35"/>
      <c r="C187" s="35"/>
      <c r="D187" s="378"/>
      <c r="E187" s="35"/>
      <c r="F187" s="35"/>
      <c r="G187" s="35"/>
      <c r="H187" s="35"/>
      <c r="J187" s="200"/>
      <c r="K187" s="200"/>
      <c r="L187" s="248"/>
      <c r="M187" s="200"/>
      <c r="N187" s="200"/>
      <c r="O187" s="200"/>
      <c r="Q187" s="200"/>
    </row>
    <row r="188">
      <c r="A188" s="35"/>
      <c r="B188" s="35"/>
      <c r="C188" s="35"/>
      <c r="D188" s="378"/>
      <c r="E188" s="35"/>
      <c r="F188" s="35"/>
      <c r="G188" s="35"/>
      <c r="H188" s="35"/>
      <c r="J188" s="200"/>
      <c r="K188" s="200"/>
      <c r="L188" s="248"/>
      <c r="M188" s="200"/>
      <c r="N188" s="200"/>
      <c r="O188" s="200"/>
      <c r="Q188" s="200"/>
    </row>
    <row r="189">
      <c r="A189" s="35"/>
      <c r="B189" s="35"/>
      <c r="C189" s="35"/>
      <c r="D189" s="378"/>
      <c r="E189" s="35"/>
      <c r="F189" s="35"/>
      <c r="G189" s="35"/>
      <c r="H189" s="35"/>
      <c r="J189" s="200"/>
      <c r="K189" s="200"/>
      <c r="L189" s="248"/>
      <c r="M189" s="200"/>
      <c r="N189" s="200"/>
      <c r="O189" s="200"/>
      <c r="Q189" s="200"/>
    </row>
    <row r="190">
      <c r="A190" s="35"/>
      <c r="B190" s="35"/>
      <c r="C190" s="35"/>
      <c r="D190" s="378"/>
      <c r="E190" s="35"/>
      <c r="F190" s="35"/>
      <c r="G190" s="35"/>
      <c r="H190" s="35"/>
      <c r="J190" s="200"/>
      <c r="K190" s="200"/>
      <c r="L190" s="248"/>
      <c r="M190" s="200"/>
      <c r="N190" s="200"/>
      <c r="O190" s="200"/>
      <c r="Q190" s="200"/>
    </row>
    <row r="191">
      <c r="A191" s="35"/>
      <c r="B191" s="35"/>
      <c r="C191" s="35"/>
      <c r="D191" s="378"/>
      <c r="E191" s="35"/>
      <c r="F191" s="35"/>
      <c r="G191" s="35"/>
      <c r="H191" s="35"/>
      <c r="J191" s="200"/>
      <c r="K191" s="200"/>
      <c r="L191" s="248"/>
      <c r="M191" s="200"/>
      <c r="N191" s="200"/>
      <c r="O191" s="200"/>
      <c r="Q191" s="200"/>
    </row>
    <row r="192">
      <c r="A192" s="35"/>
      <c r="B192" s="35"/>
      <c r="C192" s="35"/>
      <c r="D192" s="378"/>
      <c r="E192" s="35"/>
      <c r="F192" s="35"/>
      <c r="G192" s="35"/>
      <c r="H192" s="35"/>
      <c r="J192" s="200"/>
      <c r="K192" s="200"/>
      <c r="L192" s="248"/>
      <c r="M192" s="200"/>
      <c r="N192" s="200"/>
      <c r="O192" s="200"/>
      <c r="Q192" s="200"/>
    </row>
    <row r="193">
      <c r="A193" s="35"/>
      <c r="B193" s="35"/>
      <c r="C193" s="35"/>
      <c r="D193" s="378"/>
      <c r="E193" s="35"/>
      <c r="F193" s="35"/>
      <c r="G193" s="35"/>
      <c r="H193" s="35"/>
      <c r="J193" s="200"/>
      <c r="K193" s="200"/>
      <c r="L193" s="248"/>
      <c r="M193" s="200"/>
      <c r="N193" s="200"/>
      <c r="O193" s="200"/>
      <c r="Q193" s="200"/>
    </row>
    <row r="194">
      <c r="A194" s="35"/>
      <c r="B194" s="35"/>
      <c r="C194" s="35"/>
      <c r="D194" s="378"/>
      <c r="E194" s="35"/>
      <c r="F194" s="35"/>
      <c r="G194" s="35"/>
      <c r="H194" s="35"/>
      <c r="J194" s="200"/>
      <c r="K194" s="200"/>
      <c r="L194" s="248"/>
      <c r="M194" s="200"/>
      <c r="N194" s="200"/>
      <c r="O194" s="200"/>
      <c r="Q194" s="200"/>
    </row>
    <row r="195">
      <c r="A195" s="35"/>
      <c r="B195" s="35"/>
      <c r="C195" s="35"/>
      <c r="D195" s="378"/>
      <c r="E195" s="35"/>
      <c r="F195" s="35"/>
      <c r="G195" s="35"/>
      <c r="H195" s="35"/>
      <c r="J195" s="200"/>
      <c r="K195" s="200"/>
      <c r="L195" s="248"/>
      <c r="M195" s="200"/>
      <c r="N195" s="200"/>
      <c r="O195" s="200"/>
      <c r="Q195" s="200"/>
    </row>
    <row r="196">
      <c r="A196" s="35"/>
      <c r="B196" s="35"/>
      <c r="C196" s="35"/>
      <c r="D196" s="378"/>
      <c r="E196" s="35"/>
      <c r="F196" s="35"/>
      <c r="G196" s="35"/>
      <c r="H196" s="35"/>
      <c r="J196" s="200"/>
      <c r="K196" s="200"/>
      <c r="L196" s="248"/>
      <c r="M196" s="200"/>
      <c r="N196" s="200"/>
      <c r="O196" s="200"/>
      <c r="Q196" s="200"/>
    </row>
    <row r="197">
      <c r="A197" s="35"/>
      <c r="B197" s="35"/>
      <c r="C197" s="35"/>
      <c r="D197" s="378"/>
      <c r="E197" s="35"/>
      <c r="F197" s="35"/>
      <c r="G197" s="35"/>
      <c r="H197" s="35"/>
      <c r="J197" s="200"/>
      <c r="K197" s="200"/>
      <c r="L197" s="248"/>
      <c r="M197" s="200"/>
      <c r="N197" s="200"/>
      <c r="O197" s="200"/>
      <c r="Q197" s="200"/>
    </row>
    <row r="198">
      <c r="A198" s="35"/>
      <c r="B198" s="35"/>
      <c r="C198" s="35"/>
      <c r="D198" s="378"/>
      <c r="E198" s="35"/>
      <c r="F198" s="35"/>
      <c r="G198" s="35"/>
      <c r="H198" s="35"/>
      <c r="J198" s="200"/>
      <c r="K198" s="200"/>
      <c r="L198" s="248"/>
      <c r="M198" s="200"/>
      <c r="N198" s="200"/>
      <c r="O198" s="200"/>
      <c r="Q198" s="200"/>
    </row>
    <row r="199">
      <c r="A199" s="35"/>
      <c r="B199" s="35"/>
      <c r="C199" s="35"/>
      <c r="D199" s="378"/>
      <c r="E199" s="35"/>
      <c r="F199" s="35"/>
      <c r="G199" s="35"/>
      <c r="H199" s="35"/>
      <c r="J199" s="200"/>
      <c r="K199" s="200"/>
      <c r="L199" s="248"/>
      <c r="M199" s="200"/>
      <c r="N199" s="200"/>
      <c r="O199" s="200"/>
      <c r="Q199" s="200"/>
    </row>
    <row r="200">
      <c r="A200" s="35"/>
      <c r="B200" s="35"/>
      <c r="C200" s="35"/>
      <c r="D200" s="378"/>
      <c r="E200" s="35"/>
      <c r="F200" s="35"/>
      <c r="G200" s="35"/>
      <c r="H200" s="35"/>
      <c r="J200" s="200"/>
      <c r="K200" s="200"/>
      <c r="L200" s="248"/>
      <c r="M200" s="200"/>
      <c r="N200" s="200"/>
      <c r="O200" s="200"/>
      <c r="Q200" s="200"/>
    </row>
    <row r="201">
      <c r="A201" s="35"/>
      <c r="B201" s="35"/>
      <c r="C201" s="35"/>
      <c r="D201" s="378"/>
      <c r="E201" s="35"/>
      <c r="F201" s="35"/>
      <c r="G201" s="35"/>
      <c r="H201" s="35"/>
      <c r="J201" s="200"/>
      <c r="K201" s="200"/>
      <c r="L201" s="248"/>
      <c r="M201" s="200"/>
      <c r="N201" s="200"/>
      <c r="O201" s="200"/>
      <c r="Q201" s="200"/>
    </row>
    <row r="202">
      <c r="A202" s="35"/>
      <c r="B202" s="35"/>
      <c r="C202" s="35"/>
      <c r="D202" s="378"/>
      <c r="E202" s="35"/>
      <c r="F202" s="35"/>
      <c r="G202" s="35"/>
      <c r="H202" s="35"/>
      <c r="J202" s="200"/>
      <c r="K202" s="200"/>
      <c r="L202" s="248"/>
      <c r="M202" s="200"/>
      <c r="N202" s="200"/>
      <c r="O202" s="200"/>
      <c r="Q202" s="200"/>
    </row>
    <row r="203">
      <c r="A203" s="35"/>
      <c r="B203" s="35"/>
      <c r="C203" s="35"/>
      <c r="D203" s="378"/>
      <c r="E203" s="35"/>
      <c r="F203" s="35"/>
      <c r="G203" s="35"/>
      <c r="H203" s="35"/>
      <c r="J203" s="200"/>
      <c r="K203" s="200"/>
      <c r="L203" s="248"/>
      <c r="M203" s="200"/>
      <c r="N203" s="200"/>
      <c r="O203" s="200"/>
      <c r="Q203" s="200"/>
    </row>
    <row r="204">
      <c r="A204" s="35"/>
      <c r="B204" s="35"/>
      <c r="C204" s="35"/>
      <c r="D204" s="378"/>
      <c r="E204" s="35"/>
      <c r="F204" s="35"/>
      <c r="G204" s="35"/>
      <c r="H204" s="35"/>
      <c r="J204" s="200"/>
      <c r="K204" s="200"/>
      <c r="L204" s="248"/>
      <c r="M204" s="200"/>
      <c r="N204" s="200"/>
      <c r="O204" s="200"/>
      <c r="Q204" s="200"/>
    </row>
    <row r="205">
      <c r="A205" s="35"/>
      <c r="B205" s="35"/>
      <c r="C205" s="35"/>
      <c r="D205" s="378"/>
      <c r="E205" s="35"/>
      <c r="F205" s="35"/>
      <c r="G205" s="35"/>
      <c r="H205" s="35"/>
      <c r="J205" s="200"/>
      <c r="K205" s="200"/>
      <c r="L205" s="248"/>
      <c r="M205" s="200"/>
      <c r="N205" s="200"/>
      <c r="O205" s="200"/>
      <c r="Q205" s="200"/>
    </row>
    <row r="206">
      <c r="A206" s="35"/>
      <c r="B206" s="35"/>
      <c r="C206" s="35"/>
      <c r="D206" s="378"/>
      <c r="E206" s="35"/>
      <c r="F206" s="35"/>
      <c r="G206" s="35"/>
      <c r="H206" s="35"/>
      <c r="J206" s="200"/>
      <c r="K206" s="200"/>
      <c r="L206" s="248"/>
      <c r="M206" s="200"/>
      <c r="N206" s="200"/>
      <c r="O206" s="200"/>
      <c r="Q206" s="200"/>
    </row>
    <row r="207">
      <c r="A207" s="35"/>
      <c r="B207" s="35"/>
      <c r="C207" s="35"/>
      <c r="D207" s="378"/>
      <c r="E207" s="35"/>
      <c r="F207" s="35"/>
      <c r="G207" s="35"/>
      <c r="H207" s="35"/>
      <c r="J207" s="200"/>
      <c r="K207" s="200"/>
      <c r="L207" s="248"/>
      <c r="M207" s="200"/>
      <c r="N207" s="200"/>
      <c r="O207" s="200"/>
      <c r="Q207" s="200"/>
    </row>
    <row r="208">
      <c r="A208" s="35"/>
      <c r="B208" s="35"/>
      <c r="C208" s="35"/>
      <c r="D208" s="378"/>
      <c r="E208" s="35"/>
      <c r="F208" s="35"/>
      <c r="G208" s="35"/>
      <c r="H208" s="35"/>
      <c r="J208" s="200"/>
      <c r="K208" s="200"/>
      <c r="L208" s="248"/>
      <c r="M208" s="200"/>
      <c r="N208" s="200"/>
      <c r="O208" s="200"/>
      <c r="Q208" s="200"/>
    </row>
    <row r="209">
      <c r="A209" s="35"/>
      <c r="B209" s="35"/>
      <c r="C209" s="35"/>
      <c r="D209" s="378"/>
      <c r="E209" s="35"/>
      <c r="F209" s="35"/>
      <c r="G209" s="35"/>
      <c r="H209" s="35"/>
      <c r="J209" s="200"/>
      <c r="K209" s="200"/>
      <c r="L209" s="248"/>
      <c r="M209" s="200"/>
      <c r="N209" s="200"/>
      <c r="O209" s="200"/>
      <c r="Q209" s="200"/>
    </row>
    <row r="210">
      <c r="A210" s="35"/>
      <c r="B210" s="35"/>
      <c r="C210" s="35"/>
      <c r="D210" s="378"/>
      <c r="E210" s="35"/>
      <c r="F210" s="35"/>
      <c r="G210" s="35"/>
      <c r="H210" s="35"/>
      <c r="J210" s="200"/>
      <c r="K210" s="200"/>
      <c r="L210" s="248"/>
      <c r="M210" s="200"/>
      <c r="N210" s="200"/>
      <c r="O210" s="200"/>
      <c r="Q210" s="200"/>
    </row>
    <row r="211">
      <c r="A211" s="35"/>
      <c r="B211" s="35"/>
      <c r="C211" s="35"/>
      <c r="D211" s="378"/>
      <c r="E211" s="35"/>
      <c r="F211" s="35"/>
      <c r="G211" s="35"/>
      <c r="H211" s="35"/>
      <c r="J211" s="200"/>
      <c r="K211" s="200"/>
      <c r="L211" s="248"/>
      <c r="M211" s="200"/>
      <c r="N211" s="200"/>
      <c r="O211" s="200"/>
      <c r="Q211" s="200"/>
    </row>
    <row r="212">
      <c r="A212" s="35"/>
      <c r="B212" s="35"/>
      <c r="C212" s="35"/>
      <c r="D212" s="378"/>
      <c r="E212" s="35"/>
      <c r="F212" s="35"/>
      <c r="G212" s="35"/>
      <c r="H212" s="35"/>
      <c r="J212" s="200"/>
      <c r="K212" s="200"/>
      <c r="L212" s="248"/>
      <c r="M212" s="200"/>
      <c r="N212" s="200"/>
      <c r="O212" s="200"/>
      <c r="Q212" s="200"/>
    </row>
    <row r="213">
      <c r="A213" s="35"/>
      <c r="B213" s="35"/>
      <c r="C213" s="35"/>
      <c r="D213" s="378"/>
      <c r="E213" s="35"/>
      <c r="F213" s="35"/>
      <c r="G213" s="35"/>
      <c r="H213" s="35"/>
      <c r="J213" s="200"/>
      <c r="K213" s="200"/>
      <c r="L213" s="248"/>
      <c r="M213" s="200"/>
      <c r="N213" s="200"/>
      <c r="O213" s="200"/>
      <c r="Q213" s="200"/>
    </row>
    <row r="214">
      <c r="A214" s="35"/>
      <c r="B214" s="35"/>
      <c r="C214" s="35"/>
      <c r="D214" s="378"/>
      <c r="E214" s="35"/>
      <c r="F214" s="35"/>
      <c r="G214" s="35"/>
      <c r="H214" s="35"/>
      <c r="J214" s="200"/>
      <c r="K214" s="200"/>
      <c r="L214" s="248"/>
      <c r="M214" s="200"/>
      <c r="N214" s="200"/>
      <c r="O214" s="200"/>
      <c r="Q214" s="200"/>
    </row>
    <row r="215">
      <c r="A215" s="35"/>
      <c r="B215" s="35"/>
      <c r="C215" s="35"/>
      <c r="D215" s="378"/>
      <c r="E215" s="35"/>
      <c r="F215" s="35"/>
      <c r="G215" s="35"/>
      <c r="H215" s="35"/>
      <c r="J215" s="200"/>
      <c r="K215" s="200"/>
      <c r="L215" s="248"/>
      <c r="M215" s="200"/>
      <c r="N215" s="200"/>
      <c r="O215" s="200"/>
      <c r="Q215" s="200"/>
    </row>
    <row r="216">
      <c r="A216" s="35"/>
      <c r="B216" s="35"/>
      <c r="C216" s="35"/>
      <c r="D216" s="378"/>
      <c r="E216" s="35"/>
      <c r="F216" s="35"/>
      <c r="G216" s="35"/>
      <c r="H216" s="35"/>
      <c r="J216" s="200"/>
      <c r="K216" s="200"/>
      <c r="L216" s="248"/>
      <c r="M216" s="200"/>
      <c r="N216" s="200"/>
      <c r="O216" s="200"/>
      <c r="Q216" s="200"/>
    </row>
    <row r="217">
      <c r="A217" s="35"/>
      <c r="B217" s="35"/>
      <c r="C217" s="35"/>
      <c r="D217" s="378"/>
      <c r="E217" s="35"/>
      <c r="F217" s="35"/>
      <c r="G217" s="35"/>
      <c r="H217" s="35"/>
      <c r="J217" s="200"/>
      <c r="K217" s="200"/>
      <c r="L217" s="248"/>
      <c r="M217" s="200"/>
      <c r="N217" s="200"/>
      <c r="O217" s="200"/>
      <c r="Q217" s="200"/>
    </row>
    <row r="218">
      <c r="A218" s="35"/>
      <c r="B218" s="35"/>
      <c r="C218" s="35"/>
      <c r="D218" s="378"/>
      <c r="E218" s="35"/>
      <c r="F218" s="35"/>
      <c r="G218" s="35"/>
      <c r="H218" s="35"/>
      <c r="J218" s="200"/>
      <c r="K218" s="200"/>
      <c r="L218" s="248"/>
      <c r="M218" s="200"/>
      <c r="N218" s="200"/>
      <c r="O218" s="200"/>
      <c r="Q218" s="200"/>
    </row>
    <row r="219">
      <c r="A219" s="35"/>
      <c r="B219" s="35"/>
      <c r="C219" s="35"/>
      <c r="D219" s="378"/>
      <c r="E219" s="35"/>
      <c r="F219" s="35"/>
      <c r="G219" s="35"/>
      <c r="H219" s="35"/>
      <c r="J219" s="200"/>
      <c r="K219" s="200"/>
      <c r="L219" s="248"/>
      <c r="M219" s="200"/>
      <c r="N219" s="200"/>
      <c r="O219" s="200"/>
      <c r="Q219" s="200"/>
    </row>
    <row r="220">
      <c r="A220" s="35"/>
      <c r="B220" s="35"/>
      <c r="C220" s="35"/>
      <c r="D220" s="378"/>
      <c r="E220" s="35"/>
      <c r="F220" s="35"/>
      <c r="G220" s="35"/>
      <c r="H220" s="35"/>
      <c r="J220" s="200"/>
      <c r="K220" s="200"/>
      <c r="L220" s="248"/>
      <c r="M220" s="200"/>
      <c r="N220" s="200"/>
      <c r="O220" s="200"/>
      <c r="Q220" s="200"/>
    </row>
    <row r="221">
      <c r="A221" s="35"/>
      <c r="B221" s="35"/>
      <c r="C221" s="35"/>
      <c r="D221" s="378"/>
      <c r="E221" s="35"/>
      <c r="F221" s="35"/>
      <c r="G221" s="35"/>
      <c r="H221" s="35"/>
      <c r="J221" s="200"/>
      <c r="K221" s="200"/>
      <c r="L221" s="248"/>
      <c r="M221" s="200"/>
      <c r="N221" s="200"/>
      <c r="O221" s="200"/>
      <c r="Q221" s="200"/>
    </row>
    <row r="222">
      <c r="A222" s="35"/>
      <c r="B222" s="35"/>
      <c r="C222" s="35"/>
      <c r="D222" s="378"/>
      <c r="E222" s="35"/>
      <c r="F222" s="35"/>
      <c r="G222" s="35"/>
      <c r="H222" s="35"/>
      <c r="J222" s="200"/>
      <c r="K222" s="200"/>
      <c r="L222" s="248"/>
      <c r="M222" s="200"/>
      <c r="N222" s="200"/>
      <c r="O222" s="200"/>
      <c r="Q222" s="200"/>
    </row>
    <row r="223">
      <c r="A223" s="35"/>
      <c r="B223" s="35"/>
      <c r="C223" s="35"/>
      <c r="D223" s="378"/>
      <c r="E223" s="35"/>
      <c r="F223" s="35"/>
      <c r="G223" s="35"/>
      <c r="H223" s="35"/>
      <c r="J223" s="200"/>
      <c r="K223" s="200"/>
      <c r="L223" s="248"/>
      <c r="M223" s="200"/>
      <c r="N223" s="200"/>
      <c r="O223" s="200"/>
      <c r="Q223" s="200"/>
    </row>
    <row r="224">
      <c r="A224" s="35"/>
      <c r="B224" s="35"/>
      <c r="C224" s="35"/>
      <c r="D224" s="378"/>
      <c r="E224" s="35"/>
      <c r="F224" s="35"/>
      <c r="G224" s="35"/>
      <c r="H224" s="35"/>
      <c r="J224" s="200"/>
      <c r="K224" s="200"/>
      <c r="L224" s="248"/>
      <c r="M224" s="200"/>
      <c r="N224" s="200"/>
      <c r="O224" s="200"/>
      <c r="Q224" s="200"/>
    </row>
    <row r="225">
      <c r="A225" s="35"/>
      <c r="B225" s="35"/>
      <c r="C225" s="35"/>
      <c r="D225" s="378"/>
      <c r="E225" s="35"/>
      <c r="F225" s="35"/>
      <c r="G225" s="35"/>
      <c r="H225" s="35"/>
      <c r="J225" s="200"/>
      <c r="K225" s="200"/>
      <c r="L225" s="248"/>
      <c r="M225" s="200"/>
      <c r="N225" s="200"/>
      <c r="O225" s="200"/>
      <c r="Q225" s="200"/>
    </row>
    <row r="226">
      <c r="A226" s="35"/>
      <c r="B226" s="35"/>
      <c r="C226" s="35"/>
      <c r="D226" s="378"/>
      <c r="E226" s="35"/>
      <c r="F226" s="35"/>
      <c r="G226" s="35"/>
      <c r="H226" s="35"/>
      <c r="J226" s="200"/>
      <c r="K226" s="200"/>
      <c r="L226" s="248"/>
      <c r="M226" s="200"/>
      <c r="N226" s="200"/>
      <c r="O226" s="200"/>
      <c r="Q226" s="200"/>
    </row>
    <row r="227">
      <c r="A227" s="35"/>
      <c r="B227" s="35"/>
      <c r="C227" s="35"/>
      <c r="D227" s="378"/>
      <c r="E227" s="35"/>
      <c r="F227" s="35"/>
      <c r="G227" s="35"/>
      <c r="H227" s="35"/>
      <c r="J227" s="200"/>
      <c r="K227" s="200"/>
      <c r="L227" s="248"/>
      <c r="M227" s="200"/>
      <c r="N227" s="200"/>
      <c r="O227" s="200"/>
      <c r="Q227" s="200"/>
    </row>
    <row r="228">
      <c r="A228" s="35"/>
      <c r="B228" s="35"/>
      <c r="C228" s="35"/>
      <c r="D228" s="378"/>
      <c r="E228" s="35"/>
      <c r="F228" s="35"/>
      <c r="G228" s="35"/>
      <c r="H228" s="35"/>
      <c r="J228" s="200"/>
      <c r="K228" s="200"/>
      <c r="L228" s="248"/>
      <c r="M228" s="200"/>
      <c r="N228" s="200"/>
      <c r="O228" s="200"/>
      <c r="Q228" s="200"/>
    </row>
    <row r="229">
      <c r="A229" s="35"/>
      <c r="B229" s="35"/>
      <c r="C229" s="35"/>
      <c r="D229" s="378"/>
      <c r="E229" s="35"/>
      <c r="F229" s="35"/>
      <c r="G229" s="35"/>
      <c r="H229" s="35"/>
      <c r="J229" s="200"/>
      <c r="K229" s="200"/>
      <c r="L229" s="248"/>
      <c r="M229" s="200"/>
      <c r="N229" s="200"/>
      <c r="O229" s="200"/>
      <c r="Q229" s="200"/>
    </row>
    <row r="230">
      <c r="A230" s="35"/>
      <c r="B230" s="35"/>
      <c r="C230" s="35"/>
      <c r="D230" s="378"/>
      <c r="E230" s="35"/>
      <c r="F230" s="35"/>
      <c r="G230" s="35"/>
      <c r="H230" s="35"/>
      <c r="J230" s="200"/>
      <c r="K230" s="200"/>
      <c r="L230" s="248"/>
      <c r="M230" s="200"/>
      <c r="N230" s="200"/>
      <c r="O230" s="200"/>
      <c r="Q230" s="200"/>
    </row>
    <row r="231">
      <c r="A231" s="35"/>
      <c r="B231" s="35"/>
      <c r="C231" s="35"/>
      <c r="D231" s="378"/>
      <c r="E231" s="35"/>
      <c r="F231" s="35"/>
      <c r="G231" s="35"/>
      <c r="H231" s="35"/>
      <c r="J231" s="200"/>
      <c r="K231" s="200"/>
      <c r="L231" s="248"/>
      <c r="M231" s="200"/>
      <c r="N231" s="200"/>
      <c r="O231" s="200"/>
      <c r="Q231" s="200"/>
    </row>
    <row r="232">
      <c r="A232" s="35"/>
      <c r="B232" s="35"/>
      <c r="C232" s="35"/>
      <c r="D232" s="378"/>
      <c r="E232" s="35"/>
      <c r="F232" s="35"/>
      <c r="G232" s="35"/>
      <c r="H232" s="35"/>
      <c r="J232" s="200"/>
      <c r="K232" s="200"/>
      <c r="L232" s="248"/>
      <c r="M232" s="200"/>
      <c r="N232" s="200"/>
      <c r="O232" s="200"/>
      <c r="Q232" s="200"/>
    </row>
    <row r="233">
      <c r="A233" s="35"/>
      <c r="B233" s="35"/>
      <c r="C233" s="35"/>
      <c r="D233" s="378"/>
      <c r="E233" s="35"/>
      <c r="F233" s="35"/>
      <c r="G233" s="35"/>
      <c r="H233" s="35"/>
      <c r="J233" s="200"/>
      <c r="K233" s="200"/>
      <c r="L233" s="248"/>
      <c r="M233" s="200"/>
      <c r="N233" s="200"/>
      <c r="O233" s="200"/>
      <c r="Q233" s="200"/>
    </row>
    <row r="234">
      <c r="A234" s="35"/>
      <c r="B234" s="35"/>
      <c r="C234" s="35"/>
      <c r="D234" s="378"/>
      <c r="E234" s="35"/>
      <c r="F234" s="35"/>
      <c r="G234" s="35"/>
      <c r="H234" s="35"/>
      <c r="J234" s="200"/>
      <c r="K234" s="200"/>
      <c r="L234" s="248"/>
      <c r="M234" s="200"/>
      <c r="N234" s="200"/>
      <c r="O234" s="200"/>
      <c r="Q234" s="200"/>
    </row>
    <row r="235">
      <c r="A235" s="35"/>
      <c r="B235" s="35"/>
      <c r="C235" s="35"/>
      <c r="D235" s="378"/>
      <c r="E235" s="35"/>
      <c r="F235" s="35"/>
      <c r="G235" s="35"/>
      <c r="H235" s="35"/>
      <c r="J235" s="200"/>
      <c r="K235" s="200"/>
      <c r="L235" s="248"/>
      <c r="M235" s="200"/>
      <c r="N235" s="200"/>
      <c r="O235" s="200"/>
      <c r="Q235" s="200"/>
    </row>
    <row r="236">
      <c r="A236" s="35"/>
      <c r="B236" s="35"/>
      <c r="C236" s="35"/>
      <c r="D236" s="378"/>
      <c r="E236" s="35"/>
      <c r="F236" s="35"/>
      <c r="G236" s="35"/>
      <c r="H236" s="35"/>
      <c r="J236" s="200"/>
      <c r="K236" s="200"/>
      <c r="L236" s="248"/>
      <c r="M236" s="200"/>
      <c r="N236" s="200"/>
      <c r="O236" s="200"/>
      <c r="Q236" s="200"/>
    </row>
    <row r="237">
      <c r="A237" s="35"/>
      <c r="B237" s="35"/>
      <c r="C237" s="35"/>
      <c r="D237" s="378"/>
      <c r="E237" s="35"/>
      <c r="F237" s="35"/>
      <c r="G237" s="35"/>
      <c r="H237" s="35"/>
      <c r="J237" s="200"/>
      <c r="K237" s="200"/>
      <c r="L237" s="248"/>
      <c r="M237" s="200"/>
      <c r="N237" s="200"/>
      <c r="O237" s="200"/>
      <c r="Q237" s="200"/>
    </row>
    <row r="238">
      <c r="A238" s="35"/>
      <c r="B238" s="35"/>
      <c r="C238" s="35"/>
      <c r="D238" s="378"/>
      <c r="E238" s="35"/>
      <c r="F238" s="35"/>
      <c r="G238" s="35"/>
      <c r="H238" s="35"/>
      <c r="J238" s="200"/>
      <c r="K238" s="200"/>
      <c r="L238" s="248"/>
      <c r="M238" s="200"/>
      <c r="N238" s="200"/>
      <c r="O238" s="200"/>
      <c r="Q238" s="200"/>
    </row>
    <row r="239">
      <c r="A239" s="35"/>
      <c r="B239" s="35"/>
      <c r="C239" s="35"/>
      <c r="D239" s="378"/>
      <c r="E239" s="35"/>
      <c r="F239" s="35"/>
      <c r="G239" s="35"/>
      <c r="H239" s="35"/>
      <c r="J239" s="200"/>
      <c r="K239" s="200"/>
      <c r="L239" s="248"/>
      <c r="M239" s="200"/>
      <c r="N239" s="200"/>
      <c r="O239" s="200"/>
      <c r="Q239" s="200"/>
    </row>
    <row r="240">
      <c r="A240" s="35"/>
      <c r="B240" s="35"/>
      <c r="C240" s="35"/>
      <c r="D240" s="378"/>
      <c r="E240" s="35"/>
      <c r="F240" s="35"/>
      <c r="G240" s="35"/>
      <c r="H240" s="35"/>
      <c r="J240" s="200"/>
      <c r="K240" s="200"/>
      <c r="L240" s="248"/>
      <c r="M240" s="200"/>
      <c r="N240" s="200"/>
      <c r="O240" s="200"/>
      <c r="Q240" s="200"/>
    </row>
    <row r="241">
      <c r="A241" s="35"/>
      <c r="B241" s="35"/>
      <c r="C241" s="35"/>
      <c r="D241" s="378"/>
      <c r="E241" s="35"/>
      <c r="F241" s="35"/>
      <c r="G241" s="35"/>
      <c r="H241" s="35"/>
      <c r="J241" s="200"/>
      <c r="K241" s="200"/>
      <c r="L241" s="248"/>
      <c r="M241" s="200"/>
      <c r="N241" s="200"/>
      <c r="O241" s="200"/>
      <c r="Q241" s="200"/>
    </row>
    <row r="242">
      <c r="A242" s="35"/>
      <c r="B242" s="35"/>
      <c r="C242" s="35"/>
      <c r="D242" s="378"/>
      <c r="E242" s="35"/>
      <c r="F242" s="35"/>
      <c r="G242" s="35"/>
      <c r="H242" s="35"/>
      <c r="J242" s="200"/>
      <c r="K242" s="200"/>
      <c r="L242" s="248"/>
      <c r="M242" s="200"/>
      <c r="N242" s="200"/>
      <c r="O242" s="200"/>
      <c r="Q242" s="200"/>
    </row>
    <row r="243">
      <c r="A243" s="35"/>
      <c r="B243" s="35"/>
      <c r="C243" s="35"/>
      <c r="D243" s="378"/>
      <c r="E243" s="35"/>
      <c r="F243" s="35"/>
      <c r="G243" s="35"/>
      <c r="H243" s="35"/>
      <c r="J243" s="200"/>
      <c r="K243" s="200"/>
      <c r="L243" s="248"/>
      <c r="M243" s="200"/>
      <c r="N243" s="200"/>
      <c r="O243" s="200"/>
      <c r="Q243" s="200"/>
    </row>
    <row r="244">
      <c r="A244" s="35"/>
      <c r="B244" s="35"/>
      <c r="C244" s="35"/>
      <c r="D244" s="378"/>
      <c r="E244" s="35"/>
      <c r="F244" s="35"/>
      <c r="G244" s="35"/>
      <c r="H244" s="35"/>
      <c r="J244" s="200"/>
      <c r="K244" s="200"/>
      <c r="L244" s="248"/>
      <c r="M244" s="200"/>
      <c r="N244" s="200"/>
      <c r="O244" s="200"/>
      <c r="Q244" s="200"/>
    </row>
    <row r="245">
      <c r="A245" s="35"/>
      <c r="B245" s="35"/>
      <c r="C245" s="35"/>
      <c r="D245" s="378"/>
      <c r="E245" s="35"/>
      <c r="F245" s="35"/>
      <c r="G245" s="35"/>
      <c r="H245" s="35"/>
      <c r="J245" s="200"/>
      <c r="K245" s="200"/>
      <c r="L245" s="248"/>
      <c r="M245" s="200"/>
      <c r="N245" s="200"/>
      <c r="O245" s="200"/>
      <c r="Q245" s="200"/>
    </row>
    <row r="246">
      <c r="A246" s="35"/>
      <c r="B246" s="35"/>
      <c r="C246" s="35"/>
      <c r="D246" s="378"/>
      <c r="E246" s="35"/>
      <c r="F246" s="35"/>
      <c r="G246" s="35"/>
      <c r="H246" s="35"/>
      <c r="J246" s="200"/>
      <c r="K246" s="200"/>
      <c r="L246" s="248"/>
      <c r="M246" s="200"/>
      <c r="N246" s="200"/>
      <c r="O246" s="200"/>
      <c r="Q246" s="200"/>
    </row>
    <row r="247">
      <c r="A247" s="35"/>
      <c r="B247" s="35"/>
      <c r="C247" s="35"/>
      <c r="D247" s="378"/>
      <c r="E247" s="35"/>
      <c r="F247" s="35"/>
      <c r="G247" s="35"/>
      <c r="H247" s="35"/>
      <c r="J247" s="200"/>
      <c r="K247" s="200"/>
      <c r="L247" s="248"/>
      <c r="M247" s="200"/>
      <c r="N247" s="200"/>
      <c r="O247" s="200"/>
      <c r="Q247" s="200"/>
    </row>
    <row r="248">
      <c r="A248" s="35"/>
      <c r="B248" s="35"/>
      <c r="C248" s="35"/>
      <c r="D248" s="378"/>
      <c r="E248" s="35"/>
      <c r="F248" s="35"/>
      <c r="G248" s="35"/>
      <c r="H248" s="35"/>
      <c r="J248" s="200"/>
      <c r="K248" s="200"/>
      <c r="L248" s="248"/>
      <c r="M248" s="200"/>
      <c r="N248" s="200"/>
      <c r="O248" s="200"/>
      <c r="Q248" s="200"/>
    </row>
    <row r="249">
      <c r="A249" s="35"/>
      <c r="B249" s="35"/>
      <c r="C249" s="35"/>
      <c r="D249" s="378"/>
      <c r="E249" s="35"/>
      <c r="F249" s="35"/>
      <c r="G249" s="35"/>
      <c r="H249" s="35"/>
      <c r="J249" s="200"/>
      <c r="K249" s="200"/>
      <c r="L249" s="248"/>
      <c r="M249" s="200"/>
      <c r="N249" s="200"/>
      <c r="O249" s="200"/>
      <c r="Q249" s="200"/>
    </row>
    <row r="250">
      <c r="A250" s="35"/>
      <c r="B250" s="35"/>
      <c r="C250" s="35"/>
      <c r="D250" s="378"/>
      <c r="E250" s="35"/>
      <c r="F250" s="35"/>
      <c r="G250" s="35"/>
      <c r="H250" s="35"/>
      <c r="J250" s="200"/>
      <c r="K250" s="200"/>
      <c r="L250" s="248"/>
      <c r="M250" s="200"/>
      <c r="N250" s="200"/>
      <c r="O250" s="200"/>
      <c r="Q250" s="200"/>
    </row>
    <row r="251">
      <c r="A251" s="35"/>
      <c r="B251" s="35"/>
      <c r="C251" s="35"/>
      <c r="D251" s="378"/>
      <c r="E251" s="35"/>
      <c r="F251" s="35"/>
      <c r="G251" s="35"/>
      <c r="H251" s="35"/>
      <c r="J251" s="200"/>
      <c r="K251" s="200"/>
      <c r="L251" s="248"/>
      <c r="M251" s="200"/>
      <c r="N251" s="200"/>
      <c r="O251" s="200"/>
      <c r="Q251" s="200"/>
    </row>
    <row r="252">
      <c r="A252" s="35"/>
      <c r="B252" s="35"/>
      <c r="C252" s="35"/>
      <c r="D252" s="378"/>
      <c r="E252" s="35"/>
      <c r="F252" s="35"/>
      <c r="G252" s="35"/>
      <c r="H252" s="35"/>
      <c r="J252" s="200"/>
      <c r="K252" s="200"/>
      <c r="L252" s="248"/>
      <c r="M252" s="200"/>
      <c r="N252" s="200"/>
      <c r="O252" s="200"/>
      <c r="Q252" s="200"/>
    </row>
    <row r="253">
      <c r="A253" s="35"/>
      <c r="B253" s="35"/>
      <c r="C253" s="35"/>
      <c r="D253" s="378"/>
      <c r="E253" s="35"/>
      <c r="F253" s="35"/>
      <c r="G253" s="35"/>
      <c r="H253" s="35"/>
      <c r="J253" s="200"/>
      <c r="K253" s="200"/>
      <c r="L253" s="248"/>
      <c r="M253" s="200"/>
      <c r="N253" s="200"/>
      <c r="O253" s="200"/>
      <c r="Q253" s="200"/>
    </row>
    <row r="254">
      <c r="A254" s="35"/>
      <c r="B254" s="35"/>
      <c r="C254" s="35"/>
      <c r="D254" s="378"/>
      <c r="E254" s="35"/>
      <c r="F254" s="35"/>
      <c r="G254" s="35"/>
      <c r="H254" s="35"/>
      <c r="J254" s="200"/>
      <c r="K254" s="200"/>
      <c r="L254" s="248"/>
      <c r="M254" s="200"/>
      <c r="N254" s="200"/>
      <c r="O254" s="200"/>
      <c r="Q254" s="200"/>
    </row>
    <row r="255">
      <c r="A255" s="35"/>
      <c r="B255" s="35"/>
      <c r="C255" s="35"/>
      <c r="D255" s="378"/>
      <c r="E255" s="35"/>
      <c r="F255" s="35"/>
      <c r="G255" s="35"/>
      <c r="H255" s="35"/>
      <c r="J255" s="200"/>
      <c r="K255" s="200"/>
      <c r="L255" s="248"/>
      <c r="M255" s="200"/>
      <c r="N255" s="200"/>
      <c r="O255" s="200"/>
      <c r="Q255" s="200"/>
    </row>
    <row r="256">
      <c r="A256" s="35"/>
      <c r="B256" s="35"/>
      <c r="C256" s="35"/>
      <c r="D256" s="378"/>
      <c r="E256" s="35"/>
      <c r="F256" s="35"/>
      <c r="G256" s="35"/>
      <c r="H256" s="35"/>
      <c r="J256" s="200"/>
      <c r="K256" s="200"/>
      <c r="L256" s="248"/>
      <c r="M256" s="200"/>
      <c r="N256" s="200"/>
      <c r="O256" s="200"/>
      <c r="Q256" s="200"/>
    </row>
    <row r="257">
      <c r="A257" s="35"/>
      <c r="B257" s="35"/>
      <c r="C257" s="35"/>
      <c r="D257" s="378"/>
      <c r="E257" s="35"/>
      <c r="F257" s="35"/>
      <c r="G257" s="35"/>
      <c r="H257" s="35"/>
      <c r="J257" s="200"/>
      <c r="K257" s="200"/>
      <c r="L257" s="248"/>
      <c r="M257" s="200"/>
      <c r="N257" s="200"/>
      <c r="O257" s="200"/>
      <c r="Q257" s="200"/>
    </row>
    <row r="258">
      <c r="A258" s="35"/>
      <c r="B258" s="35"/>
      <c r="C258" s="35"/>
      <c r="D258" s="378"/>
      <c r="E258" s="35"/>
      <c r="F258" s="35"/>
      <c r="G258" s="35"/>
      <c r="H258" s="35"/>
      <c r="J258" s="200"/>
      <c r="K258" s="200"/>
      <c r="L258" s="248"/>
      <c r="M258" s="200"/>
      <c r="N258" s="200"/>
      <c r="O258" s="200"/>
      <c r="Q258" s="200"/>
    </row>
    <row r="259">
      <c r="A259" s="35"/>
      <c r="B259" s="35"/>
      <c r="C259" s="35"/>
      <c r="D259" s="378"/>
      <c r="E259" s="35"/>
      <c r="F259" s="35"/>
      <c r="G259" s="35"/>
      <c r="H259" s="35"/>
      <c r="J259" s="200"/>
      <c r="K259" s="200"/>
      <c r="L259" s="248"/>
      <c r="M259" s="200"/>
      <c r="N259" s="200"/>
      <c r="O259" s="200"/>
      <c r="Q259" s="200"/>
    </row>
    <row r="260">
      <c r="A260" s="35"/>
      <c r="B260" s="35"/>
      <c r="C260" s="35"/>
      <c r="D260" s="378"/>
      <c r="E260" s="35"/>
      <c r="F260" s="35"/>
      <c r="G260" s="35"/>
      <c r="H260" s="35"/>
      <c r="J260" s="200"/>
      <c r="K260" s="200"/>
      <c r="L260" s="248"/>
      <c r="M260" s="200"/>
      <c r="N260" s="200"/>
      <c r="O260" s="200"/>
      <c r="Q260" s="200"/>
    </row>
    <row r="261">
      <c r="A261" s="35"/>
      <c r="B261" s="35"/>
      <c r="C261" s="35"/>
      <c r="D261" s="378"/>
      <c r="E261" s="35"/>
      <c r="F261" s="35"/>
      <c r="G261" s="35"/>
      <c r="H261" s="35"/>
      <c r="J261" s="200"/>
      <c r="K261" s="200"/>
      <c r="L261" s="248"/>
      <c r="M261" s="200"/>
      <c r="N261" s="200"/>
      <c r="O261" s="200"/>
      <c r="Q261" s="200"/>
    </row>
    <row r="262">
      <c r="A262" s="35"/>
      <c r="B262" s="35"/>
      <c r="C262" s="35"/>
      <c r="D262" s="378"/>
      <c r="E262" s="35"/>
      <c r="F262" s="35"/>
      <c r="G262" s="35"/>
      <c r="H262" s="35"/>
      <c r="J262" s="200"/>
      <c r="K262" s="200"/>
      <c r="L262" s="248"/>
      <c r="M262" s="200"/>
      <c r="N262" s="200"/>
      <c r="O262" s="200"/>
      <c r="Q262" s="200"/>
    </row>
    <row r="263">
      <c r="A263" s="35"/>
      <c r="B263" s="35"/>
      <c r="C263" s="35"/>
      <c r="D263" s="378"/>
      <c r="E263" s="35"/>
      <c r="F263" s="35"/>
      <c r="G263" s="35"/>
      <c r="H263" s="35"/>
      <c r="J263" s="200"/>
      <c r="K263" s="200"/>
      <c r="L263" s="248"/>
      <c r="M263" s="200"/>
      <c r="N263" s="200"/>
      <c r="O263" s="200"/>
      <c r="Q263" s="200"/>
    </row>
    <row r="264">
      <c r="A264" s="35"/>
      <c r="B264" s="35"/>
      <c r="C264" s="35"/>
      <c r="D264" s="378"/>
      <c r="E264" s="35"/>
      <c r="F264" s="35"/>
      <c r="G264" s="35"/>
      <c r="H264" s="35"/>
      <c r="J264" s="200"/>
      <c r="K264" s="200"/>
      <c r="L264" s="248"/>
      <c r="M264" s="200"/>
      <c r="N264" s="200"/>
      <c r="O264" s="200"/>
      <c r="Q264" s="200"/>
    </row>
    <row r="265">
      <c r="A265" s="35"/>
      <c r="B265" s="35"/>
      <c r="C265" s="35"/>
      <c r="D265" s="378"/>
      <c r="E265" s="35"/>
      <c r="F265" s="35"/>
      <c r="G265" s="35"/>
      <c r="H265" s="35"/>
      <c r="J265" s="200"/>
      <c r="K265" s="200"/>
      <c r="L265" s="248"/>
      <c r="M265" s="200"/>
      <c r="N265" s="200"/>
      <c r="O265" s="200"/>
      <c r="Q265" s="200"/>
    </row>
    <row r="266">
      <c r="A266" s="35"/>
      <c r="B266" s="35"/>
      <c r="C266" s="35"/>
      <c r="D266" s="378"/>
      <c r="E266" s="35"/>
      <c r="F266" s="35"/>
      <c r="G266" s="35"/>
      <c r="H266" s="35"/>
      <c r="J266" s="200"/>
      <c r="K266" s="200"/>
      <c r="L266" s="248"/>
      <c r="M266" s="200"/>
      <c r="N266" s="200"/>
      <c r="O266" s="200"/>
      <c r="Q266" s="200"/>
    </row>
    <row r="267">
      <c r="A267" s="35"/>
      <c r="B267" s="35"/>
      <c r="C267" s="35"/>
      <c r="D267" s="378"/>
      <c r="E267" s="35"/>
      <c r="F267" s="35"/>
      <c r="G267" s="35"/>
      <c r="H267" s="35"/>
      <c r="J267" s="200"/>
      <c r="K267" s="200"/>
      <c r="L267" s="248"/>
      <c r="M267" s="200"/>
      <c r="N267" s="200"/>
      <c r="O267" s="200"/>
      <c r="Q267" s="200"/>
    </row>
    <row r="268">
      <c r="A268" s="35"/>
      <c r="B268" s="35"/>
      <c r="C268" s="35"/>
      <c r="D268" s="378"/>
      <c r="E268" s="35"/>
      <c r="F268" s="35"/>
      <c r="G268" s="35"/>
      <c r="H268" s="35"/>
      <c r="J268" s="200"/>
      <c r="K268" s="200"/>
      <c r="L268" s="248"/>
      <c r="M268" s="200"/>
      <c r="N268" s="200"/>
      <c r="O268" s="200"/>
      <c r="Q268" s="200"/>
    </row>
    <row r="269">
      <c r="A269" s="35"/>
      <c r="B269" s="35"/>
      <c r="C269" s="35"/>
      <c r="D269" s="378"/>
      <c r="E269" s="35"/>
      <c r="F269" s="35"/>
      <c r="G269" s="35"/>
      <c r="H269" s="35"/>
      <c r="J269" s="200"/>
      <c r="K269" s="200"/>
      <c r="L269" s="248"/>
      <c r="M269" s="200"/>
      <c r="N269" s="200"/>
      <c r="O269" s="200"/>
      <c r="Q269" s="200"/>
    </row>
    <row r="270">
      <c r="A270" s="35"/>
      <c r="B270" s="35"/>
      <c r="C270" s="35"/>
      <c r="D270" s="378"/>
      <c r="E270" s="35"/>
      <c r="F270" s="35"/>
      <c r="G270" s="35"/>
      <c r="H270" s="35"/>
      <c r="J270" s="200"/>
      <c r="K270" s="200"/>
      <c r="L270" s="248"/>
      <c r="M270" s="200"/>
      <c r="N270" s="200"/>
      <c r="O270" s="200"/>
      <c r="Q270" s="200"/>
    </row>
    <row r="271">
      <c r="A271" s="35"/>
      <c r="B271" s="35"/>
      <c r="C271" s="35"/>
      <c r="D271" s="378"/>
      <c r="E271" s="35"/>
      <c r="F271" s="35"/>
      <c r="G271" s="35"/>
      <c r="H271" s="35"/>
      <c r="J271" s="200"/>
      <c r="K271" s="200"/>
      <c r="L271" s="248"/>
      <c r="M271" s="200"/>
      <c r="N271" s="200"/>
      <c r="O271" s="200"/>
      <c r="Q271" s="200"/>
    </row>
    <row r="272">
      <c r="A272" s="35"/>
      <c r="B272" s="35"/>
      <c r="C272" s="35"/>
      <c r="D272" s="378"/>
      <c r="E272" s="35"/>
      <c r="F272" s="35"/>
      <c r="G272" s="35"/>
      <c r="H272" s="35"/>
      <c r="J272" s="200"/>
      <c r="K272" s="200"/>
      <c r="L272" s="248"/>
      <c r="M272" s="200"/>
      <c r="N272" s="200"/>
      <c r="O272" s="200"/>
      <c r="Q272" s="200"/>
    </row>
    <row r="273">
      <c r="A273" s="35"/>
      <c r="B273" s="35"/>
      <c r="C273" s="35"/>
      <c r="D273" s="378"/>
      <c r="E273" s="35"/>
      <c r="F273" s="35"/>
      <c r="G273" s="35"/>
      <c r="H273" s="35"/>
      <c r="J273" s="200"/>
      <c r="K273" s="200"/>
      <c r="L273" s="248"/>
      <c r="M273" s="200"/>
      <c r="N273" s="200"/>
      <c r="O273" s="200"/>
      <c r="Q273" s="200"/>
    </row>
    <row r="274">
      <c r="A274" s="35"/>
      <c r="B274" s="35"/>
      <c r="C274" s="35"/>
      <c r="D274" s="378"/>
      <c r="E274" s="35"/>
      <c r="F274" s="35"/>
      <c r="G274" s="35"/>
      <c r="H274" s="35"/>
      <c r="J274" s="200"/>
      <c r="K274" s="200"/>
      <c r="L274" s="248"/>
      <c r="M274" s="200"/>
      <c r="N274" s="200"/>
      <c r="O274" s="200"/>
      <c r="Q274" s="200"/>
    </row>
    <row r="275">
      <c r="A275" s="35"/>
      <c r="B275" s="35"/>
      <c r="C275" s="35"/>
      <c r="D275" s="378"/>
      <c r="E275" s="35"/>
      <c r="F275" s="35"/>
      <c r="G275" s="35"/>
      <c r="H275" s="35"/>
      <c r="J275" s="200"/>
      <c r="K275" s="200"/>
      <c r="L275" s="248"/>
      <c r="M275" s="200"/>
      <c r="N275" s="200"/>
      <c r="O275" s="200"/>
      <c r="Q275" s="200"/>
    </row>
    <row r="276">
      <c r="A276" s="35"/>
      <c r="B276" s="35"/>
      <c r="C276" s="35"/>
      <c r="D276" s="378"/>
      <c r="E276" s="35"/>
      <c r="F276" s="35"/>
      <c r="G276" s="35"/>
      <c r="H276" s="35"/>
      <c r="J276" s="200"/>
      <c r="K276" s="200"/>
      <c r="L276" s="248"/>
      <c r="M276" s="200"/>
      <c r="N276" s="200"/>
      <c r="O276" s="200"/>
      <c r="Q276" s="200"/>
    </row>
    <row r="277">
      <c r="A277" s="35"/>
      <c r="B277" s="35"/>
      <c r="C277" s="35"/>
      <c r="D277" s="378"/>
      <c r="E277" s="35"/>
      <c r="F277" s="35"/>
      <c r="G277" s="35"/>
      <c r="H277" s="35"/>
      <c r="J277" s="200"/>
      <c r="K277" s="200"/>
      <c r="L277" s="248"/>
      <c r="M277" s="200"/>
      <c r="N277" s="200"/>
      <c r="O277" s="200"/>
      <c r="Q277" s="200"/>
    </row>
    <row r="278">
      <c r="A278" s="35"/>
      <c r="B278" s="35"/>
      <c r="C278" s="35"/>
      <c r="D278" s="378"/>
      <c r="E278" s="35"/>
      <c r="F278" s="35"/>
      <c r="G278" s="35"/>
      <c r="H278" s="35"/>
      <c r="J278" s="200"/>
      <c r="K278" s="200"/>
      <c r="L278" s="248"/>
      <c r="M278" s="200"/>
      <c r="N278" s="200"/>
      <c r="O278" s="200"/>
      <c r="Q278" s="200"/>
    </row>
    <row r="279">
      <c r="A279" s="35"/>
      <c r="B279" s="35"/>
      <c r="C279" s="35"/>
      <c r="D279" s="378"/>
      <c r="E279" s="35"/>
      <c r="F279" s="35"/>
      <c r="G279" s="35"/>
      <c r="H279" s="35"/>
      <c r="J279" s="200"/>
      <c r="K279" s="200"/>
      <c r="L279" s="248"/>
      <c r="M279" s="200"/>
      <c r="N279" s="200"/>
      <c r="O279" s="200"/>
      <c r="Q279" s="200"/>
    </row>
    <row r="280">
      <c r="A280" s="35"/>
      <c r="B280" s="35"/>
      <c r="C280" s="35"/>
      <c r="D280" s="378"/>
      <c r="E280" s="35"/>
      <c r="F280" s="35"/>
      <c r="G280" s="35"/>
      <c r="H280" s="35"/>
      <c r="J280" s="200"/>
      <c r="K280" s="200"/>
      <c r="L280" s="248"/>
      <c r="M280" s="200"/>
      <c r="N280" s="200"/>
      <c r="O280" s="200"/>
      <c r="Q280" s="200"/>
    </row>
    <row r="281">
      <c r="A281" s="35"/>
      <c r="B281" s="35"/>
      <c r="C281" s="35"/>
      <c r="D281" s="378"/>
      <c r="E281" s="35"/>
      <c r="F281" s="35"/>
      <c r="G281" s="35"/>
      <c r="H281" s="35"/>
      <c r="J281" s="200"/>
      <c r="K281" s="200"/>
      <c r="L281" s="248"/>
      <c r="M281" s="200"/>
      <c r="N281" s="200"/>
      <c r="O281" s="200"/>
      <c r="Q281" s="200"/>
    </row>
    <row r="282">
      <c r="A282" s="35"/>
      <c r="B282" s="35"/>
      <c r="C282" s="35"/>
      <c r="D282" s="378"/>
      <c r="E282" s="35"/>
      <c r="F282" s="35"/>
      <c r="G282" s="35"/>
      <c r="H282" s="35"/>
      <c r="J282" s="200"/>
      <c r="K282" s="200"/>
      <c r="L282" s="248"/>
      <c r="M282" s="200"/>
      <c r="N282" s="200"/>
      <c r="O282" s="200"/>
      <c r="Q282" s="200"/>
    </row>
    <row r="283">
      <c r="A283" s="35"/>
      <c r="B283" s="35"/>
      <c r="C283" s="35"/>
      <c r="D283" s="378"/>
      <c r="E283" s="35"/>
      <c r="F283" s="35"/>
      <c r="G283" s="35"/>
      <c r="H283" s="35"/>
      <c r="J283" s="200"/>
      <c r="K283" s="200"/>
      <c r="L283" s="248"/>
      <c r="M283" s="200"/>
      <c r="N283" s="200"/>
      <c r="O283" s="200"/>
      <c r="Q283" s="200"/>
    </row>
    <row r="284">
      <c r="A284" s="35"/>
      <c r="B284" s="35"/>
      <c r="C284" s="35"/>
      <c r="D284" s="378"/>
      <c r="E284" s="35"/>
      <c r="F284" s="35"/>
      <c r="G284" s="35"/>
      <c r="H284" s="35"/>
      <c r="J284" s="200"/>
      <c r="K284" s="200"/>
      <c r="L284" s="248"/>
      <c r="M284" s="200"/>
      <c r="N284" s="200"/>
      <c r="O284" s="200"/>
      <c r="Q284" s="200"/>
    </row>
    <row r="285">
      <c r="A285" s="35"/>
      <c r="B285" s="35"/>
      <c r="C285" s="35"/>
      <c r="D285" s="378"/>
      <c r="E285" s="35"/>
      <c r="F285" s="35"/>
      <c r="G285" s="35"/>
      <c r="H285" s="35"/>
      <c r="J285" s="200"/>
      <c r="K285" s="200"/>
      <c r="L285" s="248"/>
      <c r="M285" s="200"/>
      <c r="N285" s="200"/>
      <c r="O285" s="200"/>
      <c r="Q285" s="200"/>
    </row>
    <row r="286">
      <c r="A286" s="35"/>
      <c r="B286" s="35"/>
      <c r="C286" s="35"/>
      <c r="D286" s="378"/>
      <c r="E286" s="35"/>
      <c r="F286" s="35"/>
      <c r="G286" s="35"/>
      <c r="H286" s="35"/>
      <c r="J286" s="200"/>
      <c r="K286" s="200"/>
      <c r="L286" s="248"/>
      <c r="M286" s="200"/>
      <c r="N286" s="200"/>
      <c r="O286" s="200"/>
      <c r="Q286" s="200"/>
    </row>
    <row r="287">
      <c r="A287" s="35"/>
      <c r="B287" s="35"/>
      <c r="C287" s="35"/>
      <c r="D287" s="378"/>
      <c r="E287" s="35"/>
      <c r="F287" s="35"/>
      <c r="G287" s="35"/>
      <c r="H287" s="35"/>
      <c r="J287" s="200"/>
      <c r="K287" s="200"/>
      <c r="L287" s="248"/>
      <c r="M287" s="200"/>
      <c r="N287" s="200"/>
      <c r="O287" s="200"/>
      <c r="Q287" s="200"/>
    </row>
    <row r="288">
      <c r="A288" s="35"/>
      <c r="B288" s="35"/>
      <c r="C288" s="35"/>
      <c r="D288" s="378"/>
      <c r="E288" s="35"/>
      <c r="F288" s="35"/>
      <c r="G288" s="35"/>
      <c r="H288" s="35"/>
      <c r="J288" s="200"/>
      <c r="K288" s="200"/>
      <c r="L288" s="248"/>
      <c r="M288" s="200"/>
      <c r="N288" s="200"/>
      <c r="O288" s="200"/>
      <c r="Q288" s="200"/>
    </row>
    <row r="289">
      <c r="A289" s="35"/>
      <c r="B289" s="35"/>
      <c r="C289" s="35"/>
      <c r="D289" s="378"/>
      <c r="E289" s="35"/>
      <c r="F289" s="35"/>
      <c r="G289" s="35"/>
      <c r="H289" s="35"/>
      <c r="J289" s="200"/>
      <c r="K289" s="200"/>
      <c r="L289" s="248"/>
      <c r="M289" s="200"/>
      <c r="N289" s="200"/>
      <c r="O289" s="200"/>
      <c r="Q289" s="200"/>
    </row>
    <row r="290">
      <c r="A290" s="35"/>
      <c r="B290" s="35"/>
      <c r="C290" s="35"/>
      <c r="D290" s="378"/>
      <c r="E290" s="35"/>
      <c r="F290" s="35"/>
      <c r="G290" s="35"/>
      <c r="H290" s="35"/>
      <c r="J290" s="200"/>
      <c r="K290" s="200"/>
      <c r="L290" s="248"/>
      <c r="M290" s="200"/>
      <c r="N290" s="200"/>
      <c r="O290" s="200"/>
      <c r="Q290" s="200"/>
    </row>
    <row r="291">
      <c r="A291" s="35"/>
      <c r="B291" s="35"/>
      <c r="C291" s="35"/>
      <c r="D291" s="378"/>
      <c r="E291" s="35"/>
      <c r="F291" s="35"/>
      <c r="G291" s="35"/>
      <c r="H291" s="35"/>
      <c r="J291" s="200"/>
      <c r="K291" s="200"/>
      <c r="L291" s="248"/>
      <c r="M291" s="200"/>
      <c r="N291" s="200"/>
      <c r="O291" s="200"/>
      <c r="Q291" s="200"/>
    </row>
    <row r="292">
      <c r="A292" s="35"/>
      <c r="B292" s="35"/>
      <c r="C292" s="35"/>
      <c r="D292" s="378"/>
      <c r="E292" s="35"/>
      <c r="F292" s="35"/>
      <c r="G292" s="35"/>
      <c r="H292" s="35"/>
      <c r="J292" s="200"/>
      <c r="K292" s="200"/>
      <c r="L292" s="248"/>
      <c r="M292" s="200"/>
      <c r="N292" s="200"/>
      <c r="O292" s="200"/>
      <c r="Q292" s="200"/>
    </row>
    <row r="293">
      <c r="A293" s="35"/>
      <c r="B293" s="35"/>
      <c r="C293" s="35"/>
      <c r="D293" s="378"/>
      <c r="E293" s="35"/>
      <c r="F293" s="35"/>
      <c r="G293" s="35"/>
      <c r="H293" s="35"/>
      <c r="J293" s="200"/>
      <c r="K293" s="200"/>
      <c r="L293" s="248"/>
      <c r="M293" s="200"/>
      <c r="N293" s="200"/>
      <c r="O293" s="200"/>
      <c r="Q293" s="200"/>
    </row>
    <row r="294">
      <c r="A294" s="35"/>
      <c r="B294" s="35"/>
      <c r="C294" s="35"/>
      <c r="D294" s="378"/>
      <c r="E294" s="35"/>
      <c r="F294" s="35"/>
      <c r="G294" s="35"/>
      <c r="H294" s="35"/>
      <c r="J294" s="200"/>
      <c r="K294" s="200"/>
      <c r="L294" s="248"/>
      <c r="M294" s="200"/>
      <c r="N294" s="200"/>
      <c r="O294" s="200"/>
      <c r="Q294" s="200"/>
    </row>
    <row r="295">
      <c r="A295" s="35"/>
      <c r="B295" s="35"/>
      <c r="C295" s="35"/>
      <c r="D295" s="378"/>
      <c r="E295" s="35"/>
      <c r="F295" s="35"/>
      <c r="G295" s="35"/>
      <c r="H295" s="35"/>
      <c r="J295" s="200"/>
      <c r="K295" s="200"/>
      <c r="L295" s="248"/>
      <c r="M295" s="200"/>
      <c r="N295" s="200"/>
      <c r="O295" s="200"/>
      <c r="Q295" s="200"/>
    </row>
    <row r="296">
      <c r="A296" s="35"/>
      <c r="B296" s="35"/>
      <c r="C296" s="35"/>
      <c r="D296" s="378"/>
      <c r="E296" s="35"/>
      <c r="F296" s="35"/>
      <c r="G296" s="35"/>
      <c r="H296" s="35"/>
      <c r="J296" s="200"/>
      <c r="K296" s="200"/>
      <c r="L296" s="248"/>
      <c r="M296" s="200"/>
      <c r="N296" s="200"/>
      <c r="O296" s="200"/>
      <c r="Q296" s="200"/>
    </row>
    <row r="297">
      <c r="A297" s="35"/>
      <c r="B297" s="35"/>
      <c r="C297" s="35"/>
      <c r="D297" s="378"/>
      <c r="E297" s="35"/>
      <c r="F297" s="35"/>
      <c r="G297" s="35"/>
      <c r="H297" s="35"/>
      <c r="J297" s="200"/>
      <c r="K297" s="200"/>
      <c r="L297" s="248"/>
      <c r="M297" s="200"/>
      <c r="N297" s="200"/>
      <c r="O297" s="200"/>
      <c r="Q297" s="200"/>
    </row>
    <row r="298">
      <c r="A298" s="35"/>
      <c r="B298" s="35"/>
      <c r="C298" s="35"/>
      <c r="D298" s="378"/>
      <c r="E298" s="35"/>
      <c r="F298" s="35"/>
      <c r="G298" s="35"/>
      <c r="H298" s="35"/>
      <c r="J298" s="200"/>
      <c r="K298" s="200"/>
      <c r="L298" s="248"/>
      <c r="M298" s="200"/>
      <c r="N298" s="200"/>
      <c r="O298" s="200"/>
      <c r="Q298" s="200"/>
    </row>
    <row r="299">
      <c r="A299" s="35"/>
      <c r="B299" s="35"/>
      <c r="C299" s="35"/>
      <c r="D299" s="378"/>
      <c r="E299" s="35"/>
      <c r="F299" s="35"/>
      <c r="G299" s="35"/>
      <c r="H299" s="35"/>
      <c r="J299" s="200"/>
      <c r="K299" s="200"/>
      <c r="L299" s="248"/>
      <c r="M299" s="200"/>
      <c r="N299" s="200"/>
      <c r="O299" s="200"/>
      <c r="Q299" s="200"/>
    </row>
    <row r="300">
      <c r="A300" s="35"/>
      <c r="B300" s="35"/>
      <c r="C300" s="35"/>
      <c r="D300" s="378"/>
      <c r="E300" s="35"/>
      <c r="F300" s="35"/>
      <c r="G300" s="35"/>
      <c r="H300" s="35"/>
      <c r="J300" s="200"/>
      <c r="K300" s="200"/>
      <c r="L300" s="248"/>
      <c r="M300" s="200"/>
      <c r="N300" s="200"/>
      <c r="O300" s="200"/>
      <c r="Q300" s="200"/>
    </row>
    <row r="301">
      <c r="A301" s="35"/>
      <c r="B301" s="35"/>
      <c r="C301" s="35"/>
      <c r="D301" s="378"/>
      <c r="E301" s="35"/>
      <c r="F301" s="35"/>
      <c r="G301" s="35"/>
      <c r="H301" s="35"/>
      <c r="J301" s="200"/>
      <c r="K301" s="200"/>
      <c r="L301" s="248"/>
      <c r="M301" s="200"/>
      <c r="N301" s="200"/>
      <c r="O301" s="200"/>
      <c r="Q301" s="200"/>
    </row>
    <row r="302">
      <c r="A302" s="35"/>
      <c r="B302" s="35"/>
      <c r="C302" s="35"/>
      <c r="D302" s="378"/>
      <c r="E302" s="35"/>
      <c r="F302" s="35"/>
      <c r="G302" s="35"/>
      <c r="H302" s="35"/>
      <c r="J302" s="200"/>
      <c r="K302" s="200"/>
      <c r="L302" s="248"/>
      <c r="M302" s="200"/>
      <c r="N302" s="200"/>
      <c r="O302" s="200"/>
      <c r="Q302" s="200"/>
    </row>
    <row r="303">
      <c r="A303" s="35"/>
      <c r="B303" s="35"/>
      <c r="C303" s="35"/>
      <c r="D303" s="378"/>
      <c r="E303" s="35"/>
      <c r="F303" s="35"/>
      <c r="G303" s="35"/>
      <c r="H303" s="35"/>
      <c r="J303" s="200"/>
      <c r="K303" s="200"/>
      <c r="L303" s="248"/>
      <c r="M303" s="200"/>
      <c r="N303" s="200"/>
      <c r="O303" s="200"/>
      <c r="Q303" s="200"/>
    </row>
    <row r="304">
      <c r="A304" s="35"/>
      <c r="B304" s="35"/>
      <c r="C304" s="35"/>
      <c r="D304" s="378"/>
      <c r="E304" s="35"/>
      <c r="F304" s="35"/>
      <c r="G304" s="35"/>
      <c r="H304" s="35"/>
      <c r="J304" s="200"/>
      <c r="K304" s="200"/>
      <c r="L304" s="248"/>
      <c r="M304" s="200"/>
      <c r="N304" s="200"/>
      <c r="O304" s="200"/>
      <c r="Q304" s="200"/>
    </row>
    <row r="305">
      <c r="A305" s="35"/>
      <c r="B305" s="35"/>
      <c r="C305" s="35"/>
      <c r="D305" s="378"/>
      <c r="E305" s="35"/>
      <c r="F305" s="35"/>
      <c r="G305" s="35"/>
      <c r="H305" s="35"/>
      <c r="J305" s="200"/>
      <c r="K305" s="200"/>
      <c r="L305" s="248"/>
      <c r="M305" s="200"/>
      <c r="N305" s="200"/>
      <c r="O305" s="200"/>
      <c r="Q305" s="200"/>
    </row>
    <row r="306">
      <c r="A306" s="35"/>
      <c r="B306" s="35"/>
      <c r="C306" s="35"/>
      <c r="D306" s="378"/>
      <c r="E306" s="35"/>
      <c r="F306" s="35"/>
      <c r="G306" s="35"/>
      <c r="H306" s="35"/>
      <c r="J306" s="200"/>
      <c r="K306" s="200"/>
      <c r="L306" s="248"/>
      <c r="M306" s="200"/>
      <c r="N306" s="200"/>
      <c r="O306" s="200"/>
      <c r="Q306" s="200"/>
    </row>
    <row r="307">
      <c r="A307" s="35"/>
      <c r="B307" s="35"/>
      <c r="C307" s="35"/>
      <c r="D307" s="378"/>
      <c r="E307" s="35"/>
      <c r="F307" s="35"/>
      <c r="G307" s="35"/>
      <c r="H307" s="35"/>
      <c r="J307" s="200"/>
      <c r="K307" s="200"/>
      <c r="L307" s="248"/>
      <c r="M307" s="200"/>
      <c r="N307" s="200"/>
      <c r="O307" s="200"/>
      <c r="Q307" s="200"/>
    </row>
    <row r="308">
      <c r="A308" s="35"/>
      <c r="B308" s="35"/>
      <c r="C308" s="35"/>
      <c r="D308" s="378"/>
      <c r="E308" s="35"/>
      <c r="F308" s="35"/>
      <c r="G308" s="35"/>
      <c r="H308" s="35"/>
      <c r="J308" s="200"/>
      <c r="K308" s="200"/>
      <c r="L308" s="248"/>
      <c r="M308" s="200"/>
      <c r="N308" s="200"/>
      <c r="O308" s="200"/>
      <c r="Q308" s="200"/>
    </row>
    <row r="309">
      <c r="A309" s="35"/>
      <c r="B309" s="35"/>
      <c r="C309" s="35"/>
      <c r="D309" s="378"/>
      <c r="E309" s="35"/>
      <c r="F309" s="35"/>
      <c r="G309" s="35"/>
      <c r="H309" s="35"/>
      <c r="J309" s="200"/>
      <c r="K309" s="200"/>
      <c r="L309" s="248"/>
      <c r="M309" s="200"/>
      <c r="N309" s="200"/>
      <c r="O309" s="200"/>
      <c r="Q309" s="200"/>
    </row>
    <row r="310">
      <c r="A310" s="35"/>
      <c r="B310" s="35"/>
      <c r="C310" s="35"/>
      <c r="D310" s="378"/>
      <c r="E310" s="35"/>
      <c r="F310" s="35"/>
      <c r="G310" s="35"/>
      <c r="H310" s="35"/>
      <c r="J310" s="200"/>
      <c r="K310" s="200"/>
      <c r="L310" s="248"/>
      <c r="M310" s="200"/>
      <c r="N310" s="200"/>
      <c r="O310" s="200"/>
      <c r="Q310" s="200"/>
    </row>
    <row r="311">
      <c r="A311" s="35"/>
      <c r="B311" s="35"/>
      <c r="C311" s="35"/>
      <c r="D311" s="378"/>
      <c r="E311" s="35"/>
      <c r="F311" s="35"/>
      <c r="G311" s="35"/>
      <c r="H311" s="35"/>
      <c r="J311" s="200"/>
      <c r="K311" s="200"/>
      <c r="L311" s="248"/>
      <c r="M311" s="200"/>
      <c r="N311" s="200"/>
      <c r="O311" s="200"/>
      <c r="Q311" s="200"/>
    </row>
    <row r="312">
      <c r="A312" s="35"/>
      <c r="B312" s="35"/>
      <c r="C312" s="35"/>
      <c r="D312" s="378"/>
      <c r="E312" s="35"/>
      <c r="F312" s="35"/>
      <c r="G312" s="35"/>
      <c r="H312" s="35"/>
      <c r="J312" s="200"/>
      <c r="K312" s="200"/>
      <c r="L312" s="248"/>
      <c r="M312" s="200"/>
      <c r="N312" s="200"/>
      <c r="O312" s="200"/>
      <c r="Q312" s="200"/>
    </row>
    <row r="313">
      <c r="A313" s="35"/>
      <c r="B313" s="35"/>
      <c r="C313" s="35"/>
      <c r="D313" s="378"/>
      <c r="E313" s="35"/>
      <c r="F313" s="35"/>
      <c r="G313" s="35"/>
      <c r="H313" s="35"/>
      <c r="J313" s="200"/>
      <c r="K313" s="200"/>
      <c r="L313" s="248"/>
      <c r="M313" s="200"/>
      <c r="N313" s="200"/>
      <c r="O313" s="200"/>
      <c r="Q313" s="200"/>
    </row>
    <row r="314">
      <c r="A314" s="35"/>
      <c r="B314" s="35"/>
      <c r="C314" s="35"/>
      <c r="D314" s="378"/>
      <c r="E314" s="35"/>
      <c r="F314" s="35"/>
      <c r="G314" s="35"/>
      <c r="H314" s="35"/>
      <c r="J314" s="200"/>
      <c r="K314" s="200"/>
      <c r="L314" s="248"/>
      <c r="M314" s="200"/>
      <c r="N314" s="200"/>
      <c r="O314" s="200"/>
      <c r="Q314" s="200"/>
    </row>
    <row r="315">
      <c r="A315" s="35"/>
      <c r="B315" s="35"/>
      <c r="C315" s="35"/>
      <c r="D315" s="378"/>
      <c r="E315" s="35"/>
      <c r="F315" s="35"/>
      <c r="G315" s="35"/>
      <c r="H315" s="35"/>
      <c r="J315" s="200"/>
      <c r="K315" s="200"/>
      <c r="L315" s="248"/>
      <c r="M315" s="200"/>
      <c r="N315" s="200"/>
      <c r="O315" s="200"/>
      <c r="Q315" s="200"/>
    </row>
    <row r="316">
      <c r="A316" s="35"/>
      <c r="B316" s="35"/>
      <c r="C316" s="35"/>
      <c r="D316" s="378"/>
      <c r="E316" s="35"/>
      <c r="F316" s="35"/>
      <c r="G316" s="35"/>
      <c r="H316" s="35"/>
      <c r="J316" s="200"/>
      <c r="K316" s="200"/>
      <c r="L316" s="248"/>
      <c r="M316" s="200"/>
      <c r="N316" s="200"/>
      <c r="O316" s="200"/>
      <c r="Q316" s="200"/>
    </row>
    <row r="317">
      <c r="A317" s="35"/>
      <c r="B317" s="35"/>
      <c r="C317" s="35"/>
      <c r="D317" s="378"/>
      <c r="E317" s="35"/>
      <c r="F317" s="35"/>
      <c r="G317" s="35"/>
      <c r="H317" s="35"/>
      <c r="J317" s="200"/>
      <c r="K317" s="200"/>
      <c r="L317" s="248"/>
      <c r="M317" s="200"/>
      <c r="N317" s="200"/>
      <c r="O317" s="200"/>
      <c r="Q317" s="200"/>
    </row>
    <row r="318">
      <c r="A318" s="35"/>
      <c r="B318" s="35"/>
      <c r="C318" s="35"/>
      <c r="D318" s="378"/>
      <c r="E318" s="35"/>
      <c r="F318" s="35"/>
      <c r="G318" s="35"/>
      <c r="H318" s="35"/>
      <c r="J318" s="200"/>
      <c r="K318" s="200"/>
      <c r="L318" s="248"/>
      <c r="M318" s="200"/>
      <c r="N318" s="200"/>
      <c r="O318" s="200"/>
      <c r="Q318" s="200"/>
    </row>
    <row r="319">
      <c r="A319" s="35"/>
      <c r="B319" s="35"/>
      <c r="C319" s="35"/>
      <c r="D319" s="378"/>
      <c r="E319" s="35"/>
      <c r="F319" s="35"/>
      <c r="G319" s="35"/>
      <c r="H319" s="35"/>
      <c r="J319" s="200"/>
      <c r="K319" s="200"/>
      <c r="L319" s="248"/>
      <c r="M319" s="200"/>
      <c r="N319" s="200"/>
      <c r="O319" s="200"/>
      <c r="Q319" s="200"/>
    </row>
    <row r="320">
      <c r="A320" s="35"/>
      <c r="B320" s="35"/>
      <c r="C320" s="35"/>
      <c r="D320" s="378"/>
      <c r="E320" s="35"/>
      <c r="F320" s="35"/>
      <c r="G320" s="35"/>
      <c r="H320" s="35"/>
      <c r="J320" s="200"/>
      <c r="K320" s="200"/>
      <c r="L320" s="248"/>
      <c r="M320" s="200"/>
      <c r="N320" s="200"/>
      <c r="O320" s="200"/>
      <c r="Q320" s="200"/>
    </row>
    <row r="321">
      <c r="A321" s="35"/>
      <c r="B321" s="35"/>
      <c r="C321" s="35"/>
      <c r="D321" s="378"/>
      <c r="E321" s="35"/>
      <c r="F321" s="35"/>
      <c r="G321" s="35"/>
      <c r="H321" s="35"/>
      <c r="J321" s="200"/>
      <c r="K321" s="200"/>
      <c r="L321" s="248"/>
      <c r="M321" s="200"/>
      <c r="N321" s="200"/>
      <c r="O321" s="200"/>
      <c r="Q321" s="200"/>
    </row>
    <row r="322">
      <c r="A322" s="35"/>
      <c r="B322" s="35"/>
      <c r="C322" s="35"/>
      <c r="D322" s="378"/>
      <c r="E322" s="35"/>
      <c r="F322" s="35"/>
      <c r="G322" s="35"/>
      <c r="H322" s="35"/>
      <c r="J322" s="200"/>
      <c r="K322" s="200"/>
      <c r="L322" s="248"/>
      <c r="M322" s="200"/>
      <c r="N322" s="200"/>
      <c r="O322" s="200"/>
      <c r="Q322" s="200"/>
    </row>
    <row r="323">
      <c r="A323" s="35"/>
      <c r="B323" s="35"/>
      <c r="C323" s="35"/>
      <c r="D323" s="378"/>
      <c r="E323" s="35"/>
      <c r="F323" s="35"/>
      <c r="G323" s="35"/>
      <c r="H323" s="35"/>
      <c r="J323" s="200"/>
      <c r="K323" s="200"/>
      <c r="L323" s="248"/>
      <c r="M323" s="200"/>
      <c r="N323" s="200"/>
      <c r="O323" s="200"/>
      <c r="Q323" s="200"/>
    </row>
    <row r="324">
      <c r="A324" s="35"/>
      <c r="B324" s="35"/>
      <c r="C324" s="35"/>
      <c r="D324" s="378"/>
      <c r="E324" s="35"/>
      <c r="F324" s="35"/>
      <c r="G324" s="35"/>
      <c r="H324" s="35"/>
      <c r="J324" s="200"/>
      <c r="K324" s="200"/>
      <c r="L324" s="248"/>
      <c r="M324" s="200"/>
      <c r="N324" s="200"/>
      <c r="O324" s="200"/>
      <c r="Q324" s="200"/>
    </row>
    <row r="325">
      <c r="A325" s="35"/>
      <c r="B325" s="35"/>
      <c r="C325" s="35"/>
      <c r="D325" s="378"/>
      <c r="E325" s="35"/>
      <c r="F325" s="35"/>
      <c r="G325" s="35"/>
      <c r="H325" s="35"/>
      <c r="J325" s="200"/>
      <c r="K325" s="200"/>
      <c r="L325" s="248"/>
      <c r="M325" s="200"/>
      <c r="N325" s="200"/>
      <c r="O325" s="200"/>
      <c r="Q325" s="200"/>
    </row>
    <row r="326">
      <c r="A326" s="35"/>
      <c r="B326" s="35"/>
      <c r="C326" s="35"/>
      <c r="D326" s="378"/>
      <c r="E326" s="35"/>
      <c r="F326" s="35"/>
      <c r="G326" s="35"/>
      <c r="H326" s="35"/>
      <c r="J326" s="200"/>
      <c r="K326" s="200"/>
      <c r="L326" s="248"/>
      <c r="M326" s="200"/>
      <c r="N326" s="200"/>
      <c r="O326" s="200"/>
      <c r="Q326" s="200"/>
    </row>
    <row r="327">
      <c r="A327" s="35"/>
      <c r="B327" s="35"/>
      <c r="C327" s="35"/>
      <c r="D327" s="378"/>
      <c r="E327" s="35"/>
      <c r="F327" s="35"/>
      <c r="G327" s="35"/>
      <c r="H327" s="35"/>
      <c r="J327" s="200"/>
      <c r="K327" s="200"/>
      <c r="L327" s="248"/>
      <c r="M327" s="200"/>
      <c r="N327" s="200"/>
      <c r="O327" s="200"/>
      <c r="Q327" s="200"/>
    </row>
    <row r="328">
      <c r="A328" s="35"/>
      <c r="B328" s="35"/>
      <c r="C328" s="35"/>
      <c r="D328" s="378"/>
      <c r="E328" s="35"/>
      <c r="F328" s="35"/>
      <c r="G328" s="35"/>
      <c r="H328" s="35"/>
      <c r="J328" s="200"/>
      <c r="K328" s="200"/>
      <c r="L328" s="248"/>
      <c r="M328" s="200"/>
      <c r="N328" s="200"/>
      <c r="O328" s="200"/>
      <c r="Q328" s="200"/>
    </row>
    <row r="329">
      <c r="A329" s="35"/>
      <c r="B329" s="35"/>
      <c r="C329" s="35"/>
      <c r="D329" s="378"/>
      <c r="E329" s="35"/>
      <c r="F329" s="35"/>
      <c r="G329" s="35"/>
      <c r="H329" s="35"/>
      <c r="J329" s="200"/>
      <c r="K329" s="200"/>
      <c r="L329" s="248"/>
      <c r="M329" s="200"/>
      <c r="N329" s="200"/>
      <c r="O329" s="200"/>
      <c r="Q329" s="200"/>
    </row>
    <row r="330">
      <c r="A330" s="35"/>
      <c r="B330" s="35"/>
      <c r="C330" s="35"/>
      <c r="D330" s="378"/>
      <c r="E330" s="35"/>
      <c r="F330" s="35"/>
      <c r="G330" s="35"/>
      <c r="H330" s="35"/>
      <c r="J330" s="200"/>
      <c r="K330" s="200"/>
      <c r="L330" s="248"/>
      <c r="M330" s="200"/>
      <c r="N330" s="200"/>
      <c r="O330" s="200"/>
      <c r="Q330" s="200"/>
    </row>
    <row r="331">
      <c r="A331" s="35"/>
      <c r="B331" s="35"/>
      <c r="C331" s="35"/>
      <c r="D331" s="378"/>
      <c r="E331" s="35"/>
      <c r="F331" s="35"/>
      <c r="G331" s="35"/>
      <c r="H331" s="35"/>
      <c r="J331" s="200"/>
      <c r="K331" s="200"/>
      <c r="L331" s="248"/>
      <c r="M331" s="200"/>
      <c r="N331" s="200"/>
      <c r="O331" s="200"/>
      <c r="Q331" s="200"/>
    </row>
    <row r="332">
      <c r="A332" s="35"/>
      <c r="B332" s="35"/>
      <c r="C332" s="35"/>
      <c r="D332" s="378"/>
      <c r="E332" s="35"/>
      <c r="F332" s="35"/>
      <c r="G332" s="35"/>
      <c r="H332" s="35"/>
      <c r="J332" s="200"/>
      <c r="K332" s="200"/>
      <c r="L332" s="248"/>
      <c r="M332" s="200"/>
      <c r="N332" s="200"/>
      <c r="O332" s="200"/>
      <c r="Q332" s="200"/>
    </row>
    <row r="333">
      <c r="A333" s="35"/>
      <c r="B333" s="35"/>
      <c r="C333" s="35"/>
      <c r="D333" s="378"/>
      <c r="E333" s="35"/>
      <c r="F333" s="35"/>
      <c r="G333" s="35"/>
      <c r="H333" s="35"/>
      <c r="J333" s="200"/>
      <c r="K333" s="200"/>
      <c r="L333" s="248"/>
      <c r="M333" s="200"/>
      <c r="N333" s="200"/>
      <c r="O333" s="200"/>
      <c r="Q333" s="200"/>
    </row>
    <row r="334">
      <c r="A334" s="35"/>
      <c r="B334" s="35"/>
      <c r="C334" s="35"/>
      <c r="D334" s="378"/>
      <c r="E334" s="35"/>
      <c r="F334" s="35"/>
      <c r="G334" s="35"/>
      <c r="H334" s="35"/>
      <c r="J334" s="200"/>
      <c r="K334" s="200"/>
      <c r="L334" s="248"/>
      <c r="M334" s="200"/>
      <c r="N334" s="200"/>
      <c r="O334" s="200"/>
      <c r="Q334" s="200"/>
    </row>
    <row r="335">
      <c r="A335" s="35"/>
      <c r="B335" s="35"/>
      <c r="C335" s="35"/>
      <c r="D335" s="378"/>
      <c r="E335" s="35"/>
      <c r="F335" s="35"/>
      <c r="G335" s="35"/>
      <c r="H335" s="35"/>
      <c r="J335" s="200"/>
      <c r="K335" s="200"/>
      <c r="L335" s="248"/>
      <c r="M335" s="200"/>
      <c r="N335" s="200"/>
      <c r="O335" s="200"/>
      <c r="Q335" s="200"/>
    </row>
    <row r="336">
      <c r="A336" s="35"/>
      <c r="B336" s="35"/>
      <c r="C336" s="35"/>
      <c r="D336" s="378"/>
      <c r="E336" s="35"/>
      <c r="F336" s="35"/>
      <c r="G336" s="35"/>
      <c r="H336" s="35"/>
      <c r="J336" s="200"/>
      <c r="K336" s="200"/>
      <c r="L336" s="248"/>
      <c r="M336" s="200"/>
      <c r="N336" s="200"/>
      <c r="O336" s="200"/>
      <c r="Q336" s="200"/>
    </row>
    <row r="337">
      <c r="A337" s="35"/>
      <c r="B337" s="35"/>
      <c r="C337" s="35"/>
      <c r="D337" s="378"/>
      <c r="E337" s="35"/>
      <c r="F337" s="35"/>
      <c r="G337" s="35"/>
      <c r="H337" s="35"/>
      <c r="J337" s="200"/>
      <c r="K337" s="200"/>
      <c r="L337" s="248"/>
      <c r="M337" s="200"/>
      <c r="N337" s="200"/>
      <c r="O337" s="200"/>
      <c r="Q337" s="200"/>
    </row>
    <row r="338">
      <c r="A338" s="35"/>
      <c r="B338" s="35"/>
      <c r="C338" s="35"/>
      <c r="D338" s="378"/>
      <c r="E338" s="35"/>
      <c r="F338" s="35"/>
      <c r="G338" s="35"/>
      <c r="H338" s="35"/>
      <c r="J338" s="200"/>
      <c r="K338" s="200"/>
      <c r="L338" s="248"/>
      <c r="M338" s="200"/>
      <c r="N338" s="200"/>
      <c r="O338" s="200"/>
      <c r="Q338" s="200"/>
    </row>
    <row r="339">
      <c r="A339" s="35"/>
      <c r="B339" s="35"/>
      <c r="C339" s="35"/>
      <c r="D339" s="378"/>
      <c r="E339" s="35"/>
      <c r="F339" s="35"/>
      <c r="G339" s="35"/>
      <c r="H339" s="35"/>
      <c r="J339" s="200"/>
      <c r="K339" s="200"/>
      <c r="L339" s="248"/>
      <c r="M339" s="200"/>
      <c r="N339" s="200"/>
      <c r="O339" s="200"/>
      <c r="Q339" s="200"/>
    </row>
    <row r="340">
      <c r="A340" s="35"/>
      <c r="B340" s="35"/>
      <c r="C340" s="35"/>
      <c r="D340" s="378"/>
      <c r="E340" s="35"/>
      <c r="F340" s="35"/>
      <c r="G340" s="35"/>
      <c r="H340" s="35"/>
      <c r="J340" s="200"/>
      <c r="K340" s="200"/>
      <c r="L340" s="248"/>
      <c r="M340" s="200"/>
      <c r="N340" s="200"/>
      <c r="O340" s="200"/>
      <c r="Q340" s="200"/>
    </row>
    <row r="341">
      <c r="A341" s="35"/>
      <c r="B341" s="35"/>
      <c r="C341" s="35"/>
      <c r="D341" s="378"/>
      <c r="E341" s="35"/>
      <c r="F341" s="35"/>
      <c r="G341" s="35"/>
      <c r="H341" s="35"/>
      <c r="J341" s="200"/>
      <c r="K341" s="200"/>
      <c r="L341" s="248"/>
      <c r="M341" s="200"/>
      <c r="N341" s="200"/>
      <c r="O341" s="200"/>
      <c r="Q341" s="200"/>
    </row>
    <row r="342">
      <c r="A342" s="35"/>
      <c r="B342" s="35"/>
      <c r="C342" s="35"/>
      <c r="D342" s="378"/>
      <c r="E342" s="35"/>
      <c r="F342" s="35"/>
      <c r="G342" s="35"/>
      <c r="H342" s="35"/>
      <c r="J342" s="200"/>
      <c r="K342" s="200"/>
      <c r="L342" s="248"/>
      <c r="M342" s="200"/>
      <c r="N342" s="200"/>
      <c r="O342" s="200"/>
      <c r="Q342" s="200"/>
    </row>
    <row r="343">
      <c r="A343" s="35"/>
      <c r="B343" s="35"/>
      <c r="C343" s="35"/>
      <c r="D343" s="378"/>
      <c r="E343" s="35"/>
      <c r="F343" s="35"/>
      <c r="G343" s="35"/>
      <c r="H343" s="35"/>
      <c r="J343" s="200"/>
      <c r="K343" s="200"/>
      <c r="L343" s="248"/>
      <c r="M343" s="200"/>
      <c r="N343" s="200"/>
      <c r="O343" s="200"/>
      <c r="Q343" s="200"/>
    </row>
    <row r="344">
      <c r="A344" s="35"/>
      <c r="B344" s="35"/>
      <c r="C344" s="35"/>
      <c r="D344" s="378"/>
      <c r="E344" s="35"/>
      <c r="F344" s="35"/>
      <c r="G344" s="35"/>
      <c r="H344" s="35"/>
      <c r="J344" s="200"/>
      <c r="K344" s="200"/>
      <c r="L344" s="248"/>
      <c r="M344" s="200"/>
      <c r="N344" s="200"/>
      <c r="O344" s="200"/>
      <c r="Q344" s="200"/>
    </row>
    <row r="345">
      <c r="A345" s="35"/>
      <c r="B345" s="35"/>
      <c r="C345" s="35"/>
      <c r="D345" s="378"/>
      <c r="E345" s="35"/>
      <c r="F345" s="35"/>
      <c r="G345" s="35"/>
      <c r="H345" s="35"/>
      <c r="J345" s="200"/>
      <c r="K345" s="200"/>
      <c r="L345" s="248"/>
      <c r="M345" s="200"/>
      <c r="N345" s="200"/>
      <c r="O345" s="200"/>
      <c r="Q345" s="200"/>
    </row>
    <row r="346">
      <c r="A346" s="35"/>
      <c r="B346" s="35"/>
      <c r="C346" s="35"/>
      <c r="D346" s="378"/>
      <c r="E346" s="35"/>
      <c r="F346" s="35"/>
      <c r="G346" s="35"/>
      <c r="H346" s="35"/>
      <c r="J346" s="200"/>
      <c r="K346" s="200"/>
      <c r="L346" s="248"/>
      <c r="M346" s="200"/>
      <c r="N346" s="200"/>
      <c r="O346" s="200"/>
      <c r="Q346" s="200"/>
    </row>
    <row r="347">
      <c r="A347" s="35"/>
      <c r="B347" s="35"/>
      <c r="C347" s="35"/>
      <c r="D347" s="378"/>
      <c r="E347" s="35"/>
      <c r="F347" s="35"/>
      <c r="G347" s="35"/>
      <c r="H347" s="35"/>
      <c r="J347" s="200"/>
      <c r="K347" s="200"/>
      <c r="L347" s="248"/>
      <c r="M347" s="200"/>
      <c r="N347" s="200"/>
      <c r="O347" s="200"/>
      <c r="Q347" s="200"/>
    </row>
    <row r="348">
      <c r="A348" s="35"/>
      <c r="B348" s="35"/>
      <c r="C348" s="35"/>
      <c r="D348" s="378"/>
      <c r="E348" s="35"/>
      <c r="F348" s="35"/>
      <c r="G348" s="35"/>
      <c r="H348" s="35"/>
      <c r="J348" s="200"/>
      <c r="K348" s="200"/>
      <c r="L348" s="248"/>
      <c r="M348" s="200"/>
      <c r="N348" s="200"/>
      <c r="O348" s="200"/>
      <c r="Q348" s="200"/>
    </row>
    <row r="349">
      <c r="A349" s="35"/>
      <c r="B349" s="35"/>
      <c r="C349" s="35"/>
      <c r="D349" s="378"/>
      <c r="E349" s="35"/>
      <c r="F349" s="35"/>
      <c r="G349" s="35"/>
      <c r="H349" s="35"/>
      <c r="J349" s="200"/>
      <c r="K349" s="200"/>
      <c r="L349" s="248"/>
      <c r="M349" s="200"/>
      <c r="N349" s="200"/>
      <c r="O349" s="200"/>
      <c r="Q349" s="200"/>
    </row>
    <row r="350">
      <c r="A350" s="35"/>
      <c r="B350" s="35"/>
      <c r="C350" s="35"/>
      <c r="D350" s="378"/>
      <c r="E350" s="35"/>
      <c r="F350" s="35"/>
      <c r="G350" s="35"/>
      <c r="H350" s="35"/>
      <c r="J350" s="200"/>
      <c r="K350" s="200"/>
      <c r="L350" s="248"/>
      <c r="M350" s="200"/>
      <c r="N350" s="200"/>
      <c r="O350" s="200"/>
      <c r="Q350" s="200"/>
    </row>
    <row r="351">
      <c r="A351" s="35"/>
      <c r="B351" s="35"/>
      <c r="C351" s="35"/>
      <c r="D351" s="378"/>
      <c r="E351" s="35"/>
      <c r="F351" s="35"/>
      <c r="G351" s="35"/>
      <c r="H351" s="35"/>
      <c r="J351" s="200"/>
      <c r="K351" s="200"/>
      <c r="L351" s="248"/>
      <c r="M351" s="200"/>
      <c r="N351" s="200"/>
      <c r="O351" s="200"/>
      <c r="Q351" s="200"/>
    </row>
    <row r="352">
      <c r="A352" s="35"/>
      <c r="B352" s="35"/>
      <c r="C352" s="35"/>
      <c r="D352" s="378"/>
      <c r="E352" s="35"/>
      <c r="F352" s="35"/>
      <c r="G352" s="35"/>
      <c r="H352" s="35"/>
      <c r="J352" s="200"/>
      <c r="K352" s="200"/>
      <c r="L352" s="248"/>
      <c r="M352" s="200"/>
      <c r="N352" s="200"/>
      <c r="O352" s="200"/>
      <c r="Q352" s="200"/>
    </row>
    <row r="353">
      <c r="A353" s="35"/>
      <c r="B353" s="35"/>
      <c r="C353" s="35"/>
      <c r="D353" s="378"/>
      <c r="E353" s="35"/>
      <c r="F353" s="35"/>
      <c r="G353" s="35"/>
      <c r="H353" s="35"/>
      <c r="J353" s="200"/>
      <c r="K353" s="200"/>
      <c r="L353" s="248"/>
      <c r="M353" s="200"/>
      <c r="N353" s="200"/>
      <c r="O353" s="200"/>
      <c r="Q353" s="200"/>
    </row>
    <row r="354">
      <c r="A354" s="35"/>
      <c r="B354" s="35"/>
      <c r="C354" s="35"/>
      <c r="D354" s="378"/>
      <c r="E354" s="35"/>
      <c r="F354" s="35"/>
      <c r="G354" s="35"/>
      <c r="H354" s="35"/>
      <c r="J354" s="200"/>
      <c r="K354" s="200"/>
      <c r="L354" s="248"/>
      <c r="M354" s="200"/>
      <c r="N354" s="200"/>
      <c r="O354" s="200"/>
      <c r="Q354" s="200"/>
    </row>
    <row r="355">
      <c r="A355" s="35"/>
      <c r="B355" s="35"/>
      <c r="C355" s="35"/>
      <c r="D355" s="378"/>
      <c r="E355" s="35"/>
      <c r="F355" s="35"/>
      <c r="G355" s="35"/>
      <c r="H355" s="35"/>
      <c r="J355" s="200"/>
      <c r="K355" s="200"/>
      <c r="L355" s="248"/>
      <c r="M355" s="200"/>
      <c r="N355" s="200"/>
      <c r="O355" s="200"/>
      <c r="Q355" s="200"/>
    </row>
    <row r="356">
      <c r="A356" s="35"/>
      <c r="B356" s="35"/>
      <c r="C356" s="35"/>
      <c r="D356" s="378"/>
      <c r="E356" s="35"/>
      <c r="F356" s="35"/>
      <c r="G356" s="35"/>
      <c r="H356" s="35"/>
      <c r="J356" s="200"/>
      <c r="K356" s="200"/>
      <c r="L356" s="248"/>
      <c r="M356" s="200"/>
      <c r="N356" s="200"/>
      <c r="O356" s="200"/>
      <c r="Q356" s="200"/>
    </row>
    <row r="357">
      <c r="A357" s="35"/>
      <c r="B357" s="35"/>
      <c r="C357" s="35"/>
      <c r="D357" s="378"/>
      <c r="E357" s="35"/>
      <c r="F357" s="35"/>
      <c r="G357" s="35"/>
      <c r="H357" s="35"/>
      <c r="J357" s="200"/>
      <c r="K357" s="200"/>
      <c r="L357" s="248"/>
      <c r="M357" s="200"/>
      <c r="N357" s="200"/>
      <c r="O357" s="200"/>
      <c r="Q357" s="200"/>
    </row>
    <row r="358">
      <c r="A358" s="35"/>
      <c r="B358" s="35"/>
      <c r="C358" s="35"/>
      <c r="D358" s="378"/>
      <c r="E358" s="35"/>
      <c r="F358" s="35"/>
      <c r="G358" s="35"/>
      <c r="H358" s="35"/>
      <c r="J358" s="200"/>
      <c r="K358" s="200"/>
      <c r="L358" s="248"/>
      <c r="M358" s="200"/>
      <c r="N358" s="200"/>
      <c r="O358" s="200"/>
      <c r="Q358" s="200"/>
    </row>
    <row r="359">
      <c r="A359" s="35"/>
      <c r="B359" s="35"/>
      <c r="C359" s="35"/>
      <c r="D359" s="378"/>
      <c r="E359" s="35"/>
      <c r="F359" s="35"/>
      <c r="G359" s="35"/>
      <c r="H359" s="35"/>
      <c r="J359" s="200"/>
      <c r="K359" s="200"/>
      <c r="L359" s="248"/>
      <c r="M359" s="200"/>
      <c r="N359" s="200"/>
      <c r="O359" s="200"/>
      <c r="Q359" s="200"/>
    </row>
    <row r="360">
      <c r="A360" s="35"/>
      <c r="B360" s="35"/>
      <c r="C360" s="35"/>
      <c r="D360" s="378"/>
      <c r="E360" s="35"/>
      <c r="F360" s="35"/>
      <c r="G360" s="35"/>
      <c r="H360" s="35"/>
      <c r="J360" s="200"/>
      <c r="K360" s="200"/>
      <c r="L360" s="248"/>
      <c r="M360" s="200"/>
      <c r="N360" s="200"/>
      <c r="O360" s="200"/>
      <c r="Q360" s="200"/>
    </row>
    <row r="361">
      <c r="A361" s="35"/>
      <c r="B361" s="35"/>
      <c r="C361" s="35"/>
      <c r="D361" s="378"/>
      <c r="E361" s="35"/>
      <c r="F361" s="35"/>
      <c r="G361" s="35"/>
      <c r="H361" s="35"/>
      <c r="J361" s="200"/>
      <c r="K361" s="200"/>
      <c r="L361" s="248"/>
      <c r="M361" s="200"/>
      <c r="N361" s="200"/>
      <c r="O361" s="200"/>
      <c r="Q361" s="200"/>
    </row>
    <row r="362">
      <c r="A362" s="35"/>
      <c r="B362" s="35"/>
      <c r="C362" s="35"/>
      <c r="D362" s="378"/>
      <c r="E362" s="35"/>
      <c r="F362" s="35"/>
      <c r="G362" s="35"/>
      <c r="H362" s="35"/>
      <c r="J362" s="200"/>
      <c r="K362" s="200"/>
      <c r="L362" s="248"/>
      <c r="M362" s="200"/>
      <c r="N362" s="200"/>
      <c r="O362" s="200"/>
      <c r="Q362" s="200"/>
    </row>
    <row r="363">
      <c r="A363" s="35"/>
      <c r="B363" s="35"/>
      <c r="C363" s="35"/>
      <c r="D363" s="378"/>
      <c r="E363" s="35"/>
      <c r="F363" s="35"/>
      <c r="G363" s="35"/>
      <c r="H363" s="35"/>
      <c r="J363" s="200"/>
      <c r="K363" s="200"/>
      <c r="L363" s="248"/>
      <c r="M363" s="200"/>
      <c r="N363" s="200"/>
      <c r="O363" s="200"/>
      <c r="Q363" s="200"/>
    </row>
    <row r="364">
      <c r="A364" s="35"/>
      <c r="B364" s="35"/>
      <c r="C364" s="35"/>
      <c r="D364" s="378"/>
      <c r="E364" s="35"/>
      <c r="F364" s="35"/>
      <c r="G364" s="35"/>
      <c r="H364" s="35"/>
      <c r="J364" s="200"/>
      <c r="K364" s="200"/>
      <c r="L364" s="248"/>
      <c r="M364" s="200"/>
      <c r="N364" s="200"/>
      <c r="O364" s="200"/>
      <c r="Q364" s="200"/>
    </row>
    <row r="365">
      <c r="A365" s="35"/>
      <c r="B365" s="35"/>
      <c r="C365" s="35"/>
      <c r="D365" s="378"/>
      <c r="E365" s="35"/>
      <c r="F365" s="35"/>
      <c r="G365" s="35"/>
      <c r="H365" s="35"/>
      <c r="J365" s="200"/>
      <c r="K365" s="200"/>
      <c r="L365" s="248"/>
      <c r="M365" s="200"/>
      <c r="N365" s="200"/>
      <c r="O365" s="200"/>
      <c r="Q365" s="200"/>
    </row>
    <row r="366">
      <c r="A366" s="35"/>
      <c r="B366" s="35"/>
      <c r="C366" s="35"/>
      <c r="D366" s="378"/>
      <c r="E366" s="35"/>
      <c r="F366" s="35"/>
      <c r="G366" s="35"/>
      <c r="H366" s="35"/>
      <c r="J366" s="200"/>
      <c r="K366" s="200"/>
      <c r="L366" s="248"/>
      <c r="M366" s="200"/>
      <c r="N366" s="200"/>
      <c r="O366" s="200"/>
      <c r="Q366" s="200"/>
    </row>
    <row r="367">
      <c r="A367" s="35"/>
      <c r="B367" s="35"/>
      <c r="C367" s="35"/>
      <c r="D367" s="378"/>
      <c r="E367" s="35"/>
      <c r="F367" s="35"/>
      <c r="G367" s="35"/>
      <c r="H367" s="35"/>
      <c r="J367" s="200"/>
      <c r="K367" s="200"/>
      <c r="L367" s="248"/>
      <c r="M367" s="200"/>
      <c r="N367" s="200"/>
      <c r="O367" s="200"/>
      <c r="Q367" s="200"/>
    </row>
    <row r="368">
      <c r="A368" s="35"/>
      <c r="B368" s="35"/>
      <c r="C368" s="35"/>
      <c r="D368" s="378"/>
      <c r="E368" s="35"/>
      <c r="F368" s="35"/>
      <c r="G368" s="35"/>
      <c r="H368" s="35"/>
      <c r="J368" s="200"/>
      <c r="K368" s="200"/>
      <c r="L368" s="248"/>
      <c r="M368" s="200"/>
      <c r="N368" s="200"/>
      <c r="O368" s="200"/>
      <c r="Q368" s="200"/>
    </row>
    <row r="369">
      <c r="A369" s="35"/>
      <c r="B369" s="35"/>
      <c r="C369" s="35"/>
      <c r="D369" s="378"/>
      <c r="E369" s="35"/>
      <c r="F369" s="35"/>
      <c r="G369" s="35"/>
      <c r="H369" s="35"/>
      <c r="J369" s="200"/>
      <c r="K369" s="200"/>
      <c r="L369" s="248"/>
      <c r="M369" s="200"/>
      <c r="N369" s="200"/>
      <c r="O369" s="200"/>
      <c r="Q369" s="200"/>
    </row>
    <row r="370">
      <c r="A370" s="35"/>
      <c r="B370" s="35"/>
      <c r="C370" s="35"/>
      <c r="D370" s="378"/>
      <c r="E370" s="35"/>
      <c r="F370" s="35"/>
      <c r="G370" s="35"/>
      <c r="H370" s="35"/>
      <c r="J370" s="200"/>
      <c r="K370" s="200"/>
      <c r="L370" s="248"/>
      <c r="M370" s="200"/>
      <c r="N370" s="200"/>
      <c r="O370" s="200"/>
      <c r="Q370" s="200"/>
    </row>
    <row r="371">
      <c r="A371" s="35"/>
      <c r="B371" s="35"/>
      <c r="C371" s="35"/>
      <c r="D371" s="378"/>
      <c r="E371" s="35"/>
      <c r="F371" s="35"/>
      <c r="G371" s="35"/>
      <c r="H371" s="35"/>
      <c r="J371" s="200"/>
      <c r="K371" s="200"/>
      <c r="L371" s="248"/>
      <c r="M371" s="200"/>
      <c r="N371" s="200"/>
      <c r="O371" s="200"/>
      <c r="Q371" s="200"/>
    </row>
    <row r="372">
      <c r="A372" s="35"/>
      <c r="B372" s="35"/>
      <c r="C372" s="35"/>
      <c r="D372" s="378"/>
      <c r="E372" s="35"/>
      <c r="F372" s="35"/>
      <c r="G372" s="35"/>
      <c r="H372" s="35"/>
      <c r="J372" s="200"/>
      <c r="K372" s="200"/>
      <c r="L372" s="248"/>
      <c r="M372" s="200"/>
      <c r="N372" s="200"/>
      <c r="O372" s="200"/>
      <c r="Q372" s="200"/>
    </row>
    <row r="373">
      <c r="A373" s="35"/>
      <c r="B373" s="35"/>
      <c r="C373" s="35"/>
      <c r="D373" s="378"/>
      <c r="E373" s="35"/>
      <c r="F373" s="35"/>
      <c r="G373" s="35"/>
      <c r="H373" s="35"/>
      <c r="J373" s="200"/>
      <c r="K373" s="200"/>
      <c r="L373" s="248"/>
      <c r="M373" s="200"/>
      <c r="N373" s="200"/>
      <c r="O373" s="200"/>
      <c r="Q373" s="200"/>
    </row>
    <row r="374">
      <c r="A374" s="35"/>
      <c r="B374" s="35"/>
      <c r="C374" s="35"/>
      <c r="D374" s="378"/>
      <c r="E374" s="35"/>
      <c r="F374" s="35"/>
      <c r="G374" s="35"/>
      <c r="H374" s="35"/>
      <c r="J374" s="200"/>
      <c r="K374" s="200"/>
      <c r="L374" s="248"/>
      <c r="M374" s="200"/>
      <c r="N374" s="200"/>
      <c r="O374" s="200"/>
      <c r="Q374" s="200"/>
    </row>
    <row r="375">
      <c r="A375" s="35"/>
      <c r="B375" s="35"/>
      <c r="C375" s="35"/>
      <c r="D375" s="378"/>
      <c r="E375" s="35"/>
      <c r="F375" s="35"/>
      <c r="G375" s="35"/>
      <c r="H375" s="35"/>
      <c r="J375" s="200"/>
      <c r="K375" s="200"/>
      <c r="L375" s="248"/>
      <c r="M375" s="200"/>
      <c r="N375" s="200"/>
      <c r="O375" s="200"/>
      <c r="Q375" s="200"/>
    </row>
    <row r="376">
      <c r="A376" s="35"/>
      <c r="B376" s="35"/>
      <c r="C376" s="35"/>
      <c r="D376" s="378"/>
      <c r="E376" s="35"/>
      <c r="F376" s="35"/>
      <c r="G376" s="35"/>
      <c r="H376" s="35"/>
      <c r="J376" s="200"/>
      <c r="K376" s="200"/>
      <c r="L376" s="248"/>
      <c r="M376" s="200"/>
      <c r="N376" s="200"/>
      <c r="O376" s="200"/>
      <c r="Q376" s="200"/>
    </row>
    <row r="377">
      <c r="A377" s="35"/>
      <c r="B377" s="35"/>
      <c r="C377" s="35"/>
      <c r="D377" s="378"/>
      <c r="E377" s="35"/>
      <c r="F377" s="35"/>
      <c r="G377" s="35"/>
      <c r="H377" s="35"/>
      <c r="J377" s="200"/>
      <c r="K377" s="200"/>
      <c r="L377" s="248"/>
      <c r="M377" s="200"/>
      <c r="N377" s="200"/>
      <c r="O377" s="200"/>
      <c r="Q377" s="200"/>
    </row>
    <row r="378">
      <c r="A378" s="35"/>
      <c r="B378" s="35"/>
      <c r="C378" s="35"/>
      <c r="D378" s="378"/>
      <c r="E378" s="35"/>
      <c r="F378" s="35"/>
      <c r="G378" s="35"/>
      <c r="H378" s="35"/>
      <c r="J378" s="200"/>
      <c r="K378" s="200"/>
      <c r="L378" s="248"/>
      <c r="M378" s="200"/>
      <c r="N378" s="200"/>
      <c r="O378" s="200"/>
      <c r="Q378" s="200"/>
    </row>
    <row r="379">
      <c r="A379" s="35"/>
      <c r="B379" s="35"/>
      <c r="C379" s="35"/>
      <c r="D379" s="378"/>
      <c r="E379" s="35"/>
      <c r="F379" s="35"/>
      <c r="G379" s="35"/>
      <c r="H379" s="35"/>
      <c r="J379" s="200"/>
      <c r="K379" s="200"/>
      <c r="L379" s="248"/>
      <c r="M379" s="200"/>
      <c r="N379" s="200"/>
      <c r="O379" s="200"/>
      <c r="Q379" s="200"/>
    </row>
    <row r="380">
      <c r="A380" s="35"/>
      <c r="B380" s="35"/>
      <c r="C380" s="35"/>
      <c r="D380" s="378"/>
      <c r="E380" s="35"/>
      <c r="F380" s="35"/>
      <c r="G380" s="35"/>
      <c r="H380" s="35"/>
      <c r="J380" s="200"/>
      <c r="K380" s="200"/>
      <c r="L380" s="248"/>
      <c r="M380" s="200"/>
      <c r="N380" s="200"/>
      <c r="O380" s="200"/>
      <c r="Q380" s="200"/>
    </row>
    <row r="381">
      <c r="A381" s="35"/>
      <c r="B381" s="35"/>
      <c r="C381" s="35"/>
      <c r="D381" s="378"/>
      <c r="E381" s="35"/>
      <c r="F381" s="35"/>
      <c r="G381" s="35"/>
      <c r="H381" s="35"/>
      <c r="J381" s="200"/>
      <c r="K381" s="200"/>
      <c r="L381" s="248"/>
      <c r="M381" s="200"/>
      <c r="N381" s="200"/>
      <c r="O381" s="200"/>
      <c r="Q381" s="200"/>
    </row>
    <row r="382">
      <c r="A382" s="35"/>
      <c r="B382" s="35"/>
      <c r="C382" s="35"/>
      <c r="D382" s="378"/>
      <c r="E382" s="35"/>
      <c r="F382" s="35"/>
      <c r="G382" s="35"/>
      <c r="H382" s="35"/>
      <c r="J382" s="200"/>
      <c r="K382" s="200"/>
      <c r="L382" s="248"/>
      <c r="M382" s="200"/>
      <c r="N382" s="200"/>
      <c r="O382" s="200"/>
      <c r="Q382" s="200"/>
    </row>
    <row r="383">
      <c r="A383" s="35"/>
      <c r="B383" s="35"/>
      <c r="C383" s="35"/>
      <c r="D383" s="378"/>
      <c r="E383" s="35"/>
      <c r="F383" s="35"/>
      <c r="G383" s="35"/>
      <c r="H383" s="35"/>
      <c r="J383" s="200"/>
      <c r="K383" s="200"/>
      <c r="L383" s="248"/>
      <c r="M383" s="200"/>
      <c r="N383" s="200"/>
      <c r="O383" s="200"/>
      <c r="Q383" s="200"/>
    </row>
    <row r="384">
      <c r="A384" s="35"/>
      <c r="B384" s="35"/>
      <c r="C384" s="35"/>
      <c r="D384" s="378"/>
      <c r="E384" s="35"/>
      <c r="F384" s="35"/>
      <c r="G384" s="35"/>
      <c r="H384" s="35"/>
      <c r="J384" s="200"/>
      <c r="K384" s="200"/>
      <c r="L384" s="248"/>
      <c r="M384" s="200"/>
      <c r="N384" s="200"/>
      <c r="O384" s="200"/>
      <c r="Q384" s="200"/>
    </row>
    <row r="385">
      <c r="A385" s="35"/>
      <c r="B385" s="35"/>
      <c r="C385" s="35"/>
      <c r="D385" s="378"/>
      <c r="E385" s="35"/>
      <c r="F385" s="35"/>
      <c r="G385" s="35"/>
      <c r="H385" s="35"/>
      <c r="J385" s="200"/>
      <c r="K385" s="200"/>
      <c r="L385" s="248"/>
      <c r="M385" s="200"/>
      <c r="N385" s="200"/>
      <c r="O385" s="200"/>
      <c r="Q385" s="200"/>
    </row>
    <row r="386">
      <c r="A386" s="35"/>
      <c r="B386" s="35"/>
      <c r="C386" s="35"/>
      <c r="D386" s="378"/>
      <c r="E386" s="35"/>
      <c r="F386" s="35"/>
      <c r="G386" s="35"/>
      <c r="H386" s="35"/>
      <c r="J386" s="200"/>
      <c r="K386" s="200"/>
      <c r="L386" s="248"/>
      <c r="M386" s="200"/>
      <c r="N386" s="200"/>
      <c r="O386" s="200"/>
      <c r="Q386" s="200"/>
    </row>
    <row r="387">
      <c r="A387" s="35"/>
      <c r="B387" s="35"/>
      <c r="C387" s="35"/>
      <c r="D387" s="378"/>
      <c r="E387" s="35"/>
      <c r="F387" s="35"/>
      <c r="G387" s="35"/>
      <c r="H387" s="35"/>
      <c r="J387" s="200"/>
      <c r="K387" s="200"/>
      <c r="L387" s="248"/>
      <c r="M387" s="200"/>
      <c r="N387" s="200"/>
      <c r="O387" s="200"/>
      <c r="Q387" s="200"/>
    </row>
    <row r="388">
      <c r="A388" s="35"/>
      <c r="B388" s="35"/>
      <c r="C388" s="35"/>
      <c r="D388" s="378"/>
      <c r="E388" s="35"/>
      <c r="F388" s="35"/>
      <c r="G388" s="35"/>
      <c r="H388" s="35"/>
      <c r="J388" s="200"/>
      <c r="K388" s="200"/>
      <c r="L388" s="248"/>
      <c r="M388" s="200"/>
      <c r="N388" s="200"/>
      <c r="O388" s="200"/>
      <c r="Q388" s="200"/>
    </row>
    <row r="389">
      <c r="A389" s="35"/>
      <c r="B389" s="35"/>
      <c r="C389" s="35"/>
      <c r="D389" s="378"/>
      <c r="E389" s="35"/>
      <c r="F389" s="35"/>
      <c r="G389" s="35"/>
      <c r="H389" s="35"/>
      <c r="J389" s="200"/>
      <c r="K389" s="200"/>
      <c r="L389" s="248"/>
      <c r="M389" s="200"/>
      <c r="N389" s="200"/>
      <c r="O389" s="200"/>
      <c r="Q389" s="200"/>
    </row>
    <row r="390">
      <c r="A390" s="35"/>
      <c r="B390" s="35"/>
      <c r="C390" s="35"/>
      <c r="D390" s="378"/>
      <c r="E390" s="35"/>
      <c r="F390" s="35"/>
      <c r="G390" s="35"/>
      <c r="H390" s="35"/>
      <c r="J390" s="200"/>
      <c r="K390" s="200"/>
      <c r="L390" s="248"/>
      <c r="M390" s="200"/>
      <c r="N390" s="200"/>
      <c r="O390" s="200"/>
      <c r="Q390" s="200"/>
    </row>
    <row r="391">
      <c r="A391" s="35"/>
      <c r="B391" s="35"/>
      <c r="C391" s="35"/>
      <c r="D391" s="378"/>
      <c r="E391" s="35"/>
      <c r="F391" s="35"/>
      <c r="G391" s="35"/>
      <c r="H391" s="35"/>
      <c r="J391" s="200"/>
      <c r="K391" s="200"/>
      <c r="L391" s="248"/>
      <c r="M391" s="200"/>
      <c r="N391" s="200"/>
      <c r="O391" s="200"/>
      <c r="Q391" s="200"/>
    </row>
    <row r="392">
      <c r="A392" s="35"/>
      <c r="B392" s="35"/>
      <c r="C392" s="35"/>
      <c r="D392" s="378"/>
      <c r="E392" s="35"/>
      <c r="F392" s="35"/>
      <c r="G392" s="35"/>
      <c r="H392" s="35"/>
      <c r="J392" s="200"/>
      <c r="K392" s="200"/>
      <c r="L392" s="248"/>
      <c r="M392" s="200"/>
      <c r="N392" s="200"/>
      <c r="O392" s="200"/>
      <c r="Q392" s="200"/>
    </row>
    <row r="393">
      <c r="A393" s="35"/>
      <c r="B393" s="35"/>
      <c r="C393" s="35"/>
      <c r="D393" s="378"/>
      <c r="E393" s="35"/>
      <c r="F393" s="35"/>
      <c r="G393" s="35"/>
      <c r="H393" s="35"/>
      <c r="J393" s="200"/>
      <c r="K393" s="200"/>
      <c r="L393" s="248"/>
      <c r="M393" s="200"/>
      <c r="N393" s="200"/>
      <c r="O393" s="200"/>
      <c r="Q393" s="200"/>
    </row>
    <row r="394">
      <c r="A394" s="35"/>
      <c r="B394" s="35"/>
      <c r="C394" s="35"/>
      <c r="D394" s="378"/>
      <c r="E394" s="35"/>
      <c r="F394" s="35"/>
      <c r="G394" s="35"/>
      <c r="H394" s="35"/>
      <c r="J394" s="200"/>
      <c r="K394" s="200"/>
      <c r="L394" s="248"/>
      <c r="M394" s="200"/>
      <c r="N394" s="200"/>
      <c r="O394" s="200"/>
      <c r="Q394" s="200"/>
    </row>
    <row r="395">
      <c r="A395" s="35"/>
      <c r="B395" s="35"/>
      <c r="C395" s="35"/>
      <c r="D395" s="378"/>
      <c r="E395" s="35"/>
      <c r="F395" s="35"/>
      <c r="G395" s="35"/>
      <c r="H395" s="35"/>
      <c r="J395" s="200"/>
      <c r="K395" s="200"/>
      <c r="L395" s="248"/>
      <c r="M395" s="200"/>
      <c r="N395" s="200"/>
      <c r="O395" s="200"/>
      <c r="Q395" s="200"/>
    </row>
    <row r="396">
      <c r="A396" s="35"/>
      <c r="B396" s="35"/>
      <c r="C396" s="35"/>
      <c r="D396" s="378"/>
      <c r="E396" s="35"/>
      <c r="F396" s="35"/>
      <c r="G396" s="35"/>
      <c r="H396" s="35"/>
      <c r="J396" s="200"/>
      <c r="K396" s="200"/>
      <c r="L396" s="248"/>
      <c r="M396" s="200"/>
      <c r="N396" s="200"/>
      <c r="O396" s="200"/>
      <c r="Q396" s="200"/>
    </row>
    <row r="397">
      <c r="A397" s="35"/>
      <c r="B397" s="35"/>
      <c r="C397" s="35"/>
      <c r="D397" s="378"/>
      <c r="E397" s="35"/>
      <c r="F397" s="35"/>
      <c r="G397" s="35"/>
      <c r="H397" s="35"/>
      <c r="J397" s="200"/>
      <c r="K397" s="200"/>
      <c r="L397" s="248"/>
      <c r="M397" s="200"/>
      <c r="N397" s="200"/>
      <c r="O397" s="200"/>
      <c r="Q397" s="200"/>
    </row>
    <row r="398">
      <c r="A398" s="35"/>
      <c r="B398" s="35"/>
      <c r="C398" s="35"/>
      <c r="D398" s="378"/>
      <c r="E398" s="35"/>
      <c r="F398" s="35"/>
      <c r="G398" s="35"/>
      <c r="H398" s="35"/>
      <c r="J398" s="200"/>
      <c r="K398" s="200"/>
      <c r="L398" s="248"/>
      <c r="M398" s="200"/>
      <c r="N398" s="200"/>
      <c r="O398" s="200"/>
      <c r="Q398" s="200"/>
    </row>
    <row r="399">
      <c r="A399" s="35"/>
      <c r="B399" s="35"/>
      <c r="C399" s="35"/>
      <c r="D399" s="378"/>
      <c r="E399" s="35"/>
      <c r="F399" s="35"/>
      <c r="G399" s="35"/>
      <c r="H399" s="35"/>
      <c r="J399" s="200"/>
      <c r="K399" s="200"/>
      <c r="L399" s="248"/>
      <c r="M399" s="200"/>
      <c r="N399" s="200"/>
      <c r="O399" s="200"/>
      <c r="Q399" s="200"/>
    </row>
    <row r="400">
      <c r="A400" s="35"/>
      <c r="B400" s="35"/>
      <c r="C400" s="35"/>
      <c r="D400" s="378"/>
      <c r="E400" s="35"/>
      <c r="F400" s="35"/>
      <c r="G400" s="35"/>
      <c r="H400" s="35"/>
      <c r="J400" s="200"/>
      <c r="K400" s="200"/>
      <c r="L400" s="248"/>
      <c r="M400" s="200"/>
      <c r="N400" s="200"/>
      <c r="O400" s="200"/>
      <c r="Q400" s="200"/>
    </row>
    <row r="401">
      <c r="A401" s="35"/>
      <c r="B401" s="35"/>
      <c r="C401" s="35"/>
      <c r="D401" s="378"/>
      <c r="E401" s="35"/>
      <c r="F401" s="35"/>
      <c r="G401" s="35"/>
      <c r="H401" s="35"/>
      <c r="J401" s="200"/>
      <c r="K401" s="200"/>
      <c r="L401" s="248"/>
      <c r="M401" s="200"/>
      <c r="N401" s="200"/>
      <c r="O401" s="200"/>
      <c r="Q401" s="200"/>
    </row>
    <row r="402">
      <c r="A402" s="35"/>
      <c r="B402" s="35"/>
      <c r="C402" s="35"/>
      <c r="D402" s="378"/>
      <c r="E402" s="35"/>
      <c r="F402" s="35"/>
      <c r="G402" s="35"/>
      <c r="H402" s="35"/>
      <c r="J402" s="200"/>
      <c r="K402" s="200"/>
      <c r="L402" s="248"/>
      <c r="M402" s="200"/>
      <c r="N402" s="200"/>
      <c r="O402" s="200"/>
      <c r="Q402" s="200"/>
    </row>
    <row r="403">
      <c r="A403" s="35"/>
      <c r="B403" s="35"/>
      <c r="C403" s="35"/>
      <c r="D403" s="378"/>
      <c r="E403" s="35"/>
      <c r="F403" s="35"/>
      <c r="G403" s="35"/>
      <c r="H403" s="35"/>
      <c r="J403" s="200"/>
      <c r="K403" s="200"/>
      <c r="L403" s="248"/>
      <c r="M403" s="200"/>
      <c r="N403" s="200"/>
      <c r="O403" s="200"/>
      <c r="Q403" s="200"/>
    </row>
    <row r="404">
      <c r="A404" s="35"/>
      <c r="B404" s="35"/>
      <c r="C404" s="35"/>
      <c r="D404" s="378"/>
      <c r="E404" s="35"/>
      <c r="F404" s="35"/>
      <c r="G404" s="35"/>
      <c r="H404" s="35"/>
      <c r="J404" s="200"/>
      <c r="K404" s="200"/>
      <c r="L404" s="248"/>
      <c r="M404" s="200"/>
      <c r="N404" s="200"/>
      <c r="O404" s="200"/>
      <c r="Q404" s="200"/>
    </row>
    <row r="405">
      <c r="A405" s="35"/>
      <c r="B405" s="35"/>
      <c r="C405" s="35"/>
      <c r="D405" s="378"/>
      <c r="E405" s="35"/>
      <c r="F405" s="35"/>
      <c r="G405" s="35"/>
      <c r="H405" s="35"/>
      <c r="J405" s="200"/>
      <c r="K405" s="200"/>
      <c r="L405" s="248"/>
      <c r="M405" s="200"/>
      <c r="N405" s="200"/>
      <c r="O405" s="200"/>
      <c r="Q405" s="200"/>
    </row>
    <row r="406">
      <c r="A406" s="35"/>
      <c r="B406" s="35"/>
      <c r="C406" s="35"/>
      <c r="D406" s="378"/>
      <c r="E406" s="35"/>
      <c r="F406" s="35"/>
      <c r="G406" s="35"/>
      <c r="H406" s="35"/>
      <c r="J406" s="200"/>
      <c r="K406" s="200"/>
      <c r="L406" s="248"/>
      <c r="M406" s="200"/>
      <c r="N406" s="200"/>
      <c r="O406" s="200"/>
      <c r="Q406" s="200"/>
    </row>
    <row r="407">
      <c r="A407" s="35"/>
      <c r="B407" s="35"/>
      <c r="C407" s="35"/>
      <c r="D407" s="378"/>
      <c r="E407" s="35"/>
      <c r="F407" s="35"/>
      <c r="G407" s="35"/>
      <c r="H407" s="35"/>
      <c r="J407" s="200"/>
      <c r="K407" s="200"/>
      <c r="L407" s="248"/>
      <c r="M407" s="200"/>
      <c r="N407" s="200"/>
      <c r="O407" s="200"/>
      <c r="Q407" s="200"/>
    </row>
    <row r="408">
      <c r="A408" s="35"/>
      <c r="B408" s="35"/>
      <c r="C408" s="35"/>
      <c r="D408" s="378"/>
      <c r="E408" s="35"/>
      <c r="F408" s="35"/>
      <c r="G408" s="35"/>
      <c r="H408" s="35"/>
      <c r="J408" s="200"/>
      <c r="K408" s="200"/>
      <c r="L408" s="248"/>
      <c r="M408" s="200"/>
      <c r="N408" s="200"/>
      <c r="O408" s="200"/>
      <c r="Q408" s="200"/>
    </row>
    <row r="409">
      <c r="A409" s="35"/>
      <c r="B409" s="35"/>
      <c r="C409" s="35"/>
      <c r="D409" s="378"/>
      <c r="E409" s="35"/>
      <c r="F409" s="35"/>
      <c r="G409" s="35"/>
      <c r="H409" s="35"/>
      <c r="J409" s="200"/>
      <c r="K409" s="200"/>
      <c r="L409" s="248"/>
      <c r="M409" s="200"/>
      <c r="N409" s="200"/>
      <c r="O409" s="200"/>
      <c r="Q409" s="200"/>
    </row>
    <row r="410">
      <c r="A410" s="35"/>
      <c r="B410" s="35"/>
      <c r="C410" s="35"/>
      <c r="D410" s="378"/>
      <c r="E410" s="35"/>
      <c r="F410" s="35"/>
      <c r="G410" s="35"/>
      <c r="H410" s="35"/>
      <c r="J410" s="200"/>
      <c r="K410" s="200"/>
      <c r="L410" s="248"/>
      <c r="M410" s="200"/>
      <c r="N410" s="200"/>
      <c r="O410" s="200"/>
      <c r="Q410" s="200"/>
    </row>
    <row r="411">
      <c r="A411" s="35"/>
      <c r="B411" s="35"/>
      <c r="C411" s="35"/>
      <c r="D411" s="378"/>
      <c r="E411" s="35"/>
      <c r="F411" s="35"/>
      <c r="G411" s="35"/>
      <c r="H411" s="35"/>
      <c r="J411" s="200"/>
      <c r="K411" s="200"/>
      <c r="L411" s="248"/>
      <c r="M411" s="200"/>
      <c r="N411" s="200"/>
      <c r="O411" s="200"/>
      <c r="Q411" s="200"/>
    </row>
    <row r="412">
      <c r="A412" s="35"/>
      <c r="B412" s="35"/>
      <c r="C412" s="35"/>
      <c r="D412" s="378"/>
      <c r="E412" s="35"/>
      <c r="F412" s="35"/>
      <c r="G412" s="35"/>
      <c r="H412" s="35"/>
      <c r="J412" s="200"/>
      <c r="K412" s="200"/>
      <c r="L412" s="248"/>
      <c r="M412" s="200"/>
      <c r="N412" s="200"/>
      <c r="O412" s="200"/>
      <c r="Q412" s="200"/>
    </row>
    <row r="413">
      <c r="A413" s="35"/>
      <c r="B413" s="35"/>
      <c r="C413" s="35"/>
      <c r="D413" s="378"/>
      <c r="E413" s="35"/>
      <c r="F413" s="35"/>
      <c r="G413" s="35"/>
      <c r="H413" s="35"/>
      <c r="J413" s="200"/>
      <c r="K413" s="200"/>
      <c r="L413" s="248"/>
      <c r="M413" s="200"/>
      <c r="N413" s="200"/>
      <c r="O413" s="200"/>
      <c r="Q413" s="200"/>
    </row>
    <row r="414">
      <c r="A414" s="35"/>
      <c r="B414" s="35"/>
      <c r="C414" s="35"/>
      <c r="D414" s="378"/>
      <c r="E414" s="35"/>
      <c r="F414" s="35"/>
      <c r="G414" s="35"/>
      <c r="H414" s="35"/>
      <c r="J414" s="200"/>
      <c r="K414" s="200"/>
      <c r="L414" s="248"/>
      <c r="M414" s="200"/>
      <c r="N414" s="200"/>
      <c r="O414" s="200"/>
      <c r="Q414" s="200"/>
    </row>
    <row r="415">
      <c r="A415" s="35"/>
      <c r="B415" s="35"/>
      <c r="C415" s="35"/>
      <c r="D415" s="378"/>
      <c r="E415" s="35"/>
      <c r="F415" s="35"/>
      <c r="G415" s="35"/>
      <c r="H415" s="35"/>
      <c r="J415" s="200"/>
      <c r="K415" s="200"/>
      <c r="L415" s="248"/>
      <c r="M415" s="200"/>
      <c r="N415" s="200"/>
      <c r="O415" s="200"/>
      <c r="Q415" s="200"/>
    </row>
    <row r="416">
      <c r="A416" s="35"/>
      <c r="B416" s="35"/>
      <c r="C416" s="35"/>
      <c r="D416" s="378"/>
      <c r="E416" s="35"/>
      <c r="F416" s="35"/>
      <c r="G416" s="35"/>
      <c r="H416" s="35"/>
      <c r="J416" s="200"/>
      <c r="K416" s="200"/>
      <c r="L416" s="248"/>
      <c r="M416" s="200"/>
      <c r="N416" s="200"/>
      <c r="O416" s="200"/>
      <c r="Q416" s="200"/>
    </row>
    <row r="417">
      <c r="A417" s="35"/>
      <c r="B417" s="35"/>
      <c r="C417" s="35"/>
      <c r="D417" s="378"/>
      <c r="E417" s="35"/>
      <c r="F417" s="35"/>
      <c r="G417" s="35"/>
      <c r="H417" s="35"/>
      <c r="J417" s="200"/>
      <c r="K417" s="200"/>
      <c r="L417" s="248"/>
      <c r="M417" s="200"/>
      <c r="N417" s="200"/>
      <c r="O417" s="200"/>
      <c r="Q417" s="200"/>
    </row>
    <row r="418">
      <c r="A418" s="35"/>
      <c r="B418" s="35"/>
      <c r="C418" s="35"/>
      <c r="D418" s="378"/>
      <c r="E418" s="35"/>
      <c r="F418" s="35"/>
      <c r="G418" s="35"/>
      <c r="H418" s="35"/>
      <c r="J418" s="200"/>
      <c r="K418" s="200"/>
      <c r="L418" s="248"/>
      <c r="M418" s="200"/>
      <c r="N418" s="200"/>
      <c r="O418" s="200"/>
      <c r="Q418" s="200"/>
    </row>
    <row r="419">
      <c r="A419" s="35"/>
      <c r="B419" s="35"/>
      <c r="C419" s="35"/>
      <c r="D419" s="378"/>
      <c r="E419" s="35"/>
      <c r="F419" s="35"/>
      <c r="G419" s="35"/>
      <c r="H419" s="35"/>
      <c r="J419" s="200"/>
      <c r="K419" s="200"/>
      <c r="L419" s="248"/>
      <c r="M419" s="200"/>
      <c r="N419" s="200"/>
      <c r="O419" s="200"/>
      <c r="Q419" s="200"/>
    </row>
    <row r="420">
      <c r="A420" s="35"/>
      <c r="B420" s="35"/>
      <c r="C420" s="35"/>
      <c r="D420" s="378"/>
      <c r="E420" s="35"/>
      <c r="F420" s="35"/>
      <c r="G420" s="35"/>
      <c r="H420" s="35"/>
      <c r="J420" s="200"/>
      <c r="K420" s="200"/>
      <c r="L420" s="248"/>
      <c r="M420" s="200"/>
      <c r="N420" s="200"/>
      <c r="O420" s="200"/>
      <c r="Q420" s="200"/>
    </row>
    <row r="421">
      <c r="A421" s="35"/>
      <c r="B421" s="35"/>
      <c r="C421" s="35"/>
      <c r="D421" s="378"/>
      <c r="E421" s="35"/>
      <c r="F421" s="35"/>
      <c r="G421" s="35"/>
      <c r="H421" s="35"/>
      <c r="J421" s="200"/>
      <c r="K421" s="200"/>
      <c r="L421" s="248"/>
      <c r="M421" s="200"/>
      <c r="N421" s="200"/>
      <c r="O421" s="200"/>
      <c r="Q421" s="200"/>
    </row>
    <row r="422">
      <c r="A422" s="35"/>
      <c r="B422" s="35"/>
      <c r="C422" s="35"/>
      <c r="D422" s="378"/>
      <c r="E422" s="35"/>
      <c r="F422" s="35"/>
      <c r="G422" s="35"/>
      <c r="H422" s="35"/>
      <c r="J422" s="200"/>
      <c r="K422" s="200"/>
      <c r="L422" s="248"/>
      <c r="M422" s="200"/>
      <c r="N422" s="200"/>
      <c r="O422" s="200"/>
      <c r="Q422" s="200"/>
    </row>
    <row r="423">
      <c r="A423" s="35"/>
      <c r="B423" s="35"/>
      <c r="C423" s="35"/>
      <c r="D423" s="378"/>
      <c r="E423" s="35"/>
      <c r="F423" s="35"/>
      <c r="G423" s="35"/>
      <c r="H423" s="35"/>
      <c r="J423" s="200"/>
      <c r="K423" s="200"/>
      <c r="L423" s="248"/>
      <c r="M423" s="200"/>
      <c r="N423" s="200"/>
      <c r="O423" s="200"/>
      <c r="Q423" s="200"/>
    </row>
    <row r="424">
      <c r="A424" s="35"/>
      <c r="B424" s="35"/>
      <c r="C424" s="35"/>
      <c r="D424" s="378"/>
      <c r="E424" s="35"/>
      <c r="F424" s="35"/>
      <c r="G424" s="35"/>
      <c r="H424" s="35"/>
      <c r="J424" s="200"/>
      <c r="K424" s="200"/>
      <c r="L424" s="248"/>
      <c r="M424" s="200"/>
      <c r="N424" s="200"/>
      <c r="O424" s="200"/>
      <c r="Q424" s="200"/>
    </row>
    <row r="425">
      <c r="A425" s="35"/>
      <c r="B425" s="35"/>
      <c r="C425" s="35"/>
      <c r="D425" s="378"/>
      <c r="E425" s="35"/>
      <c r="F425" s="35"/>
      <c r="G425" s="35"/>
      <c r="H425" s="35"/>
      <c r="J425" s="200"/>
      <c r="K425" s="200"/>
      <c r="L425" s="248"/>
      <c r="M425" s="200"/>
      <c r="N425" s="200"/>
      <c r="O425" s="200"/>
      <c r="Q425" s="200"/>
    </row>
    <row r="426">
      <c r="A426" s="35"/>
      <c r="B426" s="35"/>
      <c r="C426" s="35"/>
      <c r="D426" s="378"/>
      <c r="E426" s="35"/>
      <c r="F426" s="35"/>
      <c r="G426" s="35"/>
      <c r="H426" s="35"/>
      <c r="J426" s="200"/>
      <c r="K426" s="200"/>
      <c r="L426" s="248"/>
      <c r="M426" s="200"/>
      <c r="N426" s="200"/>
      <c r="O426" s="200"/>
      <c r="Q426" s="200"/>
    </row>
    <row r="427">
      <c r="A427" s="35"/>
      <c r="B427" s="35"/>
      <c r="C427" s="35"/>
      <c r="D427" s="378"/>
      <c r="E427" s="35"/>
      <c r="F427" s="35"/>
      <c r="G427" s="35"/>
      <c r="H427" s="35"/>
      <c r="J427" s="200"/>
      <c r="K427" s="200"/>
      <c r="L427" s="248"/>
      <c r="M427" s="200"/>
      <c r="N427" s="200"/>
      <c r="O427" s="200"/>
      <c r="Q427" s="200"/>
    </row>
    <row r="428">
      <c r="A428" s="35"/>
      <c r="B428" s="35"/>
      <c r="C428" s="35"/>
      <c r="D428" s="378"/>
      <c r="E428" s="35"/>
      <c r="F428" s="35"/>
      <c r="G428" s="35"/>
      <c r="H428" s="35"/>
      <c r="J428" s="200"/>
      <c r="K428" s="200"/>
      <c r="L428" s="248"/>
      <c r="M428" s="200"/>
      <c r="N428" s="200"/>
      <c r="O428" s="200"/>
      <c r="Q428" s="200"/>
    </row>
    <row r="429">
      <c r="A429" s="35"/>
      <c r="B429" s="35"/>
      <c r="C429" s="35"/>
      <c r="D429" s="378"/>
      <c r="E429" s="35"/>
      <c r="F429" s="35"/>
      <c r="G429" s="35"/>
      <c r="H429" s="35"/>
      <c r="J429" s="200"/>
      <c r="K429" s="200"/>
      <c r="L429" s="248"/>
      <c r="M429" s="200"/>
      <c r="N429" s="200"/>
      <c r="O429" s="200"/>
      <c r="Q429" s="200"/>
    </row>
    <row r="430">
      <c r="A430" s="35"/>
      <c r="B430" s="35"/>
      <c r="C430" s="35"/>
      <c r="D430" s="378"/>
      <c r="E430" s="35"/>
      <c r="F430" s="35"/>
      <c r="G430" s="35"/>
      <c r="H430" s="35"/>
      <c r="J430" s="200"/>
      <c r="K430" s="200"/>
      <c r="L430" s="248"/>
      <c r="M430" s="200"/>
      <c r="N430" s="200"/>
      <c r="O430" s="200"/>
      <c r="Q430" s="200"/>
    </row>
    <row r="431">
      <c r="A431" s="35"/>
      <c r="B431" s="35"/>
      <c r="C431" s="35"/>
      <c r="D431" s="378"/>
      <c r="E431" s="35"/>
      <c r="F431" s="35"/>
      <c r="G431" s="35"/>
      <c r="H431" s="35"/>
      <c r="J431" s="200"/>
      <c r="K431" s="200"/>
      <c r="L431" s="248"/>
      <c r="M431" s="200"/>
      <c r="N431" s="200"/>
      <c r="O431" s="200"/>
      <c r="Q431" s="200"/>
    </row>
    <row r="432">
      <c r="A432" s="35"/>
      <c r="B432" s="35"/>
      <c r="C432" s="35"/>
      <c r="D432" s="378"/>
      <c r="E432" s="35"/>
      <c r="F432" s="35"/>
      <c r="G432" s="35"/>
      <c r="H432" s="35"/>
      <c r="J432" s="200"/>
      <c r="K432" s="200"/>
      <c r="L432" s="248"/>
      <c r="M432" s="200"/>
      <c r="N432" s="200"/>
      <c r="O432" s="200"/>
      <c r="Q432" s="200"/>
    </row>
    <row r="433">
      <c r="A433" s="35"/>
      <c r="B433" s="35"/>
      <c r="C433" s="35"/>
      <c r="D433" s="378"/>
      <c r="E433" s="35"/>
      <c r="F433" s="35"/>
      <c r="G433" s="35"/>
      <c r="H433" s="35"/>
      <c r="J433" s="200"/>
      <c r="K433" s="200"/>
      <c r="L433" s="248"/>
      <c r="M433" s="200"/>
      <c r="N433" s="200"/>
      <c r="O433" s="200"/>
      <c r="Q433" s="200"/>
    </row>
    <row r="434">
      <c r="A434" s="35"/>
      <c r="B434" s="35"/>
      <c r="C434" s="35"/>
      <c r="D434" s="378"/>
      <c r="E434" s="35"/>
      <c r="F434" s="35"/>
      <c r="G434" s="35"/>
      <c r="H434" s="35"/>
      <c r="J434" s="200"/>
      <c r="K434" s="200"/>
      <c r="L434" s="248"/>
      <c r="M434" s="200"/>
      <c r="N434" s="200"/>
      <c r="O434" s="200"/>
      <c r="Q434" s="200"/>
    </row>
    <row r="435">
      <c r="A435" s="35"/>
      <c r="B435" s="35"/>
      <c r="C435" s="35"/>
      <c r="D435" s="378"/>
      <c r="E435" s="35"/>
      <c r="F435" s="35"/>
      <c r="G435" s="35"/>
      <c r="H435" s="35"/>
      <c r="J435" s="200"/>
      <c r="K435" s="200"/>
      <c r="L435" s="248"/>
      <c r="M435" s="200"/>
      <c r="N435" s="200"/>
      <c r="O435" s="200"/>
      <c r="Q435" s="200"/>
    </row>
    <row r="436">
      <c r="A436" s="35"/>
      <c r="B436" s="35"/>
      <c r="C436" s="35"/>
      <c r="D436" s="378"/>
      <c r="E436" s="35"/>
      <c r="F436" s="35"/>
      <c r="G436" s="35"/>
      <c r="H436" s="35"/>
      <c r="J436" s="200"/>
      <c r="K436" s="200"/>
      <c r="L436" s="248"/>
      <c r="M436" s="200"/>
      <c r="N436" s="200"/>
      <c r="O436" s="200"/>
      <c r="Q436" s="200"/>
    </row>
    <row r="437">
      <c r="A437" s="35"/>
      <c r="B437" s="35"/>
      <c r="C437" s="35"/>
      <c r="D437" s="378"/>
      <c r="E437" s="35"/>
      <c r="F437" s="35"/>
      <c r="G437" s="35"/>
      <c r="H437" s="35"/>
      <c r="J437" s="200"/>
      <c r="K437" s="200"/>
      <c r="L437" s="248"/>
      <c r="M437" s="200"/>
      <c r="N437" s="200"/>
      <c r="O437" s="200"/>
      <c r="Q437" s="200"/>
    </row>
    <row r="438">
      <c r="A438" s="35"/>
      <c r="B438" s="35"/>
      <c r="C438" s="35"/>
      <c r="D438" s="378"/>
      <c r="E438" s="35"/>
      <c r="F438" s="35"/>
      <c r="G438" s="35"/>
      <c r="H438" s="35"/>
      <c r="J438" s="200"/>
      <c r="K438" s="200"/>
      <c r="L438" s="248"/>
      <c r="M438" s="200"/>
      <c r="N438" s="200"/>
      <c r="O438" s="200"/>
      <c r="Q438" s="200"/>
    </row>
    <row r="439">
      <c r="A439" s="35"/>
      <c r="B439" s="35"/>
      <c r="C439" s="35"/>
      <c r="D439" s="378"/>
      <c r="E439" s="35"/>
      <c r="F439" s="35"/>
      <c r="G439" s="35"/>
      <c r="H439" s="35"/>
      <c r="J439" s="200"/>
      <c r="K439" s="200"/>
      <c r="L439" s="248"/>
      <c r="M439" s="200"/>
      <c r="N439" s="200"/>
      <c r="O439" s="200"/>
      <c r="Q439" s="200"/>
    </row>
    <row r="440">
      <c r="A440" s="35"/>
      <c r="B440" s="35"/>
      <c r="C440" s="35"/>
      <c r="D440" s="378"/>
      <c r="E440" s="35"/>
      <c r="F440" s="35"/>
      <c r="G440" s="35"/>
      <c r="H440" s="35"/>
      <c r="J440" s="200"/>
      <c r="K440" s="200"/>
      <c r="L440" s="248"/>
      <c r="M440" s="200"/>
      <c r="N440" s="200"/>
      <c r="O440" s="200"/>
      <c r="Q440" s="200"/>
    </row>
    <row r="441">
      <c r="A441" s="35"/>
      <c r="B441" s="35"/>
      <c r="C441" s="35"/>
      <c r="D441" s="378"/>
      <c r="E441" s="35"/>
      <c r="F441" s="35"/>
      <c r="G441" s="35"/>
      <c r="H441" s="35"/>
      <c r="J441" s="200"/>
      <c r="K441" s="200"/>
      <c r="L441" s="248"/>
      <c r="M441" s="200"/>
      <c r="N441" s="200"/>
      <c r="O441" s="200"/>
      <c r="Q441" s="200"/>
    </row>
    <row r="442">
      <c r="A442" s="35"/>
      <c r="B442" s="35"/>
      <c r="C442" s="35"/>
      <c r="D442" s="378"/>
      <c r="E442" s="35"/>
      <c r="F442" s="35"/>
      <c r="G442" s="35"/>
      <c r="H442" s="35"/>
      <c r="J442" s="200"/>
      <c r="K442" s="200"/>
      <c r="L442" s="248"/>
      <c r="M442" s="200"/>
      <c r="N442" s="200"/>
      <c r="O442" s="200"/>
      <c r="Q442" s="200"/>
    </row>
    <row r="443">
      <c r="A443" s="35"/>
      <c r="B443" s="35"/>
      <c r="C443" s="35"/>
      <c r="D443" s="378"/>
      <c r="E443" s="35"/>
      <c r="F443" s="35"/>
      <c r="G443" s="35"/>
      <c r="H443" s="35"/>
      <c r="J443" s="200"/>
      <c r="K443" s="200"/>
      <c r="L443" s="248"/>
      <c r="M443" s="200"/>
      <c r="N443" s="200"/>
      <c r="O443" s="200"/>
      <c r="Q443" s="200"/>
    </row>
    <row r="444">
      <c r="A444" s="35"/>
      <c r="B444" s="35"/>
      <c r="C444" s="35"/>
      <c r="D444" s="378"/>
      <c r="E444" s="35"/>
      <c r="F444" s="35"/>
      <c r="G444" s="35"/>
      <c r="H444" s="35"/>
      <c r="J444" s="200"/>
      <c r="K444" s="200"/>
      <c r="L444" s="248"/>
      <c r="M444" s="200"/>
      <c r="N444" s="200"/>
      <c r="O444" s="200"/>
      <c r="Q444" s="200"/>
    </row>
    <row r="445">
      <c r="A445" s="35"/>
      <c r="B445" s="35"/>
      <c r="C445" s="35"/>
      <c r="D445" s="378"/>
      <c r="E445" s="35"/>
      <c r="F445" s="35"/>
      <c r="G445" s="35"/>
      <c r="H445" s="35"/>
      <c r="J445" s="200"/>
      <c r="K445" s="200"/>
      <c r="L445" s="248"/>
      <c r="M445" s="200"/>
      <c r="N445" s="200"/>
      <c r="O445" s="200"/>
      <c r="Q445" s="200"/>
    </row>
    <row r="446">
      <c r="A446" s="35"/>
      <c r="B446" s="35"/>
      <c r="C446" s="35"/>
      <c r="D446" s="378"/>
      <c r="E446" s="35"/>
      <c r="F446" s="35"/>
      <c r="G446" s="35"/>
      <c r="H446" s="35"/>
      <c r="J446" s="200"/>
      <c r="K446" s="200"/>
      <c r="L446" s="248"/>
      <c r="M446" s="200"/>
      <c r="N446" s="200"/>
      <c r="O446" s="200"/>
      <c r="Q446" s="200"/>
    </row>
    <row r="447">
      <c r="A447" s="35"/>
      <c r="B447" s="35"/>
      <c r="C447" s="35"/>
      <c r="D447" s="378"/>
      <c r="E447" s="35"/>
      <c r="F447" s="35"/>
      <c r="G447" s="35"/>
      <c r="H447" s="35"/>
      <c r="J447" s="200"/>
      <c r="K447" s="200"/>
      <c r="L447" s="248"/>
      <c r="M447" s="200"/>
      <c r="N447" s="200"/>
      <c r="O447" s="200"/>
      <c r="Q447" s="200"/>
    </row>
    <row r="448">
      <c r="A448" s="35"/>
      <c r="B448" s="35"/>
      <c r="C448" s="35"/>
      <c r="D448" s="378"/>
      <c r="E448" s="35"/>
      <c r="F448" s="35"/>
      <c r="G448" s="35"/>
      <c r="H448" s="35"/>
      <c r="J448" s="200"/>
      <c r="K448" s="200"/>
      <c r="L448" s="248"/>
      <c r="M448" s="200"/>
      <c r="N448" s="200"/>
      <c r="O448" s="200"/>
      <c r="Q448" s="200"/>
    </row>
    <row r="449">
      <c r="A449" s="35"/>
      <c r="B449" s="35"/>
      <c r="C449" s="35"/>
      <c r="D449" s="378"/>
      <c r="E449" s="35"/>
      <c r="F449" s="35"/>
      <c r="G449" s="35"/>
      <c r="H449" s="35"/>
      <c r="J449" s="200"/>
      <c r="K449" s="200"/>
      <c r="L449" s="248"/>
      <c r="M449" s="200"/>
      <c r="N449" s="200"/>
      <c r="O449" s="200"/>
      <c r="Q449" s="200"/>
    </row>
    <row r="450">
      <c r="A450" s="35"/>
      <c r="B450" s="35"/>
      <c r="C450" s="35"/>
      <c r="D450" s="378"/>
      <c r="E450" s="35"/>
      <c r="F450" s="35"/>
      <c r="G450" s="35"/>
      <c r="H450" s="35"/>
      <c r="J450" s="200"/>
      <c r="K450" s="200"/>
      <c r="L450" s="248"/>
      <c r="M450" s="200"/>
      <c r="N450" s="200"/>
      <c r="O450" s="200"/>
      <c r="Q450" s="200"/>
    </row>
    <row r="451">
      <c r="A451" s="35"/>
      <c r="B451" s="35"/>
      <c r="C451" s="35"/>
      <c r="D451" s="378"/>
      <c r="E451" s="35"/>
      <c r="F451" s="35"/>
      <c r="G451" s="35"/>
      <c r="H451" s="35"/>
      <c r="J451" s="200"/>
      <c r="K451" s="200"/>
      <c r="L451" s="248"/>
      <c r="M451" s="200"/>
      <c r="N451" s="200"/>
      <c r="O451" s="200"/>
      <c r="Q451" s="200"/>
    </row>
    <row r="452">
      <c r="A452" s="35"/>
      <c r="B452" s="35"/>
      <c r="C452" s="35"/>
      <c r="D452" s="378"/>
      <c r="E452" s="35"/>
      <c r="F452" s="35"/>
      <c r="G452" s="35"/>
      <c r="H452" s="35"/>
      <c r="J452" s="200"/>
      <c r="K452" s="200"/>
      <c r="L452" s="248"/>
      <c r="M452" s="200"/>
      <c r="N452" s="200"/>
      <c r="O452" s="200"/>
      <c r="Q452" s="200"/>
    </row>
    <row r="453">
      <c r="A453" s="35"/>
      <c r="B453" s="35"/>
      <c r="C453" s="35"/>
      <c r="D453" s="378"/>
      <c r="E453" s="35"/>
      <c r="F453" s="35"/>
      <c r="G453" s="35"/>
      <c r="H453" s="35"/>
      <c r="J453" s="200"/>
      <c r="K453" s="200"/>
      <c r="L453" s="248"/>
      <c r="M453" s="200"/>
      <c r="N453" s="200"/>
      <c r="O453" s="200"/>
      <c r="Q453" s="200"/>
    </row>
    <row r="454">
      <c r="A454" s="35"/>
      <c r="B454" s="35"/>
      <c r="C454" s="35"/>
      <c r="D454" s="378"/>
      <c r="E454" s="35"/>
      <c r="F454" s="35"/>
      <c r="G454" s="35"/>
      <c r="H454" s="35"/>
      <c r="J454" s="200"/>
      <c r="K454" s="200"/>
      <c r="L454" s="248"/>
      <c r="M454" s="200"/>
      <c r="N454" s="200"/>
      <c r="O454" s="200"/>
      <c r="Q454" s="200"/>
    </row>
    <row r="455">
      <c r="A455" s="35"/>
      <c r="B455" s="35"/>
      <c r="C455" s="35"/>
      <c r="D455" s="378"/>
      <c r="E455" s="35"/>
      <c r="F455" s="35"/>
      <c r="G455" s="35"/>
      <c r="H455" s="35"/>
      <c r="J455" s="200"/>
      <c r="K455" s="200"/>
      <c r="L455" s="248"/>
      <c r="M455" s="200"/>
      <c r="N455" s="200"/>
      <c r="O455" s="200"/>
      <c r="Q455" s="200"/>
    </row>
    <row r="456">
      <c r="A456" s="35"/>
      <c r="B456" s="35"/>
      <c r="C456" s="35"/>
      <c r="D456" s="378"/>
      <c r="E456" s="35"/>
      <c r="F456" s="35"/>
      <c r="G456" s="35"/>
      <c r="H456" s="35"/>
      <c r="J456" s="200"/>
      <c r="K456" s="200"/>
      <c r="L456" s="248"/>
      <c r="M456" s="200"/>
      <c r="N456" s="200"/>
      <c r="O456" s="200"/>
      <c r="Q456" s="200"/>
    </row>
    <row r="457">
      <c r="A457" s="35"/>
      <c r="B457" s="35"/>
      <c r="C457" s="35"/>
      <c r="D457" s="378"/>
      <c r="E457" s="35"/>
      <c r="F457" s="35"/>
      <c r="G457" s="35"/>
      <c r="H457" s="35"/>
      <c r="J457" s="200"/>
      <c r="K457" s="200"/>
      <c r="L457" s="248"/>
      <c r="M457" s="200"/>
      <c r="N457" s="200"/>
      <c r="O457" s="200"/>
      <c r="Q457" s="200"/>
    </row>
    <row r="458">
      <c r="A458" s="35"/>
      <c r="B458" s="35"/>
      <c r="C458" s="35"/>
      <c r="D458" s="378"/>
      <c r="E458" s="35"/>
      <c r="F458" s="35"/>
      <c r="G458" s="35"/>
      <c r="H458" s="35"/>
      <c r="J458" s="200"/>
      <c r="K458" s="200"/>
      <c r="L458" s="248"/>
      <c r="M458" s="200"/>
      <c r="N458" s="200"/>
      <c r="O458" s="200"/>
      <c r="Q458" s="200"/>
    </row>
    <row r="459">
      <c r="A459" s="35"/>
      <c r="B459" s="35"/>
      <c r="C459" s="35"/>
      <c r="D459" s="378"/>
      <c r="E459" s="35"/>
      <c r="F459" s="35"/>
      <c r="G459" s="35"/>
      <c r="H459" s="35"/>
      <c r="J459" s="200"/>
      <c r="K459" s="200"/>
      <c r="L459" s="248"/>
      <c r="M459" s="200"/>
      <c r="N459" s="200"/>
      <c r="O459" s="200"/>
      <c r="Q459" s="200"/>
    </row>
    <row r="460">
      <c r="A460" s="35"/>
      <c r="B460" s="35"/>
      <c r="C460" s="35"/>
      <c r="D460" s="378"/>
      <c r="E460" s="35"/>
      <c r="F460" s="35"/>
      <c r="G460" s="35"/>
      <c r="H460" s="35"/>
      <c r="J460" s="200"/>
      <c r="K460" s="200"/>
      <c r="L460" s="248"/>
      <c r="M460" s="200"/>
      <c r="N460" s="200"/>
      <c r="O460" s="200"/>
      <c r="Q460" s="200"/>
    </row>
    <row r="461">
      <c r="A461" s="35"/>
      <c r="B461" s="35"/>
      <c r="C461" s="35"/>
      <c r="D461" s="378"/>
      <c r="E461" s="35"/>
      <c r="F461" s="35"/>
      <c r="G461" s="35"/>
      <c r="H461" s="35"/>
      <c r="J461" s="200"/>
      <c r="K461" s="200"/>
      <c r="L461" s="248"/>
      <c r="M461" s="200"/>
      <c r="N461" s="200"/>
      <c r="O461" s="200"/>
      <c r="Q461" s="200"/>
    </row>
    <row r="462">
      <c r="A462" s="35"/>
      <c r="B462" s="35"/>
      <c r="C462" s="35"/>
      <c r="D462" s="378"/>
      <c r="E462" s="35"/>
      <c r="F462" s="35"/>
      <c r="G462" s="35"/>
      <c r="H462" s="35"/>
      <c r="J462" s="200"/>
      <c r="K462" s="200"/>
      <c r="L462" s="248"/>
      <c r="M462" s="200"/>
      <c r="N462" s="200"/>
      <c r="O462" s="200"/>
      <c r="Q462" s="200"/>
    </row>
    <row r="463">
      <c r="A463" s="35"/>
      <c r="B463" s="35"/>
      <c r="C463" s="35"/>
      <c r="D463" s="378"/>
      <c r="E463" s="35"/>
      <c r="F463" s="35"/>
      <c r="G463" s="35"/>
      <c r="H463" s="35"/>
      <c r="J463" s="200"/>
      <c r="K463" s="200"/>
      <c r="L463" s="248"/>
      <c r="M463" s="200"/>
      <c r="N463" s="200"/>
      <c r="O463" s="200"/>
      <c r="Q463" s="200"/>
    </row>
    <row r="464">
      <c r="A464" s="35"/>
      <c r="B464" s="35"/>
      <c r="C464" s="35"/>
      <c r="D464" s="378"/>
      <c r="E464" s="35"/>
      <c r="F464" s="35"/>
      <c r="G464" s="35"/>
      <c r="H464" s="35"/>
      <c r="J464" s="200"/>
      <c r="K464" s="200"/>
      <c r="L464" s="248"/>
      <c r="M464" s="200"/>
      <c r="N464" s="200"/>
      <c r="O464" s="200"/>
      <c r="Q464" s="200"/>
    </row>
    <row r="465">
      <c r="A465" s="35"/>
      <c r="B465" s="35"/>
      <c r="C465" s="35"/>
      <c r="D465" s="378"/>
      <c r="E465" s="35"/>
      <c r="F465" s="35"/>
      <c r="G465" s="35"/>
      <c r="H465" s="35"/>
      <c r="J465" s="200"/>
      <c r="K465" s="200"/>
      <c r="L465" s="248"/>
      <c r="M465" s="200"/>
      <c r="N465" s="200"/>
      <c r="O465" s="200"/>
      <c r="Q465" s="200"/>
    </row>
    <row r="466">
      <c r="A466" s="35"/>
      <c r="B466" s="35"/>
      <c r="C466" s="35"/>
      <c r="D466" s="378"/>
      <c r="E466" s="35"/>
      <c r="F466" s="35"/>
      <c r="G466" s="35"/>
      <c r="H466" s="35"/>
      <c r="J466" s="200"/>
      <c r="K466" s="200"/>
      <c r="L466" s="248"/>
      <c r="M466" s="200"/>
      <c r="N466" s="200"/>
      <c r="O466" s="200"/>
      <c r="Q466" s="200"/>
    </row>
    <row r="467">
      <c r="A467" s="35"/>
      <c r="B467" s="35"/>
      <c r="C467" s="35"/>
      <c r="D467" s="378"/>
      <c r="E467" s="35"/>
      <c r="F467" s="35"/>
      <c r="G467" s="35"/>
      <c r="H467" s="35"/>
      <c r="J467" s="200"/>
      <c r="K467" s="200"/>
      <c r="L467" s="248"/>
      <c r="M467" s="200"/>
      <c r="N467" s="200"/>
      <c r="O467" s="200"/>
      <c r="Q467" s="200"/>
    </row>
    <row r="468">
      <c r="A468" s="35"/>
      <c r="B468" s="35"/>
      <c r="C468" s="35"/>
      <c r="D468" s="378"/>
      <c r="E468" s="35"/>
      <c r="F468" s="35"/>
      <c r="G468" s="35"/>
      <c r="H468" s="35"/>
      <c r="J468" s="200"/>
      <c r="K468" s="200"/>
      <c r="L468" s="248"/>
      <c r="M468" s="200"/>
      <c r="N468" s="200"/>
      <c r="O468" s="200"/>
      <c r="Q468" s="200"/>
    </row>
    <row r="469">
      <c r="A469" s="35"/>
      <c r="B469" s="35"/>
      <c r="C469" s="35"/>
      <c r="D469" s="378"/>
      <c r="E469" s="35"/>
      <c r="F469" s="35"/>
      <c r="G469" s="35"/>
      <c r="H469" s="35"/>
      <c r="J469" s="200"/>
      <c r="K469" s="200"/>
      <c r="L469" s="248"/>
      <c r="M469" s="200"/>
      <c r="N469" s="200"/>
      <c r="O469" s="200"/>
      <c r="Q469" s="200"/>
    </row>
    <row r="470">
      <c r="A470" s="35"/>
      <c r="B470" s="35"/>
      <c r="C470" s="35"/>
      <c r="D470" s="378"/>
      <c r="E470" s="35"/>
      <c r="F470" s="35"/>
      <c r="G470" s="35"/>
      <c r="H470" s="35"/>
      <c r="J470" s="200"/>
      <c r="K470" s="200"/>
      <c r="L470" s="248"/>
      <c r="M470" s="200"/>
      <c r="N470" s="200"/>
      <c r="O470" s="200"/>
      <c r="Q470" s="200"/>
    </row>
    <row r="471">
      <c r="A471" s="35"/>
      <c r="B471" s="35"/>
      <c r="C471" s="35"/>
      <c r="D471" s="378"/>
      <c r="E471" s="35"/>
      <c r="F471" s="35"/>
      <c r="G471" s="35"/>
      <c r="H471" s="35"/>
      <c r="J471" s="200"/>
      <c r="K471" s="200"/>
      <c r="L471" s="248"/>
      <c r="M471" s="200"/>
      <c r="N471" s="200"/>
      <c r="O471" s="200"/>
      <c r="Q471" s="200"/>
    </row>
    <row r="472">
      <c r="A472" s="35"/>
      <c r="B472" s="35"/>
      <c r="C472" s="35"/>
      <c r="D472" s="378"/>
      <c r="E472" s="35"/>
      <c r="F472" s="35"/>
      <c r="G472" s="35"/>
      <c r="H472" s="35"/>
      <c r="J472" s="200"/>
      <c r="K472" s="200"/>
      <c r="L472" s="248"/>
      <c r="M472" s="200"/>
      <c r="N472" s="200"/>
      <c r="O472" s="200"/>
      <c r="Q472" s="200"/>
    </row>
    <row r="473">
      <c r="A473" s="35"/>
      <c r="B473" s="35"/>
      <c r="C473" s="35"/>
      <c r="D473" s="378"/>
      <c r="E473" s="35"/>
      <c r="F473" s="35"/>
      <c r="G473" s="35"/>
      <c r="H473" s="35"/>
      <c r="J473" s="200"/>
      <c r="K473" s="200"/>
      <c r="L473" s="248"/>
      <c r="M473" s="200"/>
      <c r="N473" s="200"/>
      <c r="O473" s="200"/>
      <c r="Q473" s="200"/>
    </row>
    <row r="474">
      <c r="A474" s="35"/>
      <c r="B474" s="35"/>
      <c r="C474" s="35"/>
      <c r="D474" s="378"/>
      <c r="E474" s="35"/>
      <c r="F474" s="35"/>
      <c r="G474" s="35"/>
      <c r="H474" s="35"/>
      <c r="J474" s="200"/>
      <c r="K474" s="200"/>
      <c r="L474" s="248"/>
      <c r="M474" s="200"/>
      <c r="N474" s="200"/>
      <c r="O474" s="200"/>
      <c r="Q474" s="200"/>
    </row>
    <row r="475">
      <c r="A475" s="35"/>
      <c r="B475" s="35"/>
      <c r="C475" s="35"/>
      <c r="D475" s="378"/>
      <c r="E475" s="35"/>
      <c r="F475" s="35"/>
      <c r="G475" s="35"/>
      <c r="H475" s="35"/>
      <c r="J475" s="200"/>
      <c r="K475" s="200"/>
      <c r="L475" s="248"/>
      <c r="M475" s="200"/>
      <c r="N475" s="200"/>
      <c r="O475" s="200"/>
      <c r="Q475" s="200"/>
    </row>
    <row r="476">
      <c r="A476" s="35"/>
      <c r="B476" s="35"/>
      <c r="C476" s="35"/>
      <c r="D476" s="378"/>
      <c r="E476" s="35"/>
      <c r="F476" s="35"/>
      <c r="G476" s="35"/>
      <c r="H476" s="35"/>
      <c r="J476" s="200"/>
      <c r="K476" s="200"/>
      <c r="L476" s="248"/>
      <c r="M476" s="200"/>
      <c r="N476" s="200"/>
      <c r="O476" s="200"/>
      <c r="Q476" s="200"/>
    </row>
    <row r="477">
      <c r="A477" s="35"/>
      <c r="B477" s="35"/>
      <c r="C477" s="35"/>
      <c r="D477" s="378"/>
      <c r="E477" s="35"/>
      <c r="F477" s="35"/>
      <c r="G477" s="35"/>
      <c r="H477" s="35"/>
      <c r="J477" s="200"/>
      <c r="K477" s="200"/>
      <c r="L477" s="248"/>
      <c r="M477" s="200"/>
      <c r="N477" s="200"/>
      <c r="O477" s="200"/>
      <c r="Q477" s="200"/>
    </row>
    <row r="478">
      <c r="A478" s="35"/>
      <c r="B478" s="35"/>
      <c r="C478" s="35"/>
      <c r="D478" s="378"/>
      <c r="E478" s="35"/>
      <c r="F478" s="35"/>
      <c r="G478" s="35"/>
      <c r="H478" s="35"/>
      <c r="J478" s="200"/>
      <c r="K478" s="200"/>
      <c r="L478" s="248"/>
      <c r="M478" s="200"/>
      <c r="N478" s="200"/>
      <c r="O478" s="200"/>
      <c r="Q478" s="200"/>
    </row>
    <row r="479">
      <c r="A479" s="35"/>
      <c r="B479" s="35"/>
      <c r="C479" s="35"/>
      <c r="D479" s="378"/>
      <c r="E479" s="35"/>
      <c r="F479" s="35"/>
      <c r="G479" s="35"/>
      <c r="H479" s="35"/>
      <c r="J479" s="200"/>
      <c r="K479" s="200"/>
      <c r="L479" s="248"/>
      <c r="M479" s="200"/>
      <c r="N479" s="200"/>
      <c r="O479" s="200"/>
      <c r="Q479" s="200"/>
    </row>
    <row r="480">
      <c r="A480" s="35"/>
      <c r="B480" s="35"/>
      <c r="C480" s="35"/>
      <c r="D480" s="378"/>
      <c r="E480" s="35"/>
      <c r="F480" s="35"/>
      <c r="G480" s="35"/>
      <c r="H480" s="35"/>
      <c r="J480" s="200"/>
      <c r="K480" s="200"/>
      <c r="L480" s="248"/>
      <c r="M480" s="200"/>
      <c r="N480" s="200"/>
      <c r="O480" s="200"/>
      <c r="Q480" s="200"/>
    </row>
    <row r="481">
      <c r="A481" s="35"/>
      <c r="B481" s="35"/>
      <c r="C481" s="35"/>
      <c r="D481" s="378"/>
      <c r="E481" s="35"/>
      <c r="F481" s="35"/>
      <c r="G481" s="35"/>
      <c r="H481" s="35"/>
      <c r="J481" s="200"/>
      <c r="K481" s="200"/>
      <c r="L481" s="248"/>
      <c r="M481" s="200"/>
      <c r="N481" s="200"/>
      <c r="O481" s="200"/>
      <c r="Q481" s="200"/>
    </row>
    <row r="482">
      <c r="A482" s="35"/>
      <c r="B482" s="35"/>
      <c r="C482" s="35"/>
      <c r="D482" s="378"/>
      <c r="E482" s="35"/>
      <c r="F482" s="35"/>
      <c r="G482" s="35"/>
      <c r="H482" s="35"/>
      <c r="J482" s="200"/>
      <c r="K482" s="200"/>
      <c r="L482" s="248"/>
      <c r="M482" s="200"/>
      <c r="N482" s="200"/>
      <c r="O482" s="200"/>
      <c r="Q482" s="200"/>
    </row>
    <row r="483">
      <c r="A483" s="35"/>
      <c r="B483" s="35"/>
      <c r="C483" s="35"/>
      <c r="D483" s="378"/>
      <c r="E483" s="35"/>
      <c r="F483" s="35"/>
      <c r="G483" s="35"/>
      <c r="H483" s="35"/>
      <c r="J483" s="200"/>
      <c r="K483" s="200"/>
      <c r="L483" s="248"/>
      <c r="M483" s="200"/>
      <c r="N483" s="200"/>
      <c r="O483" s="200"/>
      <c r="Q483" s="200"/>
    </row>
    <row r="484">
      <c r="A484" s="35"/>
      <c r="B484" s="35"/>
      <c r="C484" s="35"/>
      <c r="D484" s="378"/>
      <c r="E484" s="35"/>
      <c r="F484" s="35"/>
      <c r="G484" s="35"/>
      <c r="H484" s="35"/>
      <c r="J484" s="200"/>
      <c r="K484" s="200"/>
      <c r="L484" s="248"/>
      <c r="M484" s="200"/>
      <c r="N484" s="200"/>
      <c r="O484" s="200"/>
      <c r="Q484" s="200"/>
    </row>
    <row r="485">
      <c r="A485" s="35"/>
      <c r="B485" s="35"/>
      <c r="C485" s="35"/>
      <c r="D485" s="378"/>
      <c r="E485" s="35"/>
      <c r="F485" s="35"/>
      <c r="G485" s="35"/>
      <c r="H485" s="35"/>
      <c r="J485" s="200"/>
      <c r="K485" s="200"/>
      <c r="L485" s="248"/>
      <c r="M485" s="200"/>
      <c r="N485" s="200"/>
      <c r="O485" s="200"/>
      <c r="Q485" s="200"/>
    </row>
    <row r="486">
      <c r="A486" s="35"/>
      <c r="B486" s="35"/>
      <c r="C486" s="35"/>
      <c r="D486" s="378"/>
      <c r="E486" s="35"/>
      <c r="F486" s="35"/>
      <c r="G486" s="35"/>
      <c r="H486" s="35"/>
      <c r="J486" s="200"/>
      <c r="K486" s="200"/>
      <c r="L486" s="248"/>
      <c r="M486" s="200"/>
      <c r="N486" s="200"/>
      <c r="O486" s="200"/>
      <c r="Q486" s="200"/>
    </row>
    <row r="487">
      <c r="A487" s="35"/>
      <c r="B487" s="35"/>
      <c r="C487" s="35"/>
      <c r="D487" s="378"/>
      <c r="E487" s="35"/>
      <c r="F487" s="35"/>
      <c r="G487" s="35"/>
      <c r="H487" s="35"/>
      <c r="J487" s="200"/>
      <c r="K487" s="200"/>
      <c r="L487" s="248"/>
      <c r="M487" s="200"/>
      <c r="N487" s="200"/>
      <c r="O487" s="200"/>
      <c r="Q487" s="200"/>
    </row>
    <row r="488">
      <c r="A488" s="35"/>
      <c r="B488" s="35"/>
      <c r="C488" s="35"/>
      <c r="D488" s="378"/>
      <c r="E488" s="35"/>
      <c r="F488" s="35"/>
      <c r="G488" s="35"/>
      <c r="H488" s="35"/>
      <c r="J488" s="200"/>
      <c r="K488" s="200"/>
      <c r="L488" s="248"/>
      <c r="M488" s="200"/>
      <c r="N488" s="200"/>
      <c r="O488" s="200"/>
      <c r="Q488" s="200"/>
    </row>
    <row r="489">
      <c r="A489" s="35"/>
      <c r="B489" s="35"/>
      <c r="C489" s="35"/>
      <c r="D489" s="378"/>
      <c r="E489" s="35"/>
      <c r="F489" s="35"/>
      <c r="G489" s="35"/>
      <c r="H489" s="35"/>
      <c r="J489" s="200"/>
      <c r="K489" s="200"/>
      <c r="L489" s="248"/>
      <c r="M489" s="200"/>
      <c r="N489" s="200"/>
      <c r="O489" s="200"/>
      <c r="Q489" s="200"/>
    </row>
    <row r="490">
      <c r="A490" s="35"/>
      <c r="B490" s="35"/>
      <c r="C490" s="35"/>
      <c r="D490" s="378"/>
      <c r="E490" s="35"/>
      <c r="F490" s="35"/>
      <c r="G490" s="35"/>
      <c r="H490" s="35"/>
      <c r="J490" s="200"/>
      <c r="K490" s="200"/>
      <c r="L490" s="248"/>
      <c r="M490" s="200"/>
      <c r="N490" s="200"/>
      <c r="O490" s="200"/>
      <c r="Q490" s="200"/>
    </row>
    <row r="491">
      <c r="A491" s="35"/>
      <c r="B491" s="35"/>
      <c r="C491" s="35"/>
      <c r="D491" s="378"/>
      <c r="E491" s="35"/>
      <c r="F491" s="35"/>
      <c r="G491" s="35"/>
      <c r="H491" s="35"/>
      <c r="J491" s="200"/>
      <c r="K491" s="200"/>
      <c r="L491" s="248"/>
      <c r="M491" s="200"/>
      <c r="N491" s="200"/>
      <c r="O491" s="200"/>
      <c r="Q491" s="200"/>
    </row>
    <row r="492">
      <c r="A492" s="35"/>
      <c r="B492" s="35"/>
      <c r="C492" s="35"/>
      <c r="D492" s="378"/>
      <c r="E492" s="35"/>
      <c r="F492" s="35"/>
      <c r="G492" s="35"/>
      <c r="H492" s="35"/>
      <c r="J492" s="200"/>
      <c r="K492" s="200"/>
      <c r="L492" s="248"/>
      <c r="M492" s="200"/>
      <c r="N492" s="200"/>
      <c r="O492" s="200"/>
      <c r="Q492" s="200"/>
    </row>
    <row r="493">
      <c r="A493" s="35"/>
      <c r="B493" s="35"/>
      <c r="C493" s="35"/>
      <c r="D493" s="378"/>
      <c r="E493" s="35"/>
      <c r="F493" s="35"/>
      <c r="G493" s="35"/>
      <c r="H493" s="35"/>
      <c r="J493" s="200"/>
      <c r="K493" s="200"/>
      <c r="L493" s="248"/>
      <c r="M493" s="200"/>
      <c r="N493" s="200"/>
      <c r="O493" s="200"/>
      <c r="Q493" s="200"/>
    </row>
    <row r="494">
      <c r="A494" s="35"/>
      <c r="B494" s="35"/>
      <c r="C494" s="35"/>
      <c r="D494" s="378"/>
      <c r="E494" s="35"/>
      <c r="F494" s="35"/>
      <c r="G494" s="35"/>
      <c r="H494" s="35"/>
      <c r="J494" s="200"/>
      <c r="K494" s="200"/>
      <c r="L494" s="248"/>
      <c r="M494" s="200"/>
      <c r="N494" s="200"/>
      <c r="O494" s="200"/>
      <c r="Q494" s="200"/>
    </row>
    <row r="495">
      <c r="A495" s="35"/>
      <c r="B495" s="35"/>
      <c r="C495" s="35"/>
      <c r="D495" s="378"/>
      <c r="E495" s="35"/>
      <c r="F495" s="35"/>
      <c r="G495" s="35"/>
      <c r="H495" s="35"/>
      <c r="J495" s="200"/>
      <c r="K495" s="200"/>
      <c r="L495" s="248"/>
      <c r="M495" s="200"/>
      <c r="N495" s="200"/>
      <c r="O495" s="200"/>
      <c r="Q495" s="200"/>
    </row>
    <row r="496">
      <c r="A496" s="35"/>
      <c r="B496" s="35"/>
      <c r="C496" s="35"/>
      <c r="D496" s="378"/>
      <c r="E496" s="35"/>
      <c r="F496" s="35"/>
      <c r="G496" s="35"/>
      <c r="H496" s="35"/>
      <c r="J496" s="200"/>
      <c r="K496" s="200"/>
      <c r="L496" s="248"/>
      <c r="M496" s="200"/>
      <c r="N496" s="200"/>
      <c r="O496" s="200"/>
      <c r="Q496" s="200"/>
    </row>
    <row r="497">
      <c r="A497" s="35"/>
      <c r="B497" s="35"/>
      <c r="C497" s="35"/>
      <c r="D497" s="378"/>
      <c r="E497" s="35"/>
      <c r="F497" s="35"/>
      <c r="G497" s="35"/>
      <c r="H497" s="35"/>
      <c r="J497" s="200"/>
      <c r="K497" s="200"/>
      <c r="L497" s="248"/>
      <c r="M497" s="200"/>
      <c r="N497" s="200"/>
      <c r="O497" s="200"/>
      <c r="Q497" s="200"/>
    </row>
    <row r="498">
      <c r="A498" s="35"/>
      <c r="B498" s="35"/>
      <c r="C498" s="35"/>
      <c r="D498" s="378"/>
      <c r="E498" s="35"/>
      <c r="F498" s="35"/>
      <c r="G498" s="35"/>
      <c r="H498" s="35"/>
      <c r="J498" s="200"/>
      <c r="K498" s="200"/>
      <c r="L498" s="248"/>
      <c r="M498" s="200"/>
      <c r="N498" s="200"/>
      <c r="O498" s="200"/>
      <c r="Q498" s="200"/>
    </row>
    <row r="499">
      <c r="A499" s="35"/>
      <c r="B499" s="35"/>
      <c r="C499" s="35"/>
      <c r="D499" s="378"/>
      <c r="E499" s="35"/>
      <c r="F499" s="35"/>
      <c r="G499" s="35"/>
      <c r="H499" s="35"/>
      <c r="J499" s="200"/>
      <c r="K499" s="200"/>
      <c r="L499" s="248"/>
      <c r="M499" s="200"/>
      <c r="N499" s="200"/>
      <c r="O499" s="200"/>
      <c r="Q499" s="200"/>
    </row>
    <row r="500">
      <c r="A500" s="35"/>
      <c r="B500" s="35"/>
      <c r="C500" s="35"/>
      <c r="D500" s="378"/>
      <c r="E500" s="35"/>
      <c r="F500" s="35"/>
      <c r="G500" s="35"/>
      <c r="H500" s="35"/>
      <c r="J500" s="200"/>
      <c r="K500" s="200"/>
      <c r="L500" s="248"/>
      <c r="M500" s="200"/>
      <c r="N500" s="200"/>
      <c r="O500" s="200"/>
      <c r="Q500" s="200"/>
    </row>
    <row r="501">
      <c r="A501" s="35"/>
      <c r="B501" s="35"/>
      <c r="C501" s="35"/>
      <c r="D501" s="378"/>
      <c r="E501" s="35"/>
      <c r="F501" s="35"/>
      <c r="G501" s="35"/>
      <c r="H501" s="35"/>
      <c r="J501" s="200"/>
      <c r="K501" s="200"/>
      <c r="L501" s="248"/>
      <c r="M501" s="200"/>
      <c r="N501" s="200"/>
      <c r="O501" s="200"/>
      <c r="Q501" s="200"/>
    </row>
    <row r="502">
      <c r="A502" s="35"/>
      <c r="B502" s="35"/>
      <c r="C502" s="35"/>
      <c r="D502" s="378"/>
      <c r="E502" s="35"/>
      <c r="F502" s="35"/>
      <c r="G502" s="35"/>
      <c r="H502" s="35"/>
      <c r="J502" s="200"/>
      <c r="K502" s="200"/>
      <c r="L502" s="248"/>
      <c r="M502" s="200"/>
      <c r="N502" s="200"/>
      <c r="O502" s="200"/>
      <c r="Q502" s="200"/>
    </row>
    <row r="503">
      <c r="A503" s="35"/>
      <c r="B503" s="35"/>
      <c r="C503" s="35"/>
      <c r="D503" s="378"/>
      <c r="E503" s="35"/>
      <c r="F503" s="35"/>
      <c r="G503" s="35"/>
      <c r="H503" s="35"/>
      <c r="J503" s="200"/>
      <c r="K503" s="200"/>
      <c r="L503" s="248"/>
      <c r="M503" s="200"/>
      <c r="N503" s="200"/>
      <c r="O503" s="200"/>
      <c r="Q503" s="200"/>
    </row>
    <row r="504">
      <c r="A504" s="35"/>
      <c r="B504" s="35"/>
      <c r="C504" s="35"/>
      <c r="D504" s="378"/>
      <c r="E504" s="35"/>
      <c r="F504" s="35"/>
      <c r="G504" s="35"/>
      <c r="H504" s="35"/>
      <c r="J504" s="200"/>
      <c r="K504" s="200"/>
      <c r="L504" s="248"/>
      <c r="M504" s="200"/>
      <c r="N504" s="200"/>
      <c r="O504" s="200"/>
      <c r="Q504" s="200"/>
    </row>
    <row r="505">
      <c r="A505" s="35"/>
      <c r="B505" s="35"/>
      <c r="C505" s="35"/>
      <c r="D505" s="378"/>
      <c r="E505" s="35"/>
      <c r="F505" s="35"/>
      <c r="G505" s="35"/>
      <c r="H505" s="35"/>
      <c r="J505" s="200"/>
      <c r="K505" s="200"/>
      <c r="L505" s="248"/>
      <c r="M505" s="200"/>
      <c r="N505" s="200"/>
      <c r="O505" s="200"/>
      <c r="Q505" s="200"/>
    </row>
    <row r="506">
      <c r="A506" s="35"/>
      <c r="B506" s="35"/>
      <c r="C506" s="35"/>
      <c r="D506" s="378"/>
      <c r="E506" s="35"/>
      <c r="F506" s="35"/>
      <c r="G506" s="35"/>
      <c r="H506" s="35"/>
      <c r="J506" s="200"/>
      <c r="K506" s="200"/>
      <c r="L506" s="248"/>
      <c r="M506" s="200"/>
      <c r="N506" s="200"/>
      <c r="O506" s="200"/>
      <c r="Q506" s="200"/>
    </row>
    <row r="507">
      <c r="A507" s="35"/>
      <c r="B507" s="35"/>
      <c r="C507" s="35"/>
      <c r="D507" s="378"/>
      <c r="E507" s="35"/>
      <c r="F507" s="35"/>
      <c r="G507" s="35"/>
      <c r="H507" s="35"/>
      <c r="J507" s="200"/>
      <c r="K507" s="200"/>
      <c r="L507" s="248"/>
      <c r="M507" s="200"/>
      <c r="N507" s="200"/>
      <c r="O507" s="200"/>
      <c r="Q507" s="200"/>
    </row>
    <row r="508">
      <c r="A508" s="35"/>
      <c r="B508" s="35"/>
      <c r="C508" s="35"/>
      <c r="D508" s="378"/>
      <c r="E508" s="35"/>
      <c r="F508" s="35"/>
      <c r="G508" s="35"/>
      <c r="H508" s="35"/>
      <c r="J508" s="200"/>
      <c r="K508" s="200"/>
      <c r="L508" s="248"/>
      <c r="M508" s="200"/>
      <c r="N508" s="200"/>
      <c r="O508" s="200"/>
      <c r="Q508" s="200"/>
    </row>
    <row r="509">
      <c r="A509" s="35"/>
      <c r="B509" s="35"/>
      <c r="C509" s="35"/>
      <c r="D509" s="378"/>
      <c r="E509" s="35"/>
      <c r="F509" s="35"/>
      <c r="G509" s="35"/>
      <c r="H509" s="35"/>
      <c r="J509" s="200"/>
      <c r="K509" s="200"/>
      <c r="L509" s="248"/>
      <c r="M509" s="200"/>
      <c r="N509" s="200"/>
      <c r="O509" s="200"/>
      <c r="Q509" s="200"/>
    </row>
    <row r="510">
      <c r="A510" s="35"/>
      <c r="B510" s="35"/>
      <c r="C510" s="35"/>
      <c r="D510" s="378"/>
      <c r="E510" s="35"/>
      <c r="F510" s="35"/>
      <c r="G510" s="35"/>
      <c r="H510" s="35"/>
      <c r="J510" s="200"/>
      <c r="K510" s="200"/>
      <c r="L510" s="248"/>
      <c r="M510" s="200"/>
      <c r="N510" s="200"/>
      <c r="O510" s="200"/>
      <c r="Q510" s="200"/>
    </row>
    <row r="511">
      <c r="A511" s="35"/>
      <c r="B511" s="35"/>
      <c r="C511" s="35"/>
      <c r="D511" s="378"/>
      <c r="E511" s="35"/>
      <c r="F511" s="35"/>
      <c r="G511" s="35"/>
      <c r="H511" s="35"/>
      <c r="J511" s="200"/>
      <c r="K511" s="200"/>
      <c r="L511" s="248"/>
      <c r="M511" s="200"/>
      <c r="N511" s="200"/>
      <c r="O511" s="200"/>
      <c r="Q511" s="200"/>
    </row>
    <row r="512">
      <c r="A512" s="35"/>
      <c r="B512" s="35"/>
      <c r="C512" s="35"/>
      <c r="D512" s="378"/>
      <c r="E512" s="35"/>
      <c r="F512" s="35"/>
      <c r="G512" s="35"/>
      <c r="H512" s="35"/>
      <c r="J512" s="200"/>
      <c r="K512" s="200"/>
      <c r="L512" s="248"/>
      <c r="M512" s="200"/>
      <c r="N512" s="200"/>
      <c r="O512" s="200"/>
      <c r="Q512" s="200"/>
    </row>
    <row r="513">
      <c r="A513" s="35"/>
      <c r="B513" s="35"/>
      <c r="C513" s="35"/>
      <c r="D513" s="378"/>
      <c r="E513" s="35"/>
      <c r="F513" s="35"/>
      <c r="G513" s="35"/>
      <c r="H513" s="35"/>
      <c r="J513" s="200"/>
      <c r="K513" s="200"/>
      <c r="L513" s="248"/>
      <c r="M513" s="200"/>
      <c r="N513" s="200"/>
      <c r="O513" s="200"/>
      <c r="Q513" s="200"/>
    </row>
    <row r="514">
      <c r="A514" s="35"/>
      <c r="B514" s="35"/>
      <c r="C514" s="35"/>
      <c r="D514" s="378"/>
      <c r="E514" s="35"/>
      <c r="F514" s="35"/>
      <c r="G514" s="35"/>
      <c r="H514" s="35"/>
      <c r="J514" s="200"/>
      <c r="K514" s="200"/>
      <c r="L514" s="248"/>
      <c r="M514" s="200"/>
      <c r="N514" s="200"/>
      <c r="O514" s="200"/>
      <c r="Q514" s="200"/>
    </row>
    <row r="515">
      <c r="A515" s="35"/>
      <c r="B515" s="35"/>
      <c r="C515" s="35"/>
      <c r="D515" s="378"/>
      <c r="E515" s="35"/>
      <c r="F515" s="35"/>
      <c r="G515" s="35"/>
      <c r="H515" s="35"/>
      <c r="J515" s="200"/>
      <c r="K515" s="200"/>
      <c r="L515" s="248"/>
      <c r="M515" s="200"/>
      <c r="N515" s="200"/>
      <c r="O515" s="200"/>
      <c r="Q515" s="200"/>
    </row>
    <row r="516">
      <c r="A516" s="35"/>
      <c r="B516" s="35"/>
      <c r="C516" s="35"/>
      <c r="D516" s="378"/>
      <c r="E516" s="35"/>
      <c r="F516" s="35"/>
      <c r="G516" s="35"/>
      <c r="H516" s="35"/>
      <c r="J516" s="200"/>
      <c r="K516" s="200"/>
      <c r="L516" s="248"/>
      <c r="M516" s="200"/>
      <c r="N516" s="200"/>
      <c r="O516" s="200"/>
      <c r="Q516" s="200"/>
    </row>
    <row r="517">
      <c r="A517" s="35"/>
      <c r="B517" s="35"/>
      <c r="C517" s="35"/>
      <c r="D517" s="378"/>
      <c r="E517" s="35"/>
      <c r="F517" s="35"/>
      <c r="G517" s="35"/>
      <c r="H517" s="35"/>
      <c r="J517" s="200"/>
      <c r="K517" s="200"/>
      <c r="L517" s="248"/>
      <c r="M517" s="200"/>
      <c r="N517" s="200"/>
      <c r="O517" s="200"/>
      <c r="Q517" s="200"/>
    </row>
    <row r="518">
      <c r="A518" s="35"/>
      <c r="B518" s="35"/>
      <c r="C518" s="35"/>
      <c r="D518" s="378"/>
      <c r="E518" s="35"/>
      <c r="F518" s="35"/>
      <c r="G518" s="35"/>
      <c r="H518" s="35"/>
      <c r="J518" s="200"/>
      <c r="K518" s="200"/>
      <c r="L518" s="248"/>
      <c r="M518" s="200"/>
      <c r="N518" s="200"/>
      <c r="O518" s="200"/>
      <c r="Q518" s="200"/>
    </row>
    <row r="519">
      <c r="A519" s="35"/>
      <c r="B519" s="35"/>
      <c r="C519" s="35"/>
      <c r="D519" s="378"/>
      <c r="E519" s="35"/>
      <c r="F519" s="35"/>
      <c r="G519" s="35"/>
      <c r="H519" s="35"/>
      <c r="J519" s="200"/>
      <c r="K519" s="200"/>
      <c r="L519" s="248"/>
      <c r="M519" s="200"/>
      <c r="N519" s="200"/>
      <c r="O519" s="200"/>
      <c r="Q519" s="200"/>
    </row>
    <row r="520">
      <c r="A520" s="35"/>
      <c r="B520" s="35"/>
      <c r="C520" s="35"/>
      <c r="D520" s="378"/>
      <c r="E520" s="35"/>
      <c r="F520" s="35"/>
      <c r="G520" s="35"/>
      <c r="H520" s="35"/>
      <c r="J520" s="200"/>
      <c r="K520" s="200"/>
      <c r="L520" s="248"/>
      <c r="M520" s="200"/>
      <c r="N520" s="200"/>
      <c r="O520" s="200"/>
      <c r="Q520" s="200"/>
    </row>
    <row r="521">
      <c r="A521" s="35"/>
      <c r="B521" s="35"/>
      <c r="C521" s="35"/>
      <c r="D521" s="378"/>
      <c r="E521" s="35"/>
      <c r="F521" s="35"/>
      <c r="G521" s="35"/>
      <c r="H521" s="35"/>
      <c r="J521" s="200"/>
      <c r="K521" s="200"/>
      <c r="L521" s="248"/>
      <c r="M521" s="200"/>
      <c r="N521" s="200"/>
      <c r="O521" s="200"/>
      <c r="Q521" s="200"/>
    </row>
    <row r="522">
      <c r="A522" s="35"/>
      <c r="B522" s="35"/>
      <c r="C522" s="35"/>
      <c r="D522" s="378"/>
      <c r="E522" s="35"/>
      <c r="F522" s="35"/>
      <c r="G522" s="35"/>
      <c r="H522" s="35"/>
      <c r="J522" s="200"/>
      <c r="K522" s="200"/>
      <c r="L522" s="248"/>
      <c r="M522" s="200"/>
      <c r="N522" s="200"/>
      <c r="O522" s="200"/>
      <c r="Q522" s="200"/>
    </row>
    <row r="523">
      <c r="A523" s="35"/>
      <c r="B523" s="35"/>
      <c r="C523" s="35"/>
      <c r="D523" s="378"/>
      <c r="E523" s="35"/>
      <c r="F523" s="35"/>
      <c r="G523" s="35"/>
      <c r="H523" s="35"/>
      <c r="J523" s="200"/>
      <c r="K523" s="200"/>
      <c r="L523" s="248"/>
      <c r="M523" s="200"/>
      <c r="N523" s="200"/>
      <c r="O523" s="200"/>
      <c r="Q523" s="200"/>
    </row>
    <row r="524">
      <c r="A524" s="35"/>
      <c r="B524" s="35"/>
      <c r="C524" s="35"/>
      <c r="D524" s="378"/>
      <c r="E524" s="35"/>
      <c r="F524" s="35"/>
      <c r="G524" s="35"/>
      <c r="H524" s="35"/>
      <c r="J524" s="200"/>
      <c r="K524" s="200"/>
      <c r="L524" s="248"/>
      <c r="M524" s="200"/>
      <c r="N524" s="200"/>
      <c r="O524" s="200"/>
      <c r="Q524" s="200"/>
    </row>
    <row r="525">
      <c r="A525" s="35"/>
      <c r="B525" s="35"/>
      <c r="C525" s="35"/>
      <c r="D525" s="378"/>
      <c r="E525" s="35"/>
      <c r="F525" s="35"/>
      <c r="G525" s="35"/>
      <c r="H525" s="35"/>
      <c r="J525" s="200"/>
      <c r="K525" s="200"/>
      <c r="L525" s="248"/>
      <c r="M525" s="200"/>
      <c r="N525" s="200"/>
      <c r="O525" s="200"/>
      <c r="Q525" s="200"/>
    </row>
    <row r="526">
      <c r="A526" s="35"/>
      <c r="B526" s="35"/>
      <c r="C526" s="35"/>
      <c r="D526" s="378"/>
      <c r="E526" s="35"/>
      <c r="F526" s="35"/>
      <c r="G526" s="35"/>
      <c r="H526" s="35"/>
      <c r="J526" s="200"/>
      <c r="K526" s="200"/>
      <c r="L526" s="248"/>
      <c r="M526" s="200"/>
      <c r="N526" s="200"/>
      <c r="O526" s="200"/>
      <c r="Q526" s="200"/>
    </row>
    <row r="527">
      <c r="A527" s="35"/>
      <c r="B527" s="35"/>
      <c r="C527" s="35"/>
      <c r="D527" s="378"/>
      <c r="E527" s="35"/>
      <c r="F527" s="35"/>
      <c r="G527" s="35"/>
      <c r="H527" s="35"/>
      <c r="J527" s="200"/>
      <c r="K527" s="200"/>
      <c r="L527" s="248"/>
      <c r="M527" s="200"/>
      <c r="N527" s="200"/>
      <c r="O527" s="200"/>
      <c r="Q527" s="200"/>
    </row>
    <row r="528">
      <c r="A528" s="35"/>
      <c r="B528" s="35"/>
      <c r="C528" s="35"/>
      <c r="D528" s="378"/>
      <c r="E528" s="35"/>
      <c r="F528" s="35"/>
      <c r="G528" s="35"/>
      <c r="H528" s="35"/>
      <c r="J528" s="200"/>
      <c r="K528" s="200"/>
      <c r="L528" s="248"/>
      <c r="M528" s="200"/>
      <c r="N528" s="200"/>
      <c r="O528" s="200"/>
      <c r="Q528" s="200"/>
    </row>
    <row r="529">
      <c r="A529" s="35"/>
      <c r="B529" s="35"/>
      <c r="C529" s="35"/>
      <c r="D529" s="378"/>
      <c r="E529" s="35"/>
      <c r="F529" s="35"/>
      <c r="G529" s="35"/>
      <c r="H529" s="35"/>
      <c r="J529" s="200"/>
      <c r="K529" s="200"/>
      <c r="L529" s="248"/>
      <c r="M529" s="200"/>
      <c r="N529" s="200"/>
      <c r="O529" s="200"/>
      <c r="Q529" s="200"/>
    </row>
    <row r="530">
      <c r="A530" s="35"/>
      <c r="B530" s="35"/>
      <c r="C530" s="35"/>
      <c r="D530" s="378"/>
      <c r="E530" s="35"/>
      <c r="F530" s="35"/>
      <c r="G530" s="35"/>
      <c r="H530" s="35"/>
      <c r="J530" s="200"/>
      <c r="K530" s="200"/>
      <c r="L530" s="248"/>
      <c r="M530" s="200"/>
      <c r="N530" s="200"/>
      <c r="O530" s="200"/>
      <c r="Q530" s="200"/>
    </row>
    <row r="531">
      <c r="A531" s="35"/>
      <c r="B531" s="35"/>
      <c r="C531" s="35"/>
      <c r="D531" s="378"/>
      <c r="E531" s="35"/>
      <c r="F531" s="35"/>
      <c r="G531" s="35"/>
      <c r="H531" s="35"/>
      <c r="J531" s="200"/>
      <c r="K531" s="200"/>
      <c r="L531" s="248"/>
      <c r="M531" s="200"/>
      <c r="N531" s="200"/>
      <c r="O531" s="200"/>
      <c r="Q531" s="200"/>
    </row>
    <row r="532">
      <c r="A532" s="35"/>
      <c r="B532" s="35"/>
      <c r="C532" s="35"/>
      <c r="D532" s="378"/>
      <c r="E532" s="35"/>
      <c r="F532" s="35"/>
      <c r="G532" s="35"/>
      <c r="H532" s="35"/>
      <c r="J532" s="200"/>
      <c r="K532" s="200"/>
      <c r="L532" s="248"/>
      <c r="M532" s="200"/>
      <c r="N532" s="200"/>
      <c r="O532" s="200"/>
      <c r="Q532" s="200"/>
    </row>
    <row r="533">
      <c r="A533" s="35"/>
      <c r="B533" s="35"/>
      <c r="C533" s="35"/>
      <c r="D533" s="378"/>
      <c r="E533" s="35"/>
      <c r="F533" s="35"/>
      <c r="G533" s="35"/>
      <c r="H533" s="35"/>
      <c r="J533" s="200"/>
      <c r="K533" s="200"/>
      <c r="L533" s="248"/>
      <c r="M533" s="200"/>
      <c r="N533" s="200"/>
      <c r="O533" s="200"/>
      <c r="Q533" s="200"/>
    </row>
    <row r="534">
      <c r="A534" s="35"/>
      <c r="B534" s="35"/>
      <c r="C534" s="35"/>
      <c r="D534" s="378"/>
      <c r="E534" s="35"/>
      <c r="F534" s="35"/>
      <c r="G534" s="35"/>
      <c r="H534" s="35"/>
      <c r="J534" s="200"/>
      <c r="K534" s="200"/>
      <c r="L534" s="248"/>
      <c r="M534" s="200"/>
      <c r="N534" s="200"/>
      <c r="O534" s="200"/>
      <c r="Q534" s="200"/>
    </row>
    <row r="535">
      <c r="A535" s="35"/>
      <c r="B535" s="35"/>
      <c r="C535" s="35"/>
      <c r="D535" s="378"/>
      <c r="E535" s="35"/>
      <c r="F535" s="35"/>
      <c r="G535" s="35"/>
      <c r="H535" s="35"/>
      <c r="J535" s="200"/>
      <c r="K535" s="200"/>
      <c r="L535" s="248"/>
      <c r="M535" s="200"/>
      <c r="N535" s="200"/>
      <c r="O535" s="200"/>
      <c r="Q535" s="200"/>
    </row>
    <row r="536">
      <c r="A536" s="35"/>
      <c r="B536" s="35"/>
      <c r="C536" s="35"/>
      <c r="D536" s="378"/>
      <c r="E536" s="35"/>
      <c r="F536" s="35"/>
      <c r="G536" s="35"/>
      <c r="H536" s="35"/>
      <c r="J536" s="200"/>
      <c r="K536" s="200"/>
      <c r="L536" s="248"/>
      <c r="M536" s="200"/>
      <c r="N536" s="200"/>
      <c r="O536" s="200"/>
      <c r="Q536" s="200"/>
    </row>
    <row r="537">
      <c r="A537" s="35"/>
      <c r="B537" s="35"/>
      <c r="C537" s="35"/>
      <c r="D537" s="378"/>
      <c r="E537" s="35"/>
      <c r="F537" s="35"/>
      <c r="G537" s="35"/>
      <c r="H537" s="35"/>
      <c r="J537" s="200"/>
      <c r="K537" s="200"/>
      <c r="L537" s="248"/>
      <c r="M537" s="200"/>
      <c r="N537" s="200"/>
      <c r="O537" s="200"/>
      <c r="Q537" s="200"/>
    </row>
    <row r="538">
      <c r="A538" s="35"/>
      <c r="B538" s="35"/>
      <c r="C538" s="35"/>
      <c r="D538" s="378"/>
      <c r="E538" s="35"/>
      <c r="F538" s="35"/>
      <c r="G538" s="35"/>
      <c r="H538" s="35"/>
      <c r="J538" s="200"/>
      <c r="K538" s="200"/>
      <c r="L538" s="248"/>
      <c r="M538" s="200"/>
      <c r="N538" s="200"/>
      <c r="O538" s="200"/>
      <c r="Q538" s="200"/>
    </row>
    <row r="539">
      <c r="A539" s="35"/>
      <c r="B539" s="35"/>
      <c r="C539" s="35"/>
      <c r="D539" s="378"/>
      <c r="E539" s="35"/>
      <c r="F539" s="35"/>
      <c r="G539" s="35"/>
      <c r="H539" s="35"/>
      <c r="J539" s="200"/>
      <c r="K539" s="200"/>
      <c r="L539" s="248"/>
      <c r="M539" s="200"/>
      <c r="N539" s="200"/>
      <c r="O539" s="200"/>
      <c r="Q539" s="200"/>
    </row>
    <row r="540">
      <c r="A540" s="35"/>
      <c r="B540" s="35"/>
      <c r="C540" s="35"/>
      <c r="D540" s="378"/>
      <c r="E540" s="35"/>
      <c r="F540" s="35"/>
      <c r="G540" s="35"/>
      <c r="H540" s="35"/>
      <c r="J540" s="200"/>
      <c r="K540" s="200"/>
      <c r="L540" s="248"/>
      <c r="M540" s="200"/>
      <c r="N540" s="200"/>
      <c r="O540" s="200"/>
      <c r="Q540" s="200"/>
    </row>
    <row r="541">
      <c r="A541" s="35"/>
      <c r="B541" s="35"/>
      <c r="C541" s="35"/>
      <c r="D541" s="378"/>
      <c r="E541" s="35"/>
      <c r="F541" s="35"/>
      <c r="G541" s="35"/>
      <c r="H541" s="35"/>
      <c r="J541" s="200"/>
      <c r="K541" s="200"/>
      <c r="L541" s="248"/>
      <c r="M541" s="200"/>
      <c r="N541" s="200"/>
      <c r="O541" s="200"/>
      <c r="Q541" s="200"/>
    </row>
    <row r="542">
      <c r="A542" s="35"/>
      <c r="B542" s="35"/>
      <c r="C542" s="35"/>
      <c r="D542" s="378"/>
      <c r="E542" s="35"/>
      <c r="F542" s="35"/>
      <c r="G542" s="35"/>
      <c r="H542" s="35"/>
      <c r="J542" s="200"/>
      <c r="K542" s="200"/>
      <c r="L542" s="248"/>
      <c r="M542" s="200"/>
      <c r="N542" s="200"/>
      <c r="O542" s="200"/>
      <c r="Q542" s="200"/>
    </row>
    <row r="543">
      <c r="A543" s="35"/>
      <c r="B543" s="35"/>
      <c r="C543" s="35"/>
      <c r="D543" s="378"/>
      <c r="E543" s="35"/>
      <c r="F543" s="35"/>
      <c r="G543" s="35"/>
      <c r="H543" s="35"/>
      <c r="J543" s="200"/>
      <c r="K543" s="200"/>
      <c r="L543" s="248"/>
      <c r="M543" s="200"/>
      <c r="N543" s="200"/>
      <c r="O543" s="200"/>
      <c r="Q543" s="200"/>
    </row>
    <row r="544">
      <c r="A544" s="35"/>
      <c r="B544" s="35"/>
      <c r="C544" s="35"/>
      <c r="D544" s="378"/>
      <c r="E544" s="35"/>
      <c r="F544" s="35"/>
      <c r="G544" s="35"/>
      <c r="H544" s="35"/>
      <c r="J544" s="200"/>
      <c r="K544" s="200"/>
      <c r="L544" s="248"/>
      <c r="M544" s="200"/>
      <c r="N544" s="200"/>
      <c r="O544" s="200"/>
      <c r="Q544" s="200"/>
    </row>
    <row r="545">
      <c r="A545" s="35"/>
      <c r="B545" s="35"/>
      <c r="C545" s="35"/>
      <c r="D545" s="378"/>
      <c r="E545" s="35"/>
      <c r="F545" s="35"/>
      <c r="G545" s="35"/>
      <c r="H545" s="35"/>
      <c r="J545" s="200"/>
      <c r="K545" s="200"/>
      <c r="L545" s="248"/>
      <c r="M545" s="200"/>
      <c r="N545" s="200"/>
      <c r="O545" s="200"/>
      <c r="Q545" s="200"/>
    </row>
    <row r="546">
      <c r="A546" s="35"/>
      <c r="B546" s="35"/>
      <c r="C546" s="35"/>
      <c r="D546" s="378"/>
      <c r="E546" s="35"/>
      <c r="F546" s="35"/>
      <c r="G546" s="35"/>
      <c r="H546" s="35"/>
      <c r="J546" s="200"/>
      <c r="K546" s="200"/>
      <c r="L546" s="248"/>
      <c r="M546" s="200"/>
      <c r="N546" s="200"/>
      <c r="O546" s="200"/>
      <c r="Q546" s="200"/>
    </row>
    <row r="547">
      <c r="A547" s="35"/>
      <c r="B547" s="35"/>
      <c r="C547" s="35"/>
      <c r="D547" s="378"/>
      <c r="E547" s="35"/>
      <c r="F547" s="35"/>
      <c r="G547" s="35"/>
      <c r="H547" s="35"/>
      <c r="J547" s="200"/>
      <c r="K547" s="200"/>
      <c r="L547" s="248"/>
      <c r="M547" s="200"/>
      <c r="N547" s="200"/>
      <c r="O547" s="200"/>
      <c r="Q547" s="200"/>
    </row>
    <row r="548">
      <c r="A548" s="35"/>
      <c r="B548" s="35"/>
      <c r="C548" s="35"/>
      <c r="D548" s="378"/>
      <c r="E548" s="35"/>
      <c r="F548" s="35"/>
      <c r="G548" s="35"/>
      <c r="H548" s="35"/>
      <c r="J548" s="200"/>
      <c r="K548" s="200"/>
      <c r="L548" s="248"/>
      <c r="M548" s="200"/>
      <c r="N548" s="200"/>
      <c r="O548" s="200"/>
      <c r="Q548" s="200"/>
    </row>
    <row r="549">
      <c r="A549" s="35"/>
      <c r="B549" s="35"/>
      <c r="C549" s="35"/>
      <c r="D549" s="378"/>
      <c r="E549" s="35"/>
      <c r="F549" s="35"/>
      <c r="G549" s="35"/>
      <c r="H549" s="35"/>
      <c r="J549" s="200"/>
      <c r="K549" s="200"/>
      <c r="L549" s="248"/>
      <c r="M549" s="200"/>
      <c r="N549" s="200"/>
      <c r="O549" s="200"/>
      <c r="Q549" s="200"/>
    </row>
    <row r="550">
      <c r="A550" s="35"/>
      <c r="B550" s="35"/>
      <c r="C550" s="35"/>
      <c r="D550" s="378"/>
      <c r="E550" s="35"/>
      <c r="F550" s="35"/>
      <c r="G550" s="35"/>
      <c r="H550" s="35"/>
      <c r="J550" s="200"/>
      <c r="K550" s="200"/>
      <c r="L550" s="248"/>
      <c r="M550" s="200"/>
      <c r="N550" s="200"/>
      <c r="O550" s="200"/>
      <c r="Q550" s="200"/>
    </row>
    <row r="551">
      <c r="A551" s="35"/>
      <c r="B551" s="35"/>
      <c r="C551" s="35"/>
      <c r="D551" s="378"/>
      <c r="E551" s="35"/>
      <c r="F551" s="35"/>
      <c r="G551" s="35"/>
      <c r="H551" s="35"/>
      <c r="J551" s="200"/>
      <c r="K551" s="200"/>
      <c r="L551" s="248"/>
      <c r="M551" s="200"/>
      <c r="N551" s="200"/>
      <c r="O551" s="200"/>
      <c r="Q551" s="200"/>
    </row>
    <row r="552">
      <c r="A552" s="35"/>
      <c r="B552" s="35"/>
      <c r="C552" s="35"/>
      <c r="D552" s="378"/>
      <c r="E552" s="35"/>
      <c r="F552" s="35"/>
      <c r="G552" s="35"/>
      <c r="H552" s="35"/>
      <c r="J552" s="200"/>
      <c r="K552" s="200"/>
      <c r="L552" s="248"/>
      <c r="M552" s="200"/>
      <c r="N552" s="200"/>
      <c r="O552" s="200"/>
      <c r="Q552" s="200"/>
    </row>
    <row r="553">
      <c r="A553" s="35"/>
      <c r="B553" s="35"/>
      <c r="C553" s="35"/>
      <c r="D553" s="378"/>
      <c r="E553" s="35"/>
      <c r="F553" s="35"/>
      <c r="G553" s="35"/>
      <c r="H553" s="35"/>
      <c r="J553" s="200"/>
      <c r="K553" s="200"/>
      <c r="L553" s="248"/>
      <c r="M553" s="200"/>
      <c r="N553" s="200"/>
      <c r="O553" s="200"/>
      <c r="Q553" s="200"/>
    </row>
    <row r="554">
      <c r="A554" s="35"/>
      <c r="B554" s="35"/>
      <c r="C554" s="35"/>
      <c r="D554" s="378"/>
      <c r="E554" s="35"/>
      <c r="F554" s="35"/>
      <c r="G554" s="35"/>
      <c r="H554" s="35"/>
      <c r="J554" s="200"/>
      <c r="K554" s="200"/>
      <c r="L554" s="248"/>
      <c r="M554" s="200"/>
      <c r="N554" s="200"/>
      <c r="O554" s="200"/>
      <c r="Q554" s="200"/>
    </row>
    <row r="555">
      <c r="A555" s="35"/>
      <c r="B555" s="35"/>
      <c r="C555" s="35"/>
      <c r="D555" s="378"/>
      <c r="E555" s="35"/>
      <c r="F555" s="35"/>
      <c r="G555" s="35"/>
      <c r="H555" s="35"/>
      <c r="J555" s="200"/>
      <c r="K555" s="200"/>
      <c r="L555" s="248"/>
      <c r="M555" s="200"/>
      <c r="N555" s="200"/>
      <c r="O555" s="200"/>
      <c r="Q555" s="200"/>
    </row>
    <row r="556">
      <c r="A556" s="35"/>
      <c r="B556" s="35"/>
      <c r="C556" s="35"/>
      <c r="D556" s="378"/>
      <c r="E556" s="35"/>
      <c r="F556" s="35"/>
      <c r="G556" s="35"/>
      <c r="H556" s="35"/>
      <c r="J556" s="200"/>
      <c r="K556" s="200"/>
      <c r="L556" s="248"/>
      <c r="M556" s="200"/>
      <c r="N556" s="200"/>
      <c r="O556" s="200"/>
      <c r="Q556" s="200"/>
    </row>
    <row r="557">
      <c r="A557" s="35"/>
      <c r="B557" s="35"/>
      <c r="C557" s="35"/>
      <c r="D557" s="378"/>
      <c r="E557" s="35"/>
      <c r="F557" s="35"/>
      <c r="G557" s="35"/>
      <c r="H557" s="35"/>
      <c r="J557" s="200"/>
      <c r="K557" s="200"/>
      <c r="L557" s="248"/>
      <c r="M557" s="200"/>
      <c r="N557" s="200"/>
      <c r="O557" s="200"/>
      <c r="Q557" s="200"/>
    </row>
    <row r="558">
      <c r="A558" s="35"/>
      <c r="B558" s="35"/>
      <c r="C558" s="35"/>
      <c r="D558" s="378"/>
      <c r="E558" s="35"/>
      <c r="F558" s="35"/>
      <c r="G558" s="35"/>
      <c r="H558" s="35"/>
      <c r="J558" s="200"/>
      <c r="K558" s="200"/>
      <c r="L558" s="248"/>
      <c r="M558" s="200"/>
      <c r="N558" s="200"/>
      <c r="O558" s="200"/>
      <c r="Q558" s="200"/>
    </row>
    <row r="559">
      <c r="A559" s="35"/>
      <c r="B559" s="35"/>
      <c r="C559" s="35"/>
      <c r="D559" s="378"/>
      <c r="E559" s="35"/>
      <c r="F559" s="35"/>
      <c r="G559" s="35"/>
      <c r="H559" s="35"/>
      <c r="J559" s="200"/>
      <c r="K559" s="200"/>
      <c r="L559" s="248"/>
      <c r="M559" s="200"/>
      <c r="N559" s="200"/>
      <c r="O559" s="200"/>
      <c r="Q559" s="200"/>
    </row>
    <row r="560">
      <c r="A560" s="35"/>
      <c r="B560" s="35"/>
      <c r="C560" s="35"/>
      <c r="D560" s="378"/>
      <c r="E560" s="35"/>
      <c r="F560" s="35"/>
      <c r="G560" s="35"/>
      <c r="H560" s="35"/>
      <c r="J560" s="200"/>
      <c r="K560" s="200"/>
      <c r="L560" s="248"/>
      <c r="M560" s="200"/>
      <c r="N560" s="200"/>
      <c r="O560" s="200"/>
      <c r="Q560" s="200"/>
    </row>
    <row r="561">
      <c r="A561" s="35"/>
      <c r="B561" s="35"/>
      <c r="C561" s="35"/>
      <c r="D561" s="378"/>
      <c r="E561" s="35"/>
      <c r="F561" s="35"/>
      <c r="G561" s="35"/>
      <c r="H561" s="35"/>
      <c r="J561" s="200"/>
      <c r="K561" s="200"/>
      <c r="L561" s="248"/>
      <c r="M561" s="200"/>
      <c r="N561" s="200"/>
      <c r="O561" s="200"/>
      <c r="Q561" s="200"/>
    </row>
    <row r="562">
      <c r="A562" s="35"/>
      <c r="B562" s="35"/>
      <c r="C562" s="35"/>
      <c r="D562" s="378"/>
      <c r="E562" s="35"/>
      <c r="F562" s="35"/>
      <c r="G562" s="35"/>
      <c r="H562" s="35"/>
      <c r="J562" s="200"/>
      <c r="K562" s="200"/>
      <c r="L562" s="248"/>
      <c r="M562" s="200"/>
      <c r="N562" s="200"/>
      <c r="O562" s="200"/>
      <c r="Q562" s="200"/>
    </row>
    <row r="563">
      <c r="A563" s="35"/>
      <c r="B563" s="35"/>
      <c r="C563" s="35"/>
      <c r="D563" s="378"/>
      <c r="E563" s="35"/>
      <c r="F563" s="35"/>
      <c r="G563" s="35"/>
      <c r="H563" s="35"/>
      <c r="J563" s="200"/>
      <c r="K563" s="200"/>
      <c r="L563" s="248"/>
      <c r="M563" s="200"/>
      <c r="N563" s="200"/>
      <c r="O563" s="200"/>
      <c r="Q563" s="200"/>
    </row>
    <row r="564">
      <c r="A564" s="35"/>
      <c r="B564" s="35"/>
      <c r="C564" s="35"/>
      <c r="D564" s="378"/>
      <c r="E564" s="35"/>
      <c r="F564" s="35"/>
      <c r="G564" s="35"/>
      <c r="H564" s="35"/>
      <c r="J564" s="200"/>
      <c r="K564" s="200"/>
      <c r="L564" s="248"/>
      <c r="M564" s="200"/>
      <c r="N564" s="200"/>
      <c r="O564" s="200"/>
      <c r="Q564" s="200"/>
    </row>
    <row r="565">
      <c r="A565" s="35"/>
      <c r="B565" s="35"/>
      <c r="C565" s="35"/>
      <c r="D565" s="378"/>
      <c r="E565" s="35"/>
      <c r="F565" s="35"/>
      <c r="G565" s="35"/>
      <c r="H565" s="35"/>
      <c r="J565" s="200"/>
      <c r="K565" s="200"/>
      <c r="L565" s="248"/>
      <c r="M565" s="200"/>
      <c r="N565" s="200"/>
      <c r="O565" s="200"/>
      <c r="Q565" s="200"/>
    </row>
    <row r="566">
      <c r="A566" s="35"/>
      <c r="B566" s="35"/>
      <c r="C566" s="35"/>
      <c r="D566" s="378"/>
      <c r="E566" s="35"/>
      <c r="F566" s="35"/>
      <c r="G566" s="35"/>
      <c r="H566" s="35"/>
      <c r="J566" s="200"/>
      <c r="K566" s="200"/>
      <c r="L566" s="248"/>
      <c r="M566" s="200"/>
      <c r="N566" s="200"/>
      <c r="O566" s="200"/>
      <c r="Q566" s="200"/>
    </row>
    <row r="567">
      <c r="A567" s="35"/>
      <c r="B567" s="35"/>
      <c r="C567" s="35"/>
      <c r="D567" s="378"/>
      <c r="E567" s="35"/>
      <c r="F567" s="35"/>
      <c r="G567" s="35"/>
      <c r="H567" s="35"/>
      <c r="J567" s="200"/>
      <c r="K567" s="200"/>
      <c r="L567" s="248"/>
      <c r="M567" s="200"/>
      <c r="N567" s="200"/>
      <c r="O567" s="200"/>
      <c r="Q567" s="200"/>
    </row>
    <row r="568">
      <c r="A568" s="35"/>
      <c r="B568" s="35"/>
      <c r="C568" s="35"/>
      <c r="D568" s="378"/>
      <c r="E568" s="35"/>
      <c r="F568" s="35"/>
      <c r="G568" s="35"/>
      <c r="H568" s="35"/>
      <c r="J568" s="200"/>
      <c r="K568" s="200"/>
      <c r="L568" s="248"/>
      <c r="M568" s="200"/>
      <c r="N568" s="200"/>
      <c r="O568" s="200"/>
      <c r="Q568" s="200"/>
    </row>
    <row r="569">
      <c r="A569" s="35"/>
      <c r="B569" s="35"/>
      <c r="C569" s="35"/>
      <c r="D569" s="378"/>
      <c r="E569" s="35"/>
      <c r="F569" s="35"/>
      <c r="G569" s="35"/>
      <c r="H569" s="35"/>
      <c r="J569" s="200"/>
      <c r="K569" s="200"/>
      <c r="L569" s="248"/>
      <c r="M569" s="200"/>
      <c r="N569" s="200"/>
      <c r="O569" s="200"/>
      <c r="Q569" s="200"/>
    </row>
    <row r="570">
      <c r="A570" s="35"/>
      <c r="B570" s="35"/>
      <c r="C570" s="35"/>
      <c r="D570" s="378"/>
      <c r="E570" s="35"/>
      <c r="F570" s="35"/>
      <c r="G570" s="35"/>
      <c r="H570" s="35"/>
      <c r="J570" s="200"/>
      <c r="K570" s="200"/>
      <c r="L570" s="248"/>
      <c r="M570" s="200"/>
      <c r="N570" s="200"/>
      <c r="O570" s="200"/>
      <c r="Q570" s="200"/>
    </row>
    <row r="571">
      <c r="A571" s="35"/>
      <c r="B571" s="35"/>
      <c r="C571" s="35"/>
      <c r="D571" s="378"/>
      <c r="E571" s="35"/>
      <c r="F571" s="35"/>
      <c r="G571" s="35"/>
      <c r="H571" s="35"/>
      <c r="J571" s="200"/>
      <c r="K571" s="200"/>
      <c r="L571" s="248"/>
      <c r="M571" s="200"/>
      <c r="N571" s="200"/>
      <c r="O571" s="200"/>
      <c r="Q571" s="200"/>
    </row>
    <row r="572">
      <c r="A572" s="35"/>
      <c r="B572" s="35"/>
      <c r="C572" s="35"/>
      <c r="D572" s="378"/>
      <c r="E572" s="35"/>
      <c r="F572" s="35"/>
      <c r="G572" s="35"/>
      <c r="H572" s="35"/>
      <c r="J572" s="200"/>
      <c r="K572" s="200"/>
      <c r="L572" s="248"/>
      <c r="M572" s="200"/>
      <c r="N572" s="200"/>
      <c r="O572" s="200"/>
      <c r="Q572" s="200"/>
    </row>
    <row r="573">
      <c r="A573" s="35"/>
      <c r="B573" s="35"/>
      <c r="C573" s="35"/>
      <c r="D573" s="378"/>
      <c r="E573" s="35"/>
      <c r="F573" s="35"/>
      <c r="G573" s="35"/>
      <c r="H573" s="35"/>
      <c r="J573" s="200"/>
      <c r="K573" s="200"/>
      <c r="L573" s="248"/>
      <c r="M573" s="200"/>
      <c r="N573" s="200"/>
      <c r="O573" s="200"/>
      <c r="Q573" s="200"/>
    </row>
    <row r="574">
      <c r="A574" s="35"/>
      <c r="B574" s="35"/>
      <c r="C574" s="35"/>
      <c r="D574" s="378"/>
      <c r="E574" s="35"/>
      <c r="F574" s="35"/>
      <c r="G574" s="35"/>
      <c r="H574" s="35"/>
      <c r="J574" s="200"/>
      <c r="K574" s="200"/>
      <c r="L574" s="248"/>
      <c r="M574" s="200"/>
      <c r="N574" s="200"/>
      <c r="O574" s="200"/>
      <c r="Q574" s="200"/>
    </row>
    <row r="575">
      <c r="A575" s="35"/>
      <c r="B575" s="35"/>
      <c r="C575" s="35"/>
      <c r="D575" s="378"/>
      <c r="E575" s="35"/>
      <c r="F575" s="35"/>
      <c r="G575" s="35"/>
      <c r="H575" s="35"/>
      <c r="J575" s="200"/>
      <c r="K575" s="200"/>
      <c r="L575" s="248"/>
      <c r="M575" s="200"/>
      <c r="N575" s="200"/>
      <c r="O575" s="200"/>
      <c r="Q575" s="200"/>
    </row>
    <row r="576">
      <c r="A576" s="35"/>
      <c r="B576" s="35"/>
      <c r="C576" s="35"/>
      <c r="D576" s="378"/>
      <c r="E576" s="35"/>
      <c r="F576" s="35"/>
      <c r="G576" s="35"/>
      <c r="H576" s="35"/>
      <c r="J576" s="200"/>
      <c r="K576" s="200"/>
      <c r="L576" s="248"/>
      <c r="M576" s="200"/>
      <c r="N576" s="200"/>
      <c r="O576" s="200"/>
      <c r="Q576" s="200"/>
    </row>
    <row r="577">
      <c r="A577" s="35"/>
      <c r="B577" s="35"/>
      <c r="C577" s="35"/>
      <c r="D577" s="378"/>
      <c r="E577" s="35"/>
      <c r="F577" s="35"/>
      <c r="G577" s="35"/>
      <c r="H577" s="35"/>
      <c r="J577" s="200"/>
      <c r="K577" s="200"/>
      <c r="L577" s="248"/>
      <c r="M577" s="200"/>
      <c r="N577" s="200"/>
      <c r="O577" s="200"/>
      <c r="Q577" s="200"/>
    </row>
    <row r="578">
      <c r="A578" s="35"/>
      <c r="B578" s="35"/>
      <c r="C578" s="35"/>
      <c r="D578" s="378"/>
      <c r="E578" s="35"/>
      <c r="F578" s="35"/>
      <c r="G578" s="35"/>
      <c r="H578" s="35"/>
      <c r="J578" s="200"/>
      <c r="K578" s="200"/>
      <c r="L578" s="248"/>
      <c r="M578" s="200"/>
      <c r="N578" s="200"/>
      <c r="O578" s="200"/>
      <c r="Q578" s="200"/>
    </row>
    <row r="579">
      <c r="A579" s="35"/>
      <c r="B579" s="35"/>
      <c r="C579" s="35"/>
      <c r="D579" s="378"/>
      <c r="E579" s="35"/>
      <c r="F579" s="35"/>
      <c r="G579" s="35"/>
      <c r="H579" s="35"/>
      <c r="J579" s="200"/>
      <c r="K579" s="200"/>
      <c r="L579" s="248"/>
      <c r="M579" s="200"/>
      <c r="N579" s="200"/>
      <c r="O579" s="200"/>
      <c r="Q579" s="200"/>
    </row>
    <row r="580">
      <c r="A580" s="35"/>
      <c r="B580" s="35"/>
      <c r="C580" s="35"/>
      <c r="D580" s="378"/>
      <c r="E580" s="35"/>
      <c r="F580" s="35"/>
      <c r="G580" s="35"/>
      <c r="H580" s="35"/>
      <c r="J580" s="200"/>
      <c r="K580" s="200"/>
      <c r="L580" s="248"/>
      <c r="M580" s="200"/>
      <c r="N580" s="200"/>
      <c r="O580" s="200"/>
      <c r="Q580" s="200"/>
    </row>
    <row r="581">
      <c r="A581" s="35"/>
      <c r="B581" s="35"/>
      <c r="C581" s="35"/>
      <c r="D581" s="378"/>
      <c r="E581" s="35"/>
      <c r="F581" s="35"/>
      <c r="G581" s="35"/>
      <c r="H581" s="35"/>
      <c r="J581" s="200"/>
      <c r="K581" s="200"/>
      <c r="L581" s="248"/>
      <c r="M581" s="200"/>
      <c r="N581" s="200"/>
      <c r="O581" s="200"/>
      <c r="Q581" s="200"/>
    </row>
    <row r="582">
      <c r="A582" s="35"/>
      <c r="B582" s="35"/>
      <c r="C582" s="35"/>
      <c r="D582" s="378"/>
      <c r="E582" s="35"/>
      <c r="F582" s="35"/>
      <c r="G582" s="35"/>
      <c r="H582" s="35"/>
      <c r="J582" s="200"/>
      <c r="K582" s="200"/>
      <c r="L582" s="248"/>
      <c r="M582" s="200"/>
      <c r="N582" s="200"/>
      <c r="O582" s="200"/>
      <c r="Q582" s="200"/>
    </row>
    <row r="583">
      <c r="A583" s="35"/>
      <c r="B583" s="35"/>
      <c r="C583" s="35"/>
      <c r="D583" s="378"/>
      <c r="E583" s="35"/>
      <c r="F583" s="35"/>
      <c r="G583" s="35"/>
      <c r="H583" s="35"/>
      <c r="J583" s="200"/>
      <c r="K583" s="200"/>
      <c r="L583" s="248"/>
      <c r="M583" s="200"/>
      <c r="N583" s="200"/>
      <c r="O583" s="200"/>
      <c r="Q583" s="200"/>
    </row>
    <row r="584">
      <c r="A584" s="35"/>
      <c r="B584" s="35"/>
      <c r="C584" s="35"/>
      <c r="D584" s="378"/>
      <c r="E584" s="35"/>
      <c r="F584" s="35"/>
      <c r="G584" s="35"/>
      <c r="H584" s="35"/>
      <c r="J584" s="200"/>
      <c r="K584" s="200"/>
      <c r="L584" s="248"/>
      <c r="M584" s="200"/>
      <c r="N584" s="200"/>
      <c r="O584" s="200"/>
      <c r="Q584" s="200"/>
    </row>
    <row r="585">
      <c r="A585" s="35"/>
      <c r="B585" s="35"/>
      <c r="C585" s="35"/>
      <c r="D585" s="378"/>
      <c r="E585" s="35"/>
      <c r="F585" s="35"/>
      <c r="G585" s="35"/>
      <c r="H585" s="35"/>
      <c r="J585" s="200"/>
      <c r="K585" s="200"/>
      <c r="L585" s="248"/>
      <c r="M585" s="200"/>
      <c r="N585" s="200"/>
      <c r="O585" s="200"/>
      <c r="Q585" s="200"/>
    </row>
    <row r="586">
      <c r="A586" s="35"/>
      <c r="B586" s="35"/>
      <c r="C586" s="35"/>
      <c r="D586" s="378"/>
      <c r="E586" s="35"/>
      <c r="F586" s="35"/>
      <c r="G586" s="35"/>
      <c r="H586" s="35"/>
      <c r="J586" s="200"/>
      <c r="K586" s="200"/>
      <c r="L586" s="248"/>
      <c r="M586" s="200"/>
      <c r="N586" s="200"/>
      <c r="O586" s="200"/>
      <c r="Q586" s="200"/>
    </row>
    <row r="587">
      <c r="A587" s="35"/>
      <c r="B587" s="35"/>
      <c r="C587" s="35"/>
      <c r="D587" s="378"/>
      <c r="E587" s="35"/>
      <c r="F587" s="35"/>
      <c r="G587" s="35"/>
      <c r="H587" s="35"/>
      <c r="J587" s="200"/>
      <c r="K587" s="200"/>
      <c r="L587" s="248"/>
      <c r="M587" s="200"/>
      <c r="N587" s="200"/>
      <c r="O587" s="200"/>
      <c r="Q587" s="200"/>
    </row>
    <row r="588">
      <c r="A588" s="35"/>
      <c r="B588" s="35"/>
      <c r="C588" s="35"/>
      <c r="D588" s="378"/>
      <c r="E588" s="35"/>
      <c r="F588" s="35"/>
      <c r="G588" s="35"/>
      <c r="H588" s="35"/>
      <c r="J588" s="200"/>
      <c r="K588" s="200"/>
      <c r="L588" s="248"/>
      <c r="M588" s="200"/>
      <c r="N588" s="200"/>
      <c r="O588" s="200"/>
      <c r="Q588" s="200"/>
    </row>
    <row r="589">
      <c r="A589" s="35"/>
      <c r="B589" s="35"/>
      <c r="C589" s="35"/>
      <c r="D589" s="378"/>
      <c r="E589" s="35"/>
      <c r="F589" s="35"/>
      <c r="G589" s="35"/>
      <c r="H589" s="35"/>
      <c r="J589" s="200"/>
      <c r="K589" s="200"/>
      <c r="L589" s="248"/>
      <c r="M589" s="200"/>
      <c r="N589" s="200"/>
      <c r="O589" s="200"/>
      <c r="Q589" s="200"/>
    </row>
    <row r="590">
      <c r="A590" s="35"/>
      <c r="B590" s="35"/>
      <c r="C590" s="35"/>
      <c r="D590" s="378"/>
      <c r="E590" s="35"/>
      <c r="F590" s="35"/>
      <c r="G590" s="35"/>
      <c r="H590" s="35"/>
      <c r="J590" s="200"/>
      <c r="K590" s="200"/>
      <c r="L590" s="248"/>
      <c r="M590" s="200"/>
      <c r="N590" s="200"/>
      <c r="O590" s="200"/>
      <c r="Q590" s="200"/>
    </row>
    <row r="591">
      <c r="A591" s="35"/>
      <c r="B591" s="35"/>
      <c r="C591" s="35"/>
      <c r="D591" s="378"/>
      <c r="E591" s="35"/>
      <c r="F591" s="35"/>
      <c r="G591" s="35"/>
      <c r="H591" s="35"/>
      <c r="J591" s="200"/>
      <c r="K591" s="200"/>
      <c r="L591" s="248"/>
      <c r="M591" s="200"/>
      <c r="N591" s="200"/>
      <c r="O591" s="200"/>
      <c r="Q591" s="200"/>
    </row>
    <row r="592">
      <c r="A592" s="35"/>
      <c r="B592" s="35"/>
      <c r="C592" s="35"/>
      <c r="D592" s="378"/>
      <c r="E592" s="35"/>
      <c r="F592" s="35"/>
      <c r="G592" s="35"/>
      <c r="H592" s="35"/>
      <c r="J592" s="200"/>
      <c r="K592" s="200"/>
      <c r="L592" s="248"/>
      <c r="M592" s="200"/>
      <c r="N592" s="200"/>
      <c r="O592" s="200"/>
      <c r="Q592" s="200"/>
    </row>
    <row r="593">
      <c r="A593" s="35"/>
      <c r="B593" s="35"/>
      <c r="C593" s="35"/>
      <c r="D593" s="378"/>
      <c r="E593" s="35"/>
      <c r="F593" s="35"/>
      <c r="G593" s="35"/>
      <c r="H593" s="35"/>
      <c r="J593" s="200"/>
      <c r="K593" s="200"/>
      <c r="L593" s="248"/>
      <c r="M593" s="200"/>
      <c r="N593" s="200"/>
      <c r="O593" s="200"/>
      <c r="Q593" s="200"/>
    </row>
    <row r="594">
      <c r="A594" s="35"/>
      <c r="B594" s="35"/>
      <c r="C594" s="35"/>
      <c r="D594" s="378"/>
      <c r="E594" s="35"/>
      <c r="F594" s="35"/>
      <c r="G594" s="35"/>
      <c r="H594" s="35"/>
      <c r="J594" s="200"/>
      <c r="K594" s="200"/>
      <c r="L594" s="248"/>
      <c r="M594" s="200"/>
      <c r="N594" s="200"/>
      <c r="O594" s="200"/>
      <c r="Q594" s="200"/>
    </row>
    <row r="595">
      <c r="A595" s="35"/>
      <c r="B595" s="35"/>
      <c r="C595" s="35"/>
      <c r="D595" s="378"/>
      <c r="E595" s="35"/>
      <c r="F595" s="35"/>
      <c r="G595" s="35"/>
      <c r="H595" s="35"/>
      <c r="J595" s="200"/>
      <c r="K595" s="200"/>
      <c r="L595" s="248"/>
      <c r="M595" s="200"/>
      <c r="N595" s="200"/>
      <c r="O595" s="200"/>
      <c r="Q595" s="200"/>
    </row>
    <row r="596">
      <c r="A596" s="35"/>
      <c r="B596" s="35"/>
      <c r="C596" s="35"/>
      <c r="D596" s="378"/>
      <c r="E596" s="35"/>
      <c r="F596" s="35"/>
      <c r="G596" s="35"/>
      <c r="H596" s="35"/>
      <c r="J596" s="200"/>
      <c r="K596" s="200"/>
      <c r="L596" s="248"/>
      <c r="M596" s="200"/>
      <c r="N596" s="200"/>
      <c r="O596" s="200"/>
      <c r="Q596" s="200"/>
    </row>
    <row r="597">
      <c r="A597" s="35"/>
      <c r="B597" s="35"/>
      <c r="C597" s="35"/>
      <c r="D597" s="378"/>
      <c r="E597" s="35"/>
      <c r="F597" s="35"/>
      <c r="G597" s="35"/>
      <c r="H597" s="35"/>
      <c r="J597" s="200"/>
      <c r="K597" s="200"/>
      <c r="L597" s="248"/>
      <c r="M597" s="200"/>
      <c r="N597" s="200"/>
      <c r="O597" s="200"/>
      <c r="Q597" s="200"/>
    </row>
    <row r="598">
      <c r="A598" s="35"/>
      <c r="B598" s="35"/>
      <c r="C598" s="35"/>
      <c r="D598" s="378"/>
      <c r="E598" s="35"/>
      <c r="F598" s="35"/>
      <c r="G598" s="35"/>
      <c r="H598" s="35"/>
      <c r="J598" s="200"/>
      <c r="K598" s="200"/>
      <c r="L598" s="248"/>
      <c r="M598" s="200"/>
      <c r="N598" s="200"/>
      <c r="O598" s="200"/>
      <c r="Q598" s="200"/>
    </row>
    <row r="599">
      <c r="A599" s="35"/>
      <c r="B599" s="35"/>
      <c r="C599" s="35"/>
      <c r="D599" s="378"/>
      <c r="E599" s="35"/>
      <c r="F599" s="35"/>
      <c r="G599" s="35"/>
      <c r="H599" s="35"/>
      <c r="J599" s="200"/>
      <c r="K599" s="200"/>
      <c r="L599" s="248"/>
      <c r="M599" s="200"/>
      <c r="N599" s="200"/>
      <c r="O599" s="200"/>
      <c r="Q599" s="200"/>
    </row>
    <row r="600">
      <c r="A600" s="35"/>
      <c r="B600" s="35"/>
      <c r="C600" s="35"/>
      <c r="D600" s="378"/>
      <c r="E600" s="35"/>
      <c r="F600" s="35"/>
      <c r="G600" s="35"/>
      <c r="H600" s="35"/>
      <c r="J600" s="200"/>
      <c r="K600" s="200"/>
      <c r="L600" s="248"/>
      <c r="M600" s="200"/>
      <c r="N600" s="200"/>
      <c r="O600" s="200"/>
      <c r="Q600" s="200"/>
    </row>
    <row r="601">
      <c r="A601" s="35"/>
      <c r="B601" s="35"/>
      <c r="C601" s="35"/>
      <c r="D601" s="378"/>
      <c r="E601" s="35"/>
      <c r="F601" s="35"/>
      <c r="G601" s="35"/>
      <c r="H601" s="35"/>
      <c r="J601" s="200"/>
      <c r="K601" s="200"/>
      <c r="L601" s="248"/>
      <c r="M601" s="200"/>
      <c r="N601" s="200"/>
      <c r="O601" s="200"/>
      <c r="Q601" s="200"/>
    </row>
    <row r="602">
      <c r="A602" s="35"/>
      <c r="B602" s="35"/>
      <c r="C602" s="35"/>
      <c r="D602" s="378"/>
      <c r="E602" s="35"/>
      <c r="F602" s="35"/>
      <c r="G602" s="35"/>
      <c r="H602" s="35"/>
      <c r="J602" s="200"/>
      <c r="K602" s="200"/>
      <c r="L602" s="248"/>
      <c r="M602" s="200"/>
      <c r="N602" s="200"/>
      <c r="O602" s="200"/>
      <c r="Q602" s="200"/>
    </row>
    <row r="603">
      <c r="A603" s="35"/>
      <c r="B603" s="35"/>
      <c r="C603" s="35"/>
      <c r="D603" s="378"/>
      <c r="E603" s="35"/>
      <c r="F603" s="35"/>
      <c r="G603" s="35"/>
      <c r="H603" s="35"/>
      <c r="J603" s="200"/>
      <c r="K603" s="200"/>
      <c r="L603" s="248"/>
      <c r="M603" s="200"/>
      <c r="N603" s="200"/>
      <c r="O603" s="200"/>
      <c r="Q603" s="200"/>
    </row>
    <row r="604">
      <c r="A604" s="35"/>
      <c r="B604" s="35"/>
      <c r="C604" s="35"/>
      <c r="D604" s="378"/>
      <c r="E604" s="35"/>
      <c r="F604" s="35"/>
      <c r="G604" s="35"/>
      <c r="H604" s="35"/>
      <c r="J604" s="200"/>
      <c r="K604" s="200"/>
      <c r="L604" s="248"/>
      <c r="M604" s="200"/>
      <c r="N604" s="200"/>
      <c r="O604" s="200"/>
      <c r="Q604" s="200"/>
    </row>
    <row r="605">
      <c r="A605" s="35"/>
      <c r="B605" s="35"/>
      <c r="C605" s="35"/>
      <c r="D605" s="378"/>
      <c r="E605" s="35"/>
      <c r="F605" s="35"/>
      <c r="G605" s="35"/>
      <c r="H605" s="35"/>
      <c r="J605" s="200"/>
      <c r="K605" s="200"/>
      <c r="L605" s="248"/>
      <c r="M605" s="200"/>
      <c r="N605" s="200"/>
      <c r="O605" s="200"/>
      <c r="Q605" s="200"/>
    </row>
    <row r="606">
      <c r="A606" s="35"/>
      <c r="B606" s="35"/>
      <c r="C606" s="35"/>
      <c r="D606" s="378"/>
      <c r="E606" s="35"/>
      <c r="F606" s="35"/>
      <c r="G606" s="35"/>
      <c r="H606" s="35"/>
      <c r="J606" s="200"/>
      <c r="K606" s="200"/>
      <c r="L606" s="248"/>
      <c r="M606" s="200"/>
      <c r="N606" s="200"/>
      <c r="O606" s="200"/>
      <c r="Q606" s="200"/>
    </row>
    <row r="607">
      <c r="A607" s="35"/>
      <c r="B607" s="35"/>
      <c r="C607" s="35"/>
      <c r="D607" s="378"/>
      <c r="E607" s="35"/>
      <c r="F607" s="35"/>
      <c r="G607" s="35"/>
      <c r="H607" s="35"/>
      <c r="J607" s="200"/>
      <c r="K607" s="200"/>
      <c r="L607" s="248"/>
      <c r="M607" s="200"/>
      <c r="N607" s="200"/>
      <c r="O607" s="200"/>
      <c r="Q607" s="200"/>
    </row>
    <row r="608">
      <c r="A608" s="35"/>
      <c r="B608" s="35"/>
      <c r="C608" s="35"/>
      <c r="D608" s="378"/>
      <c r="E608" s="35"/>
      <c r="F608" s="35"/>
      <c r="G608" s="35"/>
      <c r="H608" s="35"/>
      <c r="J608" s="200"/>
      <c r="K608" s="200"/>
      <c r="L608" s="248"/>
      <c r="M608" s="200"/>
      <c r="N608" s="200"/>
      <c r="O608" s="200"/>
      <c r="Q608" s="200"/>
    </row>
    <row r="609">
      <c r="A609" s="35"/>
      <c r="B609" s="35"/>
      <c r="C609" s="35"/>
      <c r="D609" s="378"/>
      <c r="E609" s="35"/>
      <c r="F609" s="35"/>
      <c r="G609" s="35"/>
      <c r="H609" s="35"/>
      <c r="J609" s="200"/>
      <c r="K609" s="200"/>
      <c r="L609" s="248"/>
      <c r="M609" s="200"/>
      <c r="N609" s="200"/>
      <c r="O609" s="200"/>
      <c r="Q609" s="200"/>
    </row>
    <row r="610">
      <c r="A610" s="35"/>
      <c r="B610" s="35"/>
      <c r="C610" s="35"/>
      <c r="D610" s="378"/>
      <c r="E610" s="35"/>
      <c r="F610" s="35"/>
      <c r="G610" s="35"/>
      <c r="H610" s="35"/>
      <c r="J610" s="200"/>
      <c r="K610" s="200"/>
      <c r="L610" s="248"/>
      <c r="M610" s="200"/>
      <c r="N610" s="200"/>
      <c r="O610" s="200"/>
      <c r="Q610" s="200"/>
    </row>
    <row r="611">
      <c r="A611" s="35"/>
      <c r="B611" s="35"/>
      <c r="C611" s="35"/>
      <c r="D611" s="378"/>
      <c r="E611" s="35"/>
      <c r="F611" s="35"/>
      <c r="G611" s="35"/>
      <c r="H611" s="35"/>
      <c r="J611" s="200"/>
      <c r="K611" s="200"/>
      <c r="L611" s="248"/>
      <c r="M611" s="200"/>
      <c r="N611" s="200"/>
      <c r="O611" s="200"/>
      <c r="Q611" s="200"/>
    </row>
    <row r="612">
      <c r="A612" s="35"/>
      <c r="B612" s="35"/>
      <c r="C612" s="35"/>
      <c r="D612" s="378"/>
      <c r="E612" s="35"/>
      <c r="F612" s="35"/>
      <c r="G612" s="35"/>
      <c r="H612" s="35"/>
      <c r="J612" s="200"/>
      <c r="K612" s="200"/>
      <c r="L612" s="248"/>
      <c r="M612" s="200"/>
      <c r="N612" s="200"/>
      <c r="O612" s="200"/>
      <c r="Q612" s="200"/>
    </row>
    <row r="613">
      <c r="A613" s="35"/>
      <c r="B613" s="35"/>
      <c r="C613" s="35"/>
      <c r="D613" s="378"/>
      <c r="E613" s="35"/>
      <c r="F613" s="35"/>
      <c r="G613" s="35"/>
      <c r="H613" s="35"/>
      <c r="J613" s="200"/>
      <c r="K613" s="200"/>
      <c r="L613" s="248"/>
      <c r="M613" s="200"/>
      <c r="N613" s="200"/>
      <c r="O613" s="200"/>
      <c r="Q613" s="200"/>
    </row>
    <row r="614">
      <c r="A614" s="35"/>
      <c r="B614" s="35"/>
      <c r="C614" s="35"/>
      <c r="D614" s="378"/>
      <c r="E614" s="35"/>
      <c r="F614" s="35"/>
      <c r="G614" s="35"/>
      <c r="H614" s="35"/>
      <c r="J614" s="200"/>
      <c r="K614" s="200"/>
      <c r="L614" s="248"/>
      <c r="M614" s="200"/>
      <c r="N614" s="200"/>
      <c r="O614" s="200"/>
      <c r="Q614" s="200"/>
    </row>
    <row r="615">
      <c r="A615" s="35"/>
      <c r="B615" s="35"/>
      <c r="C615" s="35"/>
      <c r="D615" s="378"/>
      <c r="E615" s="35"/>
      <c r="F615" s="35"/>
      <c r="G615" s="35"/>
      <c r="H615" s="35"/>
      <c r="J615" s="200"/>
      <c r="K615" s="200"/>
      <c r="L615" s="248"/>
      <c r="M615" s="200"/>
      <c r="N615" s="200"/>
      <c r="O615" s="200"/>
      <c r="Q615" s="200"/>
    </row>
    <row r="616">
      <c r="A616" s="35"/>
      <c r="B616" s="35"/>
      <c r="C616" s="35"/>
      <c r="D616" s="378"/>
      <c r="E616" s="35"/>
      <c r="F616" s="35"/>
      <c r="G616" s="35"/>
      <c r="H616" s="35"/>
      <c r="J616" s="200"/>
      <c r="K616" s="200"/>
      <c r="L616" s="248"/>
      <c r="M616" s="200"/>
      <c r="N616" s="200"/>
      <c r="O616" s="200"/>
      <c r="Q616" s="200"/>
    </row>
    <row r="617">
      <c r="A617" s="35"/>
      <c r="B617" s="35"/>
      <c r="C617" s="35"/>
      <c r="D617" s="378"/>
      <c r="E617" s="35"/>
      <c r="F617" s="35"/>
      <c r="G617" s="35"/>
      <c r="H617" s="35"/>
      <c r="J617" s="200"/>
      <c r="K617" s="200"/>
      <c r="L617" s="248"/>
      <c r="M617" s="200"/>
      <c r="N617" s="200"/>
      <c r="O617" s="200"/>
      <c r="Q617" s="200"/>
    </row>
    <row r="618">
      <c r="A618" s="35"/>
      <c r="B618" s="35"/>
      <c r="C618" s="35"/>
      <c r="D618" s="378"/>
      <c r="E618" s="35"/>
      <c r="F618" s="35"/>
      <c r="G618" s="35"/>
      <c r="H618" s="35"/>
      <c r="J618" s="200"/>
      <c r="K618" s="200"/>
      <c r="L618" s="248"/>
      <c r="M618" s="200"/>
      <c r="N618" s="200"/>
      <c r="O618" s="200"/>
      <c r="Q618" s="200"/>
    </row>
    <row r="619">
      <c r="A619" s="35"/>
      <c r="B619" s="35"/>
      <c r="C619" s="35"/>
      <c r="D619" s="378"/>
      <c r="E619" s="35"/>
      <c r="F619" s="35"/>
      <c r="G619" s="35"/>
      <c r="H619" s="35"/>
      <c r="J619" s="200"/>
      <c r="K619" s="200"/>
      <c r="L619" s="248"/>
      <c r="M619" s="200"/>
      <c r="N619" s="200"/>
      <c r="O619" s="200"/>
      <c r="Q619" s="200"/>
    </row>
    <row r="620">
      <c r="A620" s="35"/>
      <c r="B620" s="35"/>
      <c r="C620" s="35"/>
      <c r="D620" s="378"/>
      <c r="E620" s="35"/>
      <c r="F620" s="35"/>
      <c r="G620" s="35"/>
      <c r="H620" s="35"/>
      <c r="J620" s="200"/>
      <c r="K620" s="200"/>
      <c r="L620" s="248"/>
      <c r="M620" s="200"/>
      <c r="N620" s="200"/>
      <c r="O620" s="200"/>
      <c r="Q620" s="200"/>
    </row>
    <row r="621">
      <c r="A621" s="35"/>
      <c r="B621" s="35"/>
      <c r="C621" s="35"/>
      <c r="D621" s="378"/>
      <c r="E621" s="35"/>
      <c r="F621" s="35"/>
      <c r="G621" s="35"/>
      <c r="H621" s="35"/>
      <c r="J621" s="200"/>
      <c r="K621" s="200"/>
      <c r="L621" s="248"/>
      <c r="M621" s="200"/>
      <c r="N621" s="200"/>
      <c r="O621" s="200"/>
      <c r="Q621" s="200"/>
    </row>
    <row r="622">
      <c r="A622" s="35"/>
      <c r="B622" s="35"/>
      <c r="C622" s="35"/>
      <c r="D622" s="378"/>
      <c r="E622" s="35"/>
      <c r="F622" s="35"/>
      <c r="G622" s="35"/>
      <c r="H622" s="35"/>
      <c r="J622" s="200"/>
      <c r="K622" s="200"/>
      <c r="L622" s="248"/>
      <c r="M622" s="200"/>
      <c r="N622" s="200"/>
      <c r="O622" s="200"/>
      <c r="Q622" s="200"/>
    </row>
    <row r="623">
      <c r="A623" s="35"/>
      <c r="B623" s="35"/>
      <c r="C623" s="35"/>
      <c r="D623" s="378"/>
      <c r="E623" s="35"/>
      <c r="F623" s="35"/>
      <c r="G623" s="35"/>
      <c r="H623" s="35"/>
      <c r="J623" s="200"/>
      <c r="K623" s="200"/>
      <c r="L623" s="248"/>
      <c r="M623" s="200"/>
      <c r="N623" s="200"/>
      <c r="O623" s="200"/>
      <c r="Q623" s="200"/>
    </row>
    <row r="624">
      <c r="A624" s="35"/>
      <c r="B624" s="35"/>
      <c r="C624" s="35"/>
      <c r="D624" s="378"/>
      <c r="E624" s="35"/>
      <c r="F624" s="35"/>
      <c r="G624" s="35"/>
      <c r="H624" s="35"/>
      <c r="J624" s="200"/>
      <c r="K624" s="200"/>
      <c r="L624" s="248"/>
      <c r="M624" s="200"/>
      <c r="N624" s="200"/>
      <c r="O624" s="200"/>
      <c r="Q624" s="200"/>
    </row>
    <row r="625">
      <c r="A625" s="35"/>
      <c r="B625" s="35"/>
      <c r="C625" s="35"/>
      <c r="D625" s="378"/>
      <c r="E625" s="35"/>
      <c r="F625" s="35"/>
      <c r="G625" s="35"/>
      <c r="H625" s="35"/>
      <c r="J625" s="200"/>
      <c r="K625" s="200"/>
      <c r="L625" s="248"/>
      <c r="M625" s="200"/>
      <c r="N625" s="200"/>
      <c r="O625" s="200"/>
      <c r="Q625" s="200"/>
    </row>
    <row r="626">
      <c r="A626" s="35"/>
      <c r="B626" s="35"/>
      <c r="C626" s="35"/>
      <c r="D626" s="378"/>
      <c r="E626" s="35"/>
      <c r="F626" s="35"/>
      <c r="G626" s="35"/>
      <c r="H626" s="35"/>
      <c r="J626" s="200"/>
      <c r="K626" s="200"/>
      <c r="L626" s="248"/>
      <c r="M626" s="200"/>
      <c r="N626" s="200"/>
      <c r="O626" s="200"/>
      <c r="Q626" s="200"/>
    </row>
    <row r="627">
      <c r="A627" s="35"/>
      <c r="B627" s="35"/>
      <c r="C627" s="35"/>
      <c r="D627" s="378"/>
      <c r="E627" s="35"/>
      <c r="F627" s="35"/>
      <c r="G627" s="35"/>
      <c r="H627" s="35"/>
      <c r="J627" s="200"/>
      <c r="K627" s="200"/>
      <c r="L627" s="248"/>
      <c r="M627" s="200"/>
      <c r="N627" s="200"/>
      <c r="O627" s="200"/>
      <c r="Q627" s="200"/>
    </row>
    <row r="628">
      <c r="A628" s="35"/>
      <c r="B628" s="35"/>
      <c r="C628" s="35"/>
      <c r="D628" s="378"/>
      <c r="E628" s="35"/>
      <c r="F628" s="35"/>
      <c r="G628" s="35"/>
      <c r="H628" s="35"/>
      <c r="J628" s="200"/>
      <c r="K628" s="200"/>
      <c r="L628" s="248"/>
      <c r="M628" s="200"/>
      <c r="N628" s="200"/>
      <c r="O628" s="200"/>
      <c r="Q628" s="200"/>
    </row>
    <row r="629">
      <c r="A629" s="35"/>
      <c r="B629" s="35"/>
      <c r="C629" s="35"/>
      <c r="D629" s="378"/>
      <c r="E629" s="35"/>
      <c r="F629" s="35"/>
      <c r="G629" s="35"/>
      <c r="H629" s="35"/>
      <c r="J629" s="200"/>
      <c r="K629" s="200"/>
      <c r="L629" s="248"/>
      <c r="M629" s="200"/>
      <c r="N629" s="200"/>
      <c r="O629" s="200"/>
      <c r="Q629" s="200"/>
    </row>
    <row r="630">
      <c r="A630" s="35"/>
      <c r="B630" s="35"/>
      <c r="C630" s="35"/>
      <c r="D630" s="378"/>
      <c r="E630" s="35"/>
      <c r="F630" s="35"/>
      <c r="G630" s="35"/>
      <c r="H630" s="35"/>
      <c r="J630" s="200"/>
      <c r="K630" s="200"/>
      <c r="L630" s="248"/>
      <c r="M630" s="200"/>
      <c r="N630" s="200"/>
      <c r="O630" s="200"/>
      <c r="Q630" s="200"/>
    </row>
    <row r="631">
      <c r="A631" s="35"/>
      <c r="B631" s="35"/>
      <c r="C631" s="35"/>
      <c r="D631" s="378"/>
      <c r="E631" s="35"/>
      <c r="F631" s="35"/>
      <c r="G631" s="35"/>
      <c r="H631" s="35"/>
      <c r="J631" s="200"/>
      <c r="K631" s="200"/>
      <c r="L631" s="248"/>
      <c r="M631" s="200"/>
      <c r="N631" s="200"/>
      <c r="O631" s="200"/>
      <c r="Q631" s="200"/>
    </row>
    <row r="632">
      <c r="A632" s="35"/>
      <c r="B632" s="35"/>
      <c r="C632" s="35"/>
      <c r="D632" s="378"/>
      <c r="E632" s="35"/>
      <c r="F632" s="35"/>
      <c r="G632" s="35"/>
      <c r="H632" s="35"/>
      <c r="J632" s="200"/>
      <c r="K632" s="200"/>
      <c r="L632" s="248"/>
      <c r="M632" s="200"/>
      <c r="N632" s="200"/>
      <c r="O632" s="200"/>
      <c r="Q632" s="200"/>
    </row>
    <row r="633">
      <c r="A633" s="35"/>
      <c r="B633" s="35"/>
      <c r="C633" s="35"/>
      <c r="D633" s="378"/>
      <c r="E633" s="35"/>
      <c r="F633" s="35"/>
      <c r="G633" s="35"/>
      <c r="H633" s="35"/>
      <c r="J633" s="200"/>
      <c r="K633" s="200"/>
      <c r="L633" s="248"/>
      <c r="M633" s="200"/>
      <c r="N633" s="200"/>
      <c r="O633" s="200"/>
      <c r="Q633" s="200"/>
    </row>
    <row r="634">
      <c r="A634" s="35"/>
      <c r="B634" s="35"/>
      <c r="C634" s="35"/>
      <c r="D634" s="378"/>
      <c r="E634" s="35"/>
      <c r="F634" s="35"/>
      <c r="G634" s="35"/>
      <c r="H634" s="35"/>
      <c r="J634" s="200"/>
      <c r="K634" s="200"/>
      <c r="L634" s="248"/>
      <c r="M634" s="200"/>
      <c r="N634" s="200"/>
      <c r="O634" s="200"/>
      <c r="Q634" s="200"/>
    </row>
    <row r="635">
      <c r="A635" s="35"/>
      <c r="B635" s="35"/>
      <c r="C635" s="35"/>
      <c r="D635" s="378"/>
      <c r="E635" s="35"/>
      <c r="F635" s="35"/>
      <c r="G635" s="35"/>
      <c r="H635" s="35"/>
      <c r="J635" s="200"/>
      <c r="K635" s="200"/>
      <c r="L635" s="248"/>
      <c r="M635" s="200"/>
      <c r="N635" s="200"/>
      <c r="O635" s="200"/>
      <c r="Q635" s="200"/>
    </row>
    <row r="636">
      <c r="A636" s="35"/>
      <c r="B636" s="35"/>
      <c r="C636" s="35"/>
      <c r="D636" s="378"/>
      <c r="E636" s="35"/>
      <c r="F636" s="35"/>
      <c r="G636" s="35"/>
      <c r="H636" s="35"/>
      <c r="J636" s="200"/>
      <c r="K636" s="200"/>
      <c r="L636" s="248"/>
      <c r="M636" s="200"/>
      <c r="N636" s="200"/>
      <c r="O636" s="200"/>
      <c r="Q636" s="200"/>
    </row>
    <row r="637">
      <c r="A637" s="35"/>
      <c r="B637" s="35"/>
      <c r="C637" s="35"/>
      <c r="D637" s="378"/>
      <c r="E637" s="35"/>
      <c r="F637" s="35"/>
      <c r="G637" s="35"/>
      <c r="H637" s="35"/>
      <c r="J637" s="200"/>
      <c r="K637" s="200"/>
      <c r="L637" s="248"/>
      <c r="M637" s="200"/>
      <c r="N637" s="200"/>
      <c r="O637" s="200"/>
      <c r="Q637" s="200"/>
    </row>
    <row r="638">
      <c r="A638" s="35"/>
      <c r="B638" s="35"/>
      <c r="C638" s="35"/>
      <c r="D638" s="378"/>
      <c r="E638" s="35"/>
      <c r="F638" s="35"/>
      <c r="G638" s="35"/>
      <c r="H638" s="35"/>
      <c r="J638" s="200"/>
      <c r="K638" s="200"/>
      <c r="L638" s="248"/>
      <c r="M638" s="200"/>
      <c r="N638" s="200"/>
      <c r="O638" s="200"/>
      <c r="Q638" s="200"/>
    </row>
    <row r="639">
      <c r="A639" s="35"/>
      <c r="B639" s="35"/>
      <c r="C639" s="35"/>
      <c r="D639" s="378"/>
      <c r="E639" s="35"/>
      <c r="F639" s="35"/>
      <c r="G639" s="35"/>
      <c r="H639" s="35"/>
      <c r="J639" s="200"/>
      <c r="K639" s="200"/>
      <c r="L639" s="248"/>
      <c r="M639" s="200"/>
      <c r="N639" s="200"/>
      <c r="O639" s="200"/>
      <c r="Q639" s="200"/>
    </row>
    <row r="640">
      <c r="A640" s="35"/>
      <c r="B640" s="35"/>
      <c r="C640" s="35"/>
      <c r="D640" s="378"/>
      <c r="E640" s="35"/>
      <c r="F640" s="35"/>
      <c r="G640" s="35"/>
      <c r="H640" s="35"/>
      <c r="J640" s="200"/>
      <c r="K640" s="200"/>
      <c r="L640" s="248"/>
      <c r="M640" s="200"/>
      <c r="N640" s="200"/>
      <c r="O640" s="200"/>
      <c r="Q640" s="200"/>
    </row>
    <row r="641">
      <c r="A641" s="35"/>
      <c r="B641" s="35"/>
      <c r="C641" s="35"/>
      <c r="D641" s="378"/>
      <c r="E641" s="35"/>
      <c r="F641" s="35"/>
      <c r="G641" s="35"/>
      <c r="H641" s="35"/>
      <c r="J641" s="200"/>
      <c r="K641" s="200"/>
      <c r="L641" s="248"/>
      <c r="M641" s="200"/>
      <c r="N641" s="200"/>
      <c r="O641" s="200"/>
      <c r="Q641" s="200"/>
    </row>
    <row r="642">
      <c r="A642" s="35"/>
      <c r="B642" s="35"/>
      <c r="C642" s="35"/>
      <c r="D642" s="378"/>
      <c r="E642" s="35"/>
      <c r="F642" s="35"/>
      <c r="G642" s="35"/>
      <c r="H642" s="35"/>
      <c r="J642" s="200"/>
      <c r="K642" s="200"/>
      <c r="L642" s="248"/>
      <c r="M642" s="200"/>
      <c r="N642" s="200"/>
      <c r="O642" s="200"/>
      <c r="Q642" s="200"/>
    </row>
    <row r="643">
      <c r="A643" s="35"/>
      <c r="B643" s="35"/>
      <c r="C643" s="35"/>
      <c r="D643" s="378"/>
      <c r="E643" s="35"/>
      <c r="F643" s="35"/>
      <c r="G643" s="35"/>
      <c r="H643" s="35"/>
      <c r="J643" s="200"/>
      <c r="K643" s="200"/>
      <c r="L643" s="248"/>
      <c r="M643" s="200"/>
      <c r="N643" s="200"/>
      <c r="O643" s="200"/>
      <c r="Q643" s="200"/>
    </row>
    <row r="644">
      <c r="A644" s="35"/>
      <c r="B644" s="35"/>
      <c r="C644" s="35"/>
      <c r="D644" s="378"/>
      <c r="E644" s="35"/>
      <c r="F644" s="35"/>
      <c r="G644" s="35"/>
      <c r="H644" s="35"/>
      <c r="J644" s="200"/>
      <c r="K644" s="200"/>
      <c r="L644" s="248"/>
      <c r="M644" s="200"/>
      <c r="N644" s="200"/>
      <c r="O644" s="200"/>
      <c r="Q644" s="200"/>
    </row>
    <row r="645">
      <c r="A645" s="35"/>
      <c r="B645" s="35"/>
      <c r="C645" s="35"/>
      <c r="D645" s="378"/>
      <c r="E645" s="35"/>
      <c r="F645" s="35"/>
      <c r="G645" s="35"/>
      <c r="H645" s="35"/>
      <c r="J645" s="200"/>
      <c r="K645" s="200"/>
      <c r="L645" s="248"/>
      <c r="M645" s="200"/>
      <c r="N645" s="200"/>
      <c r="O645" s="200"/>
      <c r="Q645" s="200"/>
    </row>
    <row r="646">
      <c r="A646" s="35"/>
      <c r="B646" s="35"/>
      <c r="C646" s="35"/>
      <c r="D646" s="378"/>
      <c r="E646" s="35"/>
      <c r="F646" s="35"/>
      <c r="G646" s="35"/>
      <c r="H646" s="35"/>
      <c r="J646" s="200"/>
      <c r="K646" s="200"/>
      <c r="L646" s="248"/>
      <c r="M646" s="200"/>
      <c r="N646" s="200"/>
      <c r="O646" s="200"/>
      <c r="Q646" s="200"/>
    </row>
    <row r="647">
      <c r="A647" s="35"/>
      <c r="B647" s="35"/>
      <c r="C647" s="35"/>
      <c r="D647" s="378"/>
      <c r="E647" s="35"/>
      <c r="F647" s="35"/>
      <c r="G647" s="35"/>
      <c r="H647" s="35"/>
      <c r="J647" s="200"/>
      <c r="K647" s="200"/>
      <c r="L647" s="248"/>
      <c r="M647" s="200"/>
      <c r="N647" s="200"/>
      <c r="O647" s="200"/>
      <c r="Q647" s="200"/>
    </row>
    <row r="648">
      <c r="A648" s="35"/>
      <c r="B648" s="35"/>
      <c r="C648" s="35"/>
      <c r="D648" s="378"/>
      <c r="E648" s="35"/>
      <c r="F648" s="35"/>
      <c r="G648" s="35"/>
      <c r="H648" s="35"/>
      <c r="J648" s="200"/>
      <c r="K648" s="200"/>
      <c r="L648" s="248"/>
      <c r="M648" s="200"/>
      <c r="N648" s="200"/>
      <c r="O648" s="200"/>
      <c r="Q648" s="200"/>
    </row>
    <row r="649">
      <c r="A649" s="35"/>
      <c r="B649" s="35"/>
      <c r="C649" s="35"/>
      <c r="D649" s="378"/>
      <c r="E649" s="35"/>
      <c r="F649" s="35"/>
      <c r="G649" s="35"/>
      <c r="H649" s="35"/>
      <c r="J649" s="200"/>
      <c r="K649" s="200"/>
      <c r="L649" s="248"/>
      <c r="M649" s="200"/>
      <c r="N649" s="200"/>
      <c r="O649" s="200"/>
      <c r="Q649" s="200"/>
    </row>
    <row r="650">
      <c r="A650" s="35"/>
      <c r="B650" s="35"/>
      <c r="C650" s="35"/>
      <c r="D650" s="378"/>
      <c r="E650" s="35"/>
      <c r="F650" s="35"/>
      <c r="G650" s="35"/>
      <c r="H650" s="35"/>
      <c r="J650" s="200"/>
      <c r="K650" s="200"/>
      <c r="L650" s="248"/>
      <c r="M650" s="200"/>
      <c r="N650" s="200"/>
      <c r="O650" s="200"/>
      <c r="Q650" s="200"/>
    </row>
    <row r="651">
      <c r="A651" s="35"/>
      <c r="B651" s="35"/>
      <c r="C651" s="35"/>
      <c r="D651" s="378"/>
      <c r="E651" s="35"/>
      <c r="F651" s="35"/>
      <c r="G651" s="35"/>
      <c r="H651" s="35"/>
      <c r="J651" s="200"/>
      <c r="K651" s="200"/>
      <c r="L651" s="248"/>
      <c r="M651" s="200"/>
      <c r="N651" s="200"/>
      <c r="O651" s="200"/>
      <c r="Q651" s="200"/>
    </row>
    <row r="652">
      <c r="A652" s="35"/>
      <c r="B652" s="35"/>
      <c r="C652" s="35"/>
      <c r="D652" s="378"/>
      <c r="E652" s="35"/>
      <c r="F652" s="35"/>
      <c r="G652" s="35"/>
      <c r="H652" s="35"/>
      <c r="J652" s="200"/>
      <c r="K652" s="200"/>
      <c r="L652" s="248"/>
      <c r="M652" s="200"/>
      <c r="N652" s="200"/>
      <c r="O652" s="200"/>
      <c r="Q652" s="200"/>
    </row>
    <row r="653">
      <c r="A653" s="35"/>
      <c r="B653" s="35"/>
      <c r="C653" s="35"/>
      <c r="D653" s="378"/>
      <c r="E653" s="35"/>
      <c r="F653" s="35"/>
      <c r="G653" s="35"/>
      <c r="H653" s="35"/>
      <c r="J653" s="200"/>
      <c r="K653" s="200"/>
      <c r="L653" s="248"/>
      <c r="M653" s="200"/>
      <c r="N653" s="200"/>
      <c r="O653" s="200"/>
      <c r="Q653" s="200"/>
    </row>
    <row r="654">
      <c r="A654" s="35"/>
      <c r="B654" s="35"/>
      <c r="C654" s="35"/>
      <c r="D654" s="378"/>
      <c r="E654" s="35"/>
      <c r="F654" s="35"/>
      <c r="G654" s="35"/>
      <c r="H654" s="35"/>
      <c r="J654" s="200"/>
      <c r="K654" s="200"/>
      <c r="L654" s="248"/>
      <c r="M654" s="200"/>
      <c r="N654" s="200"/>
      <c r="O654" s="200"/>
      <c r="Q654" s="200"/>
    </row>
    <row r="655">
      <c r="A655" s="35"/>
      <c r="B655" s="35"/>
      <c r="C655" s="35"/>
      <c r="D655" s="378"/>
      <c r="E655" s="35"/>
      <c r="F655" s="35"/>
      <c r="G655" s="35"/>
      <c r="H655" s="35"/>
      <c r="J655" s="200"/>
      <c r="K655" s="200"/>
      <c r="L655" s="248"/>
      <c r="M655" s="200"/>
      <c r="N655" s="200"/>
      <c r="O655" s="200"/>
      <c r="Q655" s="200"/>
    </row>
    <row r="656">
      <c r="A656" s="35"/>
      <c r="B656" s="35"/>
      <c r="C656" s="35"/>
      <c r="D656" s="378"/>
      <c r="E656" s="35"/>
      <c r="F656" s="35"/>
      <c r="G656" s="35"/>
      <c r="H656" s="35"/>
      <c r="J656" s="200"/>
      <c r="K656" s="200"/>
      <c r="L656" s="248"/>
      <c r="M656" s="200"/>
      <c r="N656" s="200"/>
      <c r="O656" s="200"/>
      <c r="Q656" s="200"/>
    </row>
    <row r="657">
      <c r="A657" s="35"/>
      <c r="B657" s="35"/>
      <c r="C657" s="35"/>
      <c r="D657" s="378"/>
      <c r="E657" s="35"/>
      <c r="F657" s="35"/>
      <c r="G657" s="35"/>
      <c r="H657" s="35"/>
      <c r="J657" s="200"/>
      <c r="K657" s="200"/>
      <c r="L657" s="248"/>
      <c r="M657" s="200"/>
      <c r="N657" s="200"/>
      <c r="O657" s="200"/>
      <c r="Q657" s="200"/>
    </row>
    <row r="658">
      <c r="A658" s="35"/>
      <c r="B658" s="35"/>
      <c r="C658" s="35"/>
      <c r="D658" s="378"/>
      <c r="E658" s="35"/>
      <c r="F658" s="35"/>
      <c r="G658" s="35"/>
      <c r="H658" s="35"/>
      <c r="J658" s="200"/>
      <c r="K658" s="200"/>
      <c r="L658" s="248"/>
      <c r="M658" s="200"/>
      <c r="N658" s="200"/>
      <c r="O658" s="200"/>
      <c r="Q658" s="200"/>
    </row>
    <row r="659">
      <c r="A659" s="35"/>
      <c r="B659" s="35"/>
      <c r="C659" s="35"/>
      <c r="D659" s="378"/>
      <c r="E659" s="35"/>
      <c r="F659" s="35"/>
      <c r="G659" s="35"/>
      <c r="H659" s="35"/>
      <c r="J659" s="200"/>
      <c r="K659" s="200"/>
      <c r="L659" s="248"/>
      <c r="M659" s="200"/>
      <c r="N659" s="200"/>
      <c r="O659" s="200"/>
      <c r="Q659" s="200"/>
    </row>
    <row r="660">
      <c r="A660" s="35"/>
      <c r="B660" s="35"/>
      <c r="C660" s="35"/>
      <c r="D660" s="378"/>
      <c r="E660" s="35"/>
      <c r="F660" s="35"/>
      <c r="G660" s="35"/>
      <c r="H660" s="35"/>
      <c r="J660" s="200"/>
      <c r="K660" s="200"/>
      <c r="L660" s="248"/>
      <c r="M660" s="200"/>
      <c r="N660" s="200"/>
      <c r="O660" s="200"/>
      <c r="Q660" s="200"/>
    </row>
    <row r="661">
      <c r="A661" s="35"/>
      <c r="B661" s="35"/>
      <c r="C661" s="35"/>
      <c r="D661" s="378"/>
      <c r="E661" s="35"/>
      <c r="F661" s="35"/>
      <c r="G661" s="35"/>
      <c r="H661" s="35"/>
      <c r="J661" s="200"/>
      <c r="K661" s="200"/>
      <c r="L661" s="248"/>
      <c r="M661" s="200"/>
      <c r="N661" s="200"/>
      <c r="O661" s="200"/>
      <c r="Q661" s="200"/>
    </row>
    <row r="662">
      <c r="A662" s="35"/>
      <c r="B662" s="35"/>
      <c r="C662" s="35"/>
      <c r="D662" s="378"/>
      <c r="E662" s="35"/>
      <c r="F662" s="35"/>
      <c r="G662" s="35"/>
      <c r="H662" s="35"/>
      <c r="J662" s="200"/>
      <c r="K662" s="200"/>
      <c r="L662" s="248"/>
      <c r="M662" s="200"/>
      <c r="N662" s="200"/>
      <c r="O662" s="200"/>
      <c r="Q662" s="200"/>
    </row>
    <row r="663">
      <c r="A663" s="35"/>
      <c r="B663" s="35"/>
      <c r="C663" s="35"/>
      <c r="D663" s="378"/>
      <c r="E663" s="35"/>
      <c r="F663" s="35"/>
      <c r="G663" s="35"/>
      <c r="H663" s="35"/>
      <c r="J663" s="200"/>
      <c r="K663" s="200"/>
      <c r="L663" s="248"/>
      <c r="M663" s="200"/>
      <c r="N663" s="200"/>
      <c r="O663" s="200"/>
      <c r="Q663" s="200"/>
    </row>
    <row r="664">
      <c r="A664" s="35"/>
      <c r="B664" s="35"/>
      <c r="C664" s="35"/>
      <c r="D664" s="378"/>
      <c r="E664" s="35"/>
      <c r="F664" s="35"/>
      <c r="G664" s="35"/>
      <c r="H664" s="35"/>
      <c r="J664" s="200"/>
      <c r="K664" s="200"/>
      <c r="L664" s="248"/>
      <c r="M664" s="200"/>
      <c r="N664" s="200"/>
      <c r="O664" s="200"/>
      <c r="Q664" s="200"/>
    </row>
    <row r="665">
      <c r="A665" s="35"/>
      <c r="B665" s="35"/>
      <c r="C665" s="35"/>
      <c r="D665" s="378"/>
      <c r="E665" s="35"/>
      <c r="F665" s="35"/>
      <c r="G665" s="35"/>
      <c r="H665" s="35"/>
      <c r="J665" s="200"/>
      <c r="K665" s="200"/>
      <c r="L665" s="248"/>
      <c r="M665" s="200"/>
      <c r="N665" s="200"/>
      <c r="O665" s="200"/>
      <c r="Q665" s="200"/>
    </row>
    <row r="666">
      <c r="A666" s="35"/>
      <c r="B666" s="35"/>
      <c r="C666" s="35"/>
      <c r="D666" s="378"/>
      <c r="E666" s="35"/>
      <c r="F666" s="35"/>
      <c r="G666" s="35"/>
      <c r="H666" s="35"/>
      <c r="J666" s="200"/>
      <c r="K666" s="200"/>
      <c r="L666" s="248"/>
      <c r="M666" s="200"/>
      <c r="N666" s="200"/>
      <c r="O666" s="200"/>
      <c r="Q666" s="200"/>
    </row>
    <row r="667">
      <c r="A667" s="35"/>
      <c r="B667" s="35"/>
      <c r="C667" s="35"/>
      <c r="D667" s="378"/>
      <c r="E667" s="35"/>
      <c r="F667" s="35"/>
      <c r="G667" s="35"/>
      <c r="H667" s="35"/>
      <c r="J667" s="200"/>
      <c r="K667" s="200"/>
      <c r="L667" s="248"/>
      <c r="M667" s="200"/>
      <c r="N667" s="200"/>
      <c r="O667" s="200"/>
      <c r="Q667" s="200"/>
    </row>
    <row r="668">
      <c r="A668" s="35"/>
      <c r="B668" s="35"/>
      <c r="C668" s="35"/>
      <c r="D668" s="378"/>
      <c r="E668" s="35"/>
      <c r="F668" s="35"/>
      <c r="G668" s="35"/>
      <c r="H668" s="35"/>
      <c r="J668" s="200"/>
      <c r="K668" s="200"/>
      <c r="L668" s="248"/>
      <c r="M668" s="200"/>
      <c r="N668" s="200"/>
      <c r="O668" s="200"/>
      <c r="Q668" s="200"/>
    </row>
    <row r="669">
      <c r="A669" s="35"/>
      <c r="B669" s="35"/>
      <c r="C669" s="35"/>
      <c r="D669" s="378"/>
      <c r="E669" s="35"/>
      <c r="F669" s="35"/>
      <c r="G669" s="35"/>
      <c r="H669" s="35"/>
      <c r="J669" s="200"/>
      <c r="K669" s="200"/>
      <c r="L669" s="248"/>
      <c r="M669" s="200"/>
      <c r="N669" s="200"/>
      <c r="O669" s="200"/>
      <c r="Q669" s="200"/>
    </row>
    <row r="670">
      <c r="A670" s="35"/>
      <c r="B670" s="35"/>
      <c r="C670" s="35"/>
      <c r="D670" s="378"/>
      <c r="E670" s="35"/>
      <c r="F670" s="35"/>
      <c r="G670" s="35"/>
      <c r="H670" s="35"/>
      <c r="J670" s="200"/>
      <c r="K670" s="200"/>
      <c r="L670" s="248"/>
      <c r="M670" s="200"/>
      <c r="N670" s="200"/>
      <c r="O670" s="200"/>
      <c r="Q670" s="200"/>
    </row>
    <row r="671">
      <c r="A671" s="35"/>
      <c r="B671" s="35"/>
      <c r="C671" s="35"/>
      <c r="D671" s="378"/>
      <c r="E671" s="35"/>
      <c r="F671" s="35"/>
      <c r="G671" s="35"/>
      <c r="H671" s="35"/>
      <c r="J671" s="200"/>
      <c r="K671" s="200"/>
      <c r="L671" s="248"/>
      <c r="M671" s="200"/>
      <c r="N671" s="200"/>
      <c r="O671" s="200"/>
      <c r="Q671" s="200"/>
    </row>
    <row r="672">
      <c r="A672" s="35"/>
      <c r="B672" s="35"/>
      <c r="C672" s="35"/>
      <c r="D672" s="378"/>
      <c r="E672" s="35"/>
      <c r="F672" s="35"/>
      <c r="G672" s="35"/>
      <c r="H672" s="35"/>
      <c r="J672" s="200"/>
      <c r="K672" s="200"/>
      <c r="L672" s="248"/>
      <c r="M672" s="200"/>
      <c r="N672" s="200"/>
      <c r="O672" s="200"/>
      <c r="Q672" s="200"/>
    </row>
    <row r="673">
      <c r="A673" s="35"/>
      <c r="B673" s="35"/>
      <c r="C673" s="35"/>
      <c r="D673" s="378"/>
      <c r="E673" s="35"/>
      <c r="F673" s="35"/>
      <c r="G673" s="35"/>
      <c r="H673" s="35"/>
      <c r="J673" s="200"/>
      <c r="K673" s="200"/>
      <c r="L673" s="248"/>
      <c r="M673" s="200"/>
      <c r="N673" s="200"/>
      <c r="O673" s="200"/>
      <c r="Q673" s="200"/>
    </row>
    <row r="674">
      <c r="A674" s="35"/>
      <c r="B674" s="35"/>
      <c r="C674" s="35"/>
      <c r="D674" s="378"/>
      <c r="E674" s="35"/>
      <c r="F674" s="35"/>
      <c r="G674" s="35"/>
      <c r="H674" s="35"/>
      <c r="J674" s="200"/>
      <c r="K674" s="200"/>
      <c r="L674" s="248"/>
      <c r="M674" s="200"/>
      <c r="N674" s="200"/>
      <c r="O674" s="200"/>
      <c r="Q674" s="200"/>
    </row>
    <row r="675">
      <c r="A675" s="35"/>
      <c r="B675" s="35"/>
      <c r="C675" s="35"/>
      <c r="D675" s="378"/>
      <c r="E675" s="35"/>
      <c r="F675" s="35"/>
      <c r="G675" s="35"/>
      <c r="H675" s="35"/>
      <c r="J675" s="200"/>
      <c r="K675" s="200"/>
      <c r="L675" s="248"/>
      <c r="M675" s="200"/>
      <c r="N675" s="200"/>
      <c r="O675" s="200"/>
      <c r="Q675" s="200"/>
    </row>
    <row r="676">
      <c r="A676" s="35"/>
      <c r="B676" s="35"/>
      <c r="C676" s="35"/>
      <c r="D676" s="378"/>
      <c r="E676" s="35"/>
      <c r="F676" s="35"/>
      <c r="G676" s="35"/>
      <c r="H676" s="35"/>
      <c r="J676" s="200"/>
      <c r="K676" s="200"/>
      <c r="L676" s="248"/>
      <c r="M676" s="200"/>
      <c r="N676" s="200"/>
      <c r="O676" s="200"/>
      <c r="Q676" s="200"/>
    </row>
    <row r="677">
      <c r="A677" s="35"/>
      <c r="B677" s="35"/>
      <c r="C677" s="35"/>
      <c r="D677" s="378"/>
      <c r="E677" s="35"/>
      <c r="F677" s="35"/>
      <c r="G677" s="35"/>
      <c r="H677" s="35"/>
      <c r="J677" s="200"/>
      <c r="K677" s="200"/>
      <c r="L677" s="248"/>
      <c r="M677" s="200"/>
      <c r="N677" s="200"/>
      <c r="O677" s="200"/>
      <c r="Q677" s="200"/>
    </row>
    <row r="678">
      <c r="A678" s="35"/>
      <c r="B678" s="35"/>
      <c r="C678" s="35"/>
      <c r="D678" s="378"/>
      <c r="E678" s="35"/>
      <c r="F678" s="35"/>
      <c r="G678" s="35"/>
      <c r="H678" s="35"/>
      <c r="J678" s="200"/>
      <c r="K678" s="200"/>
      <c r="L678" s="248"/>
      <c r="M678" s="200"/>
      <c r="N678" s="200"/>
      <c r="O678" s="200"/>
      <c r="Q678" s="200"/>
    </row>
    <row r="679">
      <c r="A679" s="35"/>
      <c r="B679" s="35"/>
      <c r="C679" s="35"/>
      <c r="D679" s="378"/>
      <c r="E679" s="35"/>
      <c r="F679" s="35"/>
      <c r="G679" s="35"/>
      <c r="H679" s="35"/>
      <c r="J679" s="200"/>
      <c r="K679" s="200"/>
      <c r="L679" s="248"/>
      <c r="M679" s="200"/>
      <c r="N679" s="200"/>
      <c r="O679" s="200"/>
      <c r="Q679" s="200"/>
    </row>
    <row r="680">
      <c r="A680" s="35"/>
      <c r="B680" s="35"/>
      <c r="C680" s="35"/>
      <c r="D680" s="378"/>
      <c r="E680" s="35"/>
      <c r="F680" s="35"/>
      <c r="G680" s="35"/>
      <c r="H680" s="35"/>
      <c r="J680" s="200"/>
      <c r="K680" s="200"/>
      <c r="L680" s="248"/>
      <c r="M680" s="200"/>
      <c r="N680" s="200"/>
      <c r="O680" s="200"/>
      <c r="Q680" s="200"/>
    </row>
    <row r="681">
      <c r="A681" s="35"/>
      <c r="B681" s="35"/>
      <c r="C681" s="35"/>
      <c r="D681" s="378"/>
      <c r="E681" s="35"/>
      <c r="F681" s="35"/>
      <c r="G681" s="35"/>
      <c r="H681" s="35"/>
      <c r="J681" s="200"/>
      <c r="K681" s="200"/>
      <c r="L681" s="248"/>
      <c r="M681" s="200"/>
      <c r="N681" s="200"/>
      <c r="O681" s="200"/>
      <c r="Q681" s="200"/>
    </row>
    <row r="682">
      <c r="A682" s="35"/>
      <c r="B682" s="35"/>
      <c r="C682" s="35"/>
      <c r="D682" s="378"/>
      <c r="E682" s="35"/>
      <c r="F682" s="35"/>
      <c r="G682" s="35"/>
      <c r="H682" s="35"/>
      <c r="J682" s="200"/>
      <c r="K682" s="200"/>
      <c r="L682" s="248"/>
      <c r="M682" s="200"/>
      <c r="N682" s="200"/>
      <c r="O682" s="200"/>
      <c r="Q682" s="200"/>
    </row>
    <row r="683">
      <c r="A683" s="35"/>
      <c r="B683" s="35"/>
      <c r="C683" s="35"/>
      <c r="D683" s="378"/>
      <c r="E683" s="35"/>
      <c r="F683" s="35"/>
      <c r="G683" s="35"/>
      <c r="H683" s="35"/>
      <c r="J683" s="200"/>
      <c r="K683" s="200"/>
      <c r="L683" s="248"/>
      <c r="M683" s="200"/>
      <c r="N683" s="200"/>
      <c r="O683" s="200"/>
      <c r="Q683" s="200"/>
    </row>
    <row r="684">
      <c r="A684" s="35"/>
      <c r="B684" s="35"/>
      <c r="C684" s="35"/>
      <c r="D684" s="378"/>
      <c r="E684" s="35"/>
      <c r="F684" s="35"/>
      <c r="G684" s="35"/>
      <c r="H684" s="35"/>
      <c r="J684" s="200"/>
      <c r="K684" s="200"/>
      <c r="L684" s="248"/>
      <c r="M684" s="200"/>
      <c r="N684" s="200"/>
      <c r="O684" s="200"/>
      <c r="Q684" s="200"/>
    </row>
    <row r="685">
      <c r="A685" s="35"/>
      <c r="B685" s="35"/>
      <c r="C685" s="35"/>
      <c r="D685" s="378"/>
      <c r="E685" s="35"/>
      <c r="F685" s="35"/>
      <c r="G685" s="35"/>
      <c r="H685" s="35"/>
      <c r="J685" s="200"/>
      <c r="K685" s="200"/>
      <c r="L685" s="248"/>
      <c r="M685" s="200"/>
      <c r="N685" s="200"/>
      <c r="O685" s="200"/>
      <c r="Q685" s="200"/>
    </row>
    <row r="686">
      <c r="A686" s="35"/>
      <c r="B686" s="35"/>
      <c r="C686" s="35"/>
      <c r="D686" s="378"/>
      <c r="E686" s="35"/>
      <c r="F686" s="35"/>
      <c r="G686" s="35"/>
      <c r="H686" s="35"/>
      <c r="J686" s="200"/>
      <c r="K686" s="200"/>
      <c r="L686" s="248"/>
      <c r="M686" s="200"/>
      <c r="N686" s="200"/>
      <c r="O686" s="200"/>
      <c r="Q686" s="200"/>
    </row>
    <row r="687">
      <c r="A687" s="35"/>
      <c r="B687" s="35"/>
      <c r="C687" s="35"/>
      <c r="D687" s="378"/>
      <c r="E687" s="35"/>
      <c r="F687" s="35"/>
      <c r="G687" s="35"/>
      <c r="H687" s="35"/>
      <c r="J687" s="200"/>
      <c r="K687" s="200"/>
      <c r="L687" s="248"/>
      <c r="M687" s="200"/>
      <c r="N687" s="200"/>
      <c r="O687" s="200"/>
      <c r="Q687" s="200"/>
    </row>
    <row r="688">
      <c r="A688" s="35"/>
      <c r="B688" s="35"/>
      <c r="C688" s="35"/>
      <c r="D688" s="378"/>
      <c r="E688" s="35"/>
      <c r="F688" s="35"/>
      <c r="G688" s="35"/>
      <c r="H688" s="35"/>
      <c r="J688" s="200"/>
      <c r="K688" s="200"/>
      <c r="L688" s="248"/>
      <c r="M688" s="200"/>
      <c r="N688" s="200"/>
      <c r="O688" s="200"/>
      <c r="Q688" s="200"/>
    </row>
    <row r="689">
      <c r="A689" s="35"/>
      <c r="B689" s="35"/>
      <c r="C689" s="35"/>
      <c r="D689" s="378"/>
      <c r="E689" s="35"/>
      <c r="F689" s="35"/>
      <c r="G689" s="35"/>
      <c r="H689" s="35"/>
      <c r="J689" s="200"/>
      <c r="K689" s="200"/>
      <c r="L689" s="248"/>
      <c r="M689" s="200"/>
      <c r="N689" s="200"/>
      <c r="O689" s="200"/>
      <c r="Q689" s="200"/>
    </row>
    <row r="690">
      <c r="A690" s="35"/>
      <c r="B690" s="35"/>
      <c r="C690" s="35"/>
      <c r="D690" s="378"/>
      <c r="E690" s="35"/>
      <c r="F690" s="35"/>
      <c r="G690" s="35"/>
      <c r="H690" s="35"/>
      <c r="J690" s="200"/>
      <c r="K690" s="200"/>
      <c r="L690" s="248"/>
      <c r="M690" s="200"/>
      <c r="N690" s="200"/>
      <c r="O690" s="200"/>
      <c r="Q690" s="200"/>
    </row>
    <row r="691">
      <c r="A691" s="35"/>
      <c r="B691" s="35"/>
      <c r="C691" s="35"/>
      <c r="D691" s="378"/>
      <c r="E691" s="35"/>
      <c r="F691" s="35"/>
      <c r="G691" s="35"/>
      <c r="H691" s="35"/>
      <c r="J691" s="200"/>
      <c r="K691" s="200"/>
      <c r="L691" s="248"/>
      <c r="M691" s="200"/>
      <c r="N691" s="200"/>
      <c r="O691" s="200"/>
      <c r="Q691" s="200"/>
    </row>
    <row r="692">
      <c r="A692" s="35"/>
      <c r="B692" s="35"/>
      <c r="C692" s="35"/>
      <c r="D692" s="378"/>
      <c r="E692" s="35"/>
      <c r="F692" s="35"/>
      <c r="G692" s="35"/>
      <c r="H692" s="35"/>
      <c r="J692" s="200"/>
      <c r="K692" s="200"/>
      <c r="L692" s="248"/>
      <c r="M692" s="200"/>
      <c r="N692" s="200"/>
      <c r="O692" s="200"/>
      <c r="Q692" s="200"/>
    </row>
    <row r="693">
      <c r="A693" s="35"/>
      <c r="B693" s="35"/>
      <c r="C693" s="35"/>
      <c r="D693" s="378"/>
      <c r="E693" s="35"/>
      <c r="F693" s="35"/>
      <c r="G693" s="35"/>
      <c r="H693" s="35"/>
      <c r="J693" s="200"/>
      <c r="K693" s="200"/>
      <c r="L693" s="248"/>
      <c r="M693" s="200"/>
      <c r="N693" s="200"/>
      <c r="O693" s="200"/>
      <c r="Q693" s="200"/>
    </row>
    <row r="694">
      <c r="A694" s="35"/>
      <c r="B694" s="35"/>
      <c r="C694" s="35"/>
      <c r="D694" s="378"/>
      <c r="E694" s="35"/>
      <c r="F694" s="35"/>
      <c r="G694" s="35"/>
      <c r="H694" s="35"/>
      <c r="J694" s="200"/>
      <c r="K694" s="200"/>
      <c r="L694" s="248"/>
      <c r="M694" s="200"/>
      <c r="N694" s="200"/>
      <c r="O694" s="200"/>
      <c r="Q694" s="200"/>
    </row>
    <row r="695">
      <c r="A695" s="35"/>
      <c r="B695" s="35"/>
      <c r="C695" s="35"/>
      <c r="D695" s="378"/>
      <c r="E695" s="35"/>
      <c r="F695" s="35"/>
      <c r="G695" s="35"/>
      <c r="H695" s="35"/>
      <c r="J695" s="200"/>
      <c r="K695" s="200"/>
      <c r="L695" s="248"/>
      <c r="M695" s="200"/>
      <c r="N695" s="200"/>
      <c r="O695" s="200"/>
      <c r="Q695" s="200"/>
    </row>
    <row r="696">
      <c r="A696" s="35"/>
      <c r="B696" s="35"/>
      <c r="C696" s="35"/>
      <c r="D696" s="378"/>
      <c r="E696" s="35"/>
      <c r="F696" s="35"/>
      <c r="G696" s="35"/>
      <c r="H696" s="35"/>
      <c r="J696" s="200"/>
      <c r="K696" s="200"/>
      <c r="L696" s="248"/>
      <c r="M696" s="200"/>
      <c r="N696" s="200"/>
      <c r="O696" s="200"/>
      <c r="Q696" s="200"/>
    </row>
    <row r="697">
      <c r="A697" s="35"/>
      <c r="B697" s="35"/>
      <c r="C697" s="35"/>
      <c r="D697" s="378"/>
      <c r="E697" s="35"/>
      <c r="F697" s="35"/>
      <c r="G697" s="35"/>
      <c r="H697" s="35"/>
      <c r="J697" s="200"/>
      <c r="K697" s="200"/>
      <c r="L697" s="248"/>
      <c r="M697" s="200"/>
      <c r="N697" s="200"/>
      <c r="O697" s="200"/>
      <c r="Q697" s="200"/>
    </row>
    <row r="698">
      <c r="A698" s="35"/>
      <c r="B698" s="35"/>
      <c r="C698" s="35"/>
      <c r="D698" s="378"/>
      <c r="E698" s="35"/>
      <c r="F698" s="35"/>
      <c r="G698" s="35"/>
      <c r="H698" s="35"/>
      <c r="J698" s="200"/>
      <c r="K698" s="200"/>
      <c r="L698" s="248"/>
      <c r="M698" s="200"/>
      <c r="N698" s="200"/>
      <c r="O698" s="200"/>
      <c r="Q698" s="200"/>
    </row>
    <row r="699">
      <c r="A699" s="35"/>
      <c r="B699" s="35"/>
      <c r="C699" s="35"/>
      <c r="D699" s="378"/>
      <c r="E699" s="35"/>
      <c r="F699" s="35"/>
      <c r="G699" s="35"/>
      <c r="H699" s="35"/>
      <c r="J699" s="200"/>
      <c r="K699" s="200"/>
      <c r="L699" s="248"/>
      <c r="M699" s="200"/>
      <c r="N699" s="200"/>
      <c r="O699" s="200"/>
      <c r="Q699" s="200"/>
    </row>
    <row r="700">
      <c r="A700" s="35"/>
      <c r="B700" s="35"/>
      <c r="C700" s="35"/>
      <c r="D700" s="378"/>
      <c r="E700" s="35"/>
      <c r="F700" s="35"/>
      <c r="G700" s="35"/>
      <c r="H700" s="35"/>
      <c r="J700" s="200"/>
      <c r="K700" s="200"/>
      <c r="L700" s="248"/>
      <c r="M700" s="200"/>
      <c r="N700" s="200"/>
      <c r="O700" s="200"/>
      <c r="Q700" s="200"/>
    </row>
    <row r="701">
      <c r="A701" s="35"/>
      <c r="B701" s="35"/>
      <c r="C701" s="35"/>
      <c r="D701" s="378"/>
      <c r="E701" s="35"/>
      <c r="F701" s="35"/>
      <c r="G701" s="35"/>
      <c r="H701" s="35"/>
      <c r="J701" s="200"/>
      <c r="K701" s="200"/>
      <c r="L701" s="248"/>
      <c r="M701" s="200"/>
      <c r="N701" s="200"/>
      <c r="O701" s="200"/>
      <c r="Q701" s="200"/>
    </row>
    <row r="702">
      <c r="A702" s="35"/>
      <c r="B702" s="35"/>
      <c r="C702" s="35"/>
      <c r="D702" s="378"/>
      <c r="E702" s="35"/>
      <c r="F702" s="35"/>
      <c r="G702" s="35"/>
      <c r="H702" s="35"/>
      <c r="J702" s="200"/>
      <c r="K702" s="200"/>
      <c r="L702" s="248"/>
      <c r="M702" s="200"/>
      <c r="N702" s="200"/>
      <c r="O702" s="200"/>
      <c r="Q702" s="200"/>
    </row>
    <row r="703">
      <c r="A703" s="35"/>
      <c r="B703" s="35"/>
      <c r="C703" s="35"/>
      <c r="D703" s="378"/>
      <c r="E703" s="35"/>
      <c r="F703" s="35"/>
      <c r="G703" s="35"/>
      <c r="H703" s="35"/>
      <c r="J703" s="200"/>
      <c r="K703" s="200"/>
      <c r="L703" s="248"/>
      <c r="M703" s="200"/>
      <c r="N703" s="200"/>
      <c r="O703" s="200"/>
      <c r="Q703" s="200"/>
    </row>
    <row r="704">
      <c r="A704" s="35"/>
      <c r="B704" s="35"/>
      <c r="C704" s="35"/>
      <c r="D704" s="378"/>
      <c r="E704" s="35"/>
      <c r="F704" s="35"/>
      <c r="G704" s="35"/>
      <c r="H704" s="35"/>
      <c r="J704" s="200"/>
      <c r="K704" s="200"/>
      <c r="L704" s="248"/>
      <c r="M704" s="200"/>
      <c r="N704" s="200"/>
      <c r="O704" s="200"/>
      <c r="Q704" s="200"/>
    </row>
    <row r="705">
      <c r="A705" s="35"/>
      <c r="B705" s="35"/>
      <c r="C705" s="35"/>
      <c r="D705" s="378"/>
      <c r="E705" s="35"/>
      <c r="F705" s="35"/>
      <c r="G705" s="35"/>
      <c r="H705" s="35"/>
      <c r="J705" s="200"/>
      <c r="K705" s="200"/>
      <c r="L705" s="248"/>
      <c r="M705" s="200"/>
      <c r="N705" s="200"/>
      <c r="O705" s="200"/>
      <c r="Q705" s="200"/>
    </row>
    <row r="706">
      <c r="A706" s="35"/>
      <c r="B706" s="35"/>
      <c r="C706" s="35"/>
      <c r="D706" s="378"/>
      <c r="E706" s="35"/>
      <c r="F706" s="35"/>
      <c r="G706" s="35"/>
      <c r="H706" s="35"/>
      <c r="J706" s="200"/>
      <c r="K706" s="200"/>
      <c r="L706" s="248"/>
      <c r="M706" s="200"/>
      <c r="N706" s="200"/>
      <c r="O706" s="200"/>
      <c r="Q706" s="200"/>
    </row>
    <row r="707">
      <c r="A707" s="35"/>
      <c r="B707" s="35"/>
      <c r="C707" s="35"/>
      <c r="D707" s="378"/>
      <c r="E707" s="35"/>
      <c r="F707" s="35"/>
      <c r="G707" s="35"/>
      <c r="H707" s="35"/>
      <c r="J707" s="200"/>
      <c r="K707" s="200"/>
      <c r="L707" s="248"/>
      <c r="M707" s="200"/>
      <c r="N707" s="200"/>
      <c r="O707" s="200"/>
      <c r="Q707" s="200"/>
    </row>
    <row r="708">
      <c r="A708" s="35"/>
      <c r="B708" s="35"/>
      <c r="C708" s="35"/>
      <c r="D708" s="378"/>
      <c r="E708" s="35"/>
      <c r="F708" s="35"/>
      <c r="G708" s="35"/>
      <c r="H708" s="35"/>
      <c r="J708" s="200"/>
      <c r="K708" s="200"/>
      <c r="L708" s="248"/>
      <c r="M708" s="200"/>
      <c r="N708" s="200"/>
      <c r="O708" s="200"/>
      <c r="Q708" s="200"/>
    </row>
    <row r="709">
      <c r="A709" s="35"/>
      <c r="B709" s="35"/>
      <c r="C709" s="35"/>
      <c r="D709" s="378"/>
      <c r="E709" s="35"/>
      <c r="F709" s="35"/>
      <c r="G709" s="35"/>
      <c r="H709" s="35"/>
      <c r="J709" s="200"/>
      <c r="K709" s="200"/>
      <c r="L709" s="248"/>
      <c r="M709" s="200"/>
      <c r="N709" s="200"/>
      <c r="O709" s="200"/>
      <c r="Q709" s="200"/>
    </row>
    <row r="710">
      <c r="A710" s="35"/>
      <c r="B710" s="35"/>
      <c r="C710" s="35"/>
      <c r="D710" s="378"/>
      <c r="E710" s="35"/>
      <c r="F710" s="35"/>
      <c r="G710" s="35"/>
      <c r="H710" s="35"/>
      <c r="J710" s="200"/>
      <c r="K710" s="200"/>
      <c r="L710" s="248"/>
      <c r="M710" s="200"/>
      <c r="N710" s="200"/>
      <c r="O710" s="200"/>
      <c r="Q710" s="200"/>
    </row>
    <row r="711">
      <c r="A711" s="35"/>
      <c r="B711" s="35"/>
      <c r="C711" s="35"/>
      <c r="D711" s="378"/>
      <c r="E711" s="35"/>
      <c r="F711" s="35"/>
      <c r="G711" s="35"/>
      <c r="H711" s="35"/>
      <c r="J711" s="200"/>
      <c r="K711" s="200"/>
      <c r="L711" s="248"/>
      <c r="M711" s="200"/>
      <c r="N711" s="200"/>
      <c r="O711" s="200"/>
      <c r="Q711" s="200"/>
    </row>
    <row r="712">
      <c r="A712" s="35"/>
      <c r="B712" s="35"/>
      <c r="C712" s="35"/>
      <c r="D712" s="378"/>
      <c r="E712" s="35"/>
      <c r="F712" s="35"/>
      <c r="G712" s="35"/>
      <c r="H712" s="35"/>
      <c r="J712" s="200"/>
      <c r="K712" s="200"/>
      <c r="L712" s="248"/>
      <c r="M712" s="200"/>
      <c r="N712" s="200"/>
      <c r="O712" s="200"/>
      <c r="Q712" s="200"/>
    </row>
    <row r="713">
      <c r="A713" s="35"/>
      <c r="B713" s="35"/>
      <c r="C713" s="35"/>
      <c r="D713" s="378"/>
      <c r="E713" s="35"/>
      <c r="F713" s="35"/>
      <c r="G713" s="35"/>
      <c r="H713" s="35"/>
      <c r="J713" s="200"/>
      <c r="K713" s="200"/>
      <c r="L713" s="248"/>
      <c r="M713" s="200"/>
      <c r="N713" s="200"/>
      <c r="O713" s="200"/>
      <c r="Q713" s="200"/>
    </row>
    <row r="714">
      <c r="A714" s="35"/>
      <c r="B714" s="35"/>
      <c r="C714" s="35"/>
      <c r="D714" s="378"/>
      <c r="E714" s="35"/>
      <c r="F714" s="35"/>
      <c r="G714" s="35"/>
      <c r="H714" s="35"/>
      <c r="J714" s="200"/>
      <c r="K714" s="200"/>
      <c r="L714" s="248"/>
      <c r="M714" s="200"/>
      <c r="N714" s="200"/>
      <c r="O714" s="200"/>
      <c r="Q714" s="200"/>
    </row>
    <row r="715">
      <c r="A715" s="35"/>
      <c r="B715" s="35"/>
      <c r="C715" s="35"/>
      <c r="D715" s="378"/>
      <c r="E715" s="35"/>
      <c r="F715" s="35"/>
      <c r="G715" s="35"/>
      <c r="H715" s="35"/>
      <c r="J715" s="200"/>
      <c r="K715" s="200"/>
      <c r="L715" s="248"/>
      <c r="M715" s="200"/>
      <c r="N715" s="200"/>
      <c r="O715" s="200"/>
      <c r="Q715" s="200"/>
    </row>
    <row r="716">
      <c r="A716" s="35"/>
      <c r="B716" s="35"/>
      <c r="C716" s="35"/>
      <c r="D716" s="378"/>
      <c r="E716" s="35"/>
      <c r="F716" s="35"/>
      <c r="G716" s="35"/>
      <c r="H716" s="35"/>
      <c r="J716" s="200"/>
      <c r="K716" s="200"/>
      <c r="L716" s="248"/>
      <c r="M716" s="200"/>
      <c r="N716" s="200"/>
      <c r="O716" s="200"/>
      <c r="Q716" s="200"/>
    </row>
    <row r="717">
      <c r="A717" s="35"/>
      <c r="B717" s="35"/>
      <c r="C717" s="35"/>
      <c r="D717" s="378"/>
      <c r="E717" s="35"/>
      <c r="F717" s="35"/>
      <c r="G717" s="35"/>
      <c r="H717" s="35"/>
      <c r="J717" s="200"/>
      <c r="K717" s="200"/>
      <c r="L717" s="248"/>
      <c r="M717" s="200"/>
      <c r="N717" s="200"/>
      <c r="O717" s="200"/>
      <c r="Q717" s="200"/>
    </row>
    <row r="718">
      <c r="A718" s="35"/>
      <c r="B718" s="35"/>
      <c r="C718" s="35"/>
      <c r="D718" s="378"/>
      <c r="E718" s="35"/>
      <c r="F718" s="35"/>
      <c r="G718" s="35"/>
      <c r="H718" s="35"/>
      <c r="J718" s="200"/>
      <c r="K718" s="200"/>
      <c r="L718" s="248"/>
      <c r="M718" s="200"/>
      <c r="N718" s="200"/>
      <c r="O718" s="200"/>
      <c r="Q718" s="200"/>
    </row>
    <row r="719">
      <c r="A719" s="35"/>
      <c r="B719" s="35"/>
      <c r="C719" s="35"/>
      <c r="D719" s="378"/>
      <c r="E719" s="35"/>
      <c r="F719" s="35"/>
      <c r="G719" s="35"/>
      <c r="H719" s="35"/>
      <c r="J719" s="200"/>
      <c r="K719" s="200"/>
      <c r="L719" s="248"/>
      <c r="M719" s="200"/>
      <c r="N719" s="200"/>
      <c r="O719" s="200"/>
      <c r="Q719" s="200"/>
    </row>
    <row r="720">
      <c r="A720" s="35"/>
      <c r="B720" s="35"/>
      <c r="C720" s="35"/>
      <c r="D720" s="378"/>
      <c r="E720" s="35"/>
      <c r="F720" s="35"/>
      <c r="G720" s="35"/>
      <c r="H720" s="35"/>
      <c r="J720" s="200"/>
      <c r="K720" s="200"/>
      <c r="L720" s="248"/>
      <c r="M720" s="200"/>
      <c r="N720" s="200"/>
      <c r="O720" s="200"/>
      <c r="Q720" s="200"/>
    </row>
    <row r="721">
      <c r="A721" s="35"/>
      <c r="B721" s="35"/>
      <c r="C721" s="35"/>
      <c r="D721" s="378"/>
      <c r="E721" s="35"/>
      <c r="F721" s="35"/>
      <c r="G721" s="35"/>
      <c r="H721" s="35"/>
      <c r="J721" s="200"/>
      <c r="K721" s="200"/>
      <c r="L721" s="248"/>
      <c r="M721" s="200"/>
      <c r="N721" s="200"/>
      <c r="O721" s="200"/>
      <c r="Q721" s="200"/>
    </row>
    <row r="722">
      <c r="A722" s="35"/>
      <c r="B722" s="35"/>
      <c r="C722" s="35"/>
      <c r="D722" s="378"/>
      <c r="E722" s="35"/>
      <c r="F722" s="35"/>
      <c r="G722" s="35"/>
      <c r="H722" s="35"/>
      <c r="J722" s="200"/>
      <c r="K722" s="200"/>
      <c r="L722" s="248"/>
      <c r="M722" s="200"/>
      <c r="N722" s="200"/>
      <c r="O722" s="200"/>
      <c r="Q722" s="200"/>
    </row>
    <row r="723">
      <c r="A723" s="35"/>
      <c r="B723" s="35"/>
      <c r="C723" s="35"/>
      <c r="D723" s="378"/>
      <c r="E723" s="35"/>
      <c r="F723" s="35"/>
      <c r="G723" s="35"/>
      <c r="H723" s="35"/>
      <c r="J723" s="200"/>
      <c r="K723" s="200"/>
      <c r="L723" s="248"/>
      <c r="M723" s="200"/>
      <c r="N723" s="200"/>
      <c r="O723" s="200"/>
      <c r="Q723" s="200"/>
    </row>
    <row r="724">
      <c r="A724" s="35"/>
      <c r="B724" s="35"/>
      <c r="C724" s="35"/>
      <c r="D724" s="378"/>
      <c r="E724" s="35"/>
      <c r="F724" s="35"/>
      <c r="G724" s="35"/>
      <c r="H724" s="35"/>
      <c r="J724" s="200"/>
      <c r="K724" s="200"/>
      <c r="L724" s="248"/>
      <c r="M724" s="200"/>
      <c r="N724" s="200"/>
      <c r="O724" s="200"/>
      <c r="Q724" s="200"/>
    </row>
    <row r="725">
      <c r="A725" s="35"/>
      <c r="B725" s="35"/>
      <c r="C725" s="35"/>
      <c r="D725" s="378"/>
      <c r="E725" s="35"/>
      <c r="F725" s="35"/>
      <c r="G725" s="35"/>
      <c r="H725" s="35"/>
      <c r="J725" s="200"/>
      <c r="K725" s="200"/>
      <c r="L725" s="248"/>
      <c r="M725" s="200"/>
      <c r="N725" s="200"/>
      <c r="O725" s="200"/>
      <c r="Q725" s="200"/>
    </row>
    <row r="726">
      <c r="A726" s="35"/>
      <c r="B726" s="35"/>
      <c r="C726" s="35"/>
      <c r="D726" s="378"/>
      <c r="E726" s="35"/>
      <c r="F726" s="35"/>
      <c r="G726" s="35"/>
      <c r="H726" s="35"/>
      <c r="J726" s="200"/>
      <c r="K726" s="200"/>
      <c r="L726" s="248"/>
      <c r="M726" s="200"/>
      <c r="N726" s="200"/>
      <c r="O726" s="200"/>
      <c r="Q726" s="200"/>
    </row>
    <row r="727">
      <c r="A727" s="35"/>
      <c r="B727" s="35"/>
      <c r="C727" s="35"/>
      <c r="D727" s="378"/>
      <c r="E727" s="35"/>
      <c r="F727" s="35"/>
      <c r="G727" s="35"/>
      <c r="H727" s="35"/>
      <c r="J727" s="200"/>
      <c r="K727" s="200"/>
      <c r="L727" s="248"/>
      <c r="M727" s="200"/>
      <c r="N727" s="200"/>
      <c r="O727" s="200"/>
      <c r="Q727" s="200"/>
    </row>
    <row r="728">
      <c r="A728" s="35"/>
      <c r="B728" s="35"/>
      <c r="C728" s="35"/>
      <c r="D728" s="378"/>
      <c r="E728" s="35"/>
      <c r="F728" s="35"/>
      <c r="G728" s="35"/>
      <c r="H728" s="35"/>
      <c r="J728" s="200"/>
      <c r="K728" s="200"/>
      <c r="L728" s="248"/>
      <c r="M728" s="200"/>
      <c r="N728" s="200"/>
      <c r="O728" s="200"/>
      <c r="Q728" s="200"/>
    </row>
    <row r="729">
      <c r="A729" s="35"/>
      <c r="B729" s="35"/>
      <c r="C729" s="35"/>
      <c r="D729" s="378"/>
      <c r="E729" s="35"/>
      <c r="F729" s="35"/>
      <c r="G729" s="35"/>
      <c r="H729" s="35"/>
      <c r="J729" s="200"/>
      <c r="K729" s="200"/>
      <c r="L729" s="248"/>
      <c r="M729" s="200"/>
      <c r="N729" s="200"/>
      <c r="O729" s="200"/>
      <c r="Q729" s="200"/>
    </row>
    <row r="730">
      <c r="A730" s="35"/>
      <c r="B730" s="35"/>
      <c r="C730" s="35"/>
      <c r="D730" s="378"/>
      <c r="E730" s="35"/>
      <c r="F730" s="35"/>
      <c r="G730" s="35"/>
      <c r="H730" s="35"/>
      <c r="J730" s="200"/>
      <c r="K730" s="200"/>
      <c r="L730" s="248"/>
      <c r="M730" s="200"/>
      <c r="N730" s="200"/>
      <c r="O730" s="200"/>
      <c r="Q730" s="200"/>
    </row>
    <row r="731">
      <c r="A731" s="35"/>
      <c r="B731" s="35"/>
      <c r="C731" s="35"/>
      <c r="D731" s="378"/>
      <c r="E731" s="35"/>
      <c r="F731" s="35"/>
      <c r="G731" s="35"/>
      <c r="H731" s="35"/>
      <c r="J731" s="200"/>
      <c r="K731" s="200"/>
      <c r="L731" s="248"/>
      <c r="M731" s="200"/>
      <c r="N731" s="200"/>
      <c r="O731" s="200"/>
      <c r="Q731" s="200"/>
    </row>
    <row r="732">
      <c r="A732" s="35"/>
      <c r="B732" s="35"/>
      <c r="C732" s="35"/>
      <c r="D732" s="378"/>
      <c r="E732" s="35"/>
      <c r="F732" s="35"/>
      <c r="G732" s="35"/>
      <c r="H732" s="35"/>
      <c r="J732" s="200"/>
      <c r="K732" s="200"/>
      <c r="L732" s="248"/>
      <c r="M732" s="200"/>
      <c r="N732" s="200"/>
      <c r="O732" s="200"/>
      <c r="Q732" s="200"/>
    </row>
    <row r="733">
      <c r="A733" s="35"/>
      <c r="B733" s="35"/>
      <c r="C733" s="35"/>
      <c r="D733" s="378"/>
      <c r="E733" s="35"/>
      <c r="F733" s="35"/>
      <c r="G733" s="35"/>
      <c r="H733" s="35"/>
      <c r="J733" s="200"/>
      <c r="K733" s="200"/>
      <c r="L733" s="248"/>
      <c r="M733" s="200"/>
      <c r="N733" s="200"/>
      <c r="O733" s="200"/>
      <c r="Q733" s="200"/>
    </row>
    <row r="734">
      <c r="A734" s="35"/>
      <c r="B734" s="35"/>
      <c r="C734" s="35"/>
      <c r="D734" s="378"/>
      <c r="E734" s="35"/>
      <c r="F734" s="35"/>
      <c r="G734" s="35"/>
      <c r="H734" s="35"/>
      <c r="J734" s="200"/>
      <c r="K734" s="200"/>
      <c r="L734" s="248"/>
      <c r="M734" s="200"/>
      <c r="N734" s="200"/>
      <c r="O734" s="200"/>
      <c r="Q734" s="200"/>
    </row>
    <row r="735">
      <c r="A735" s="35"/>
      <c r="B735" s="35"/>
      <c r="C735" s="35"/>
      <c r="D735" s="378"/>
      <c r="E735" s="35"/>
      <c r="F735" s="35"/>
      <c r="G735" s="35"/>
      <c r="H735" s="35"/>
      <c r="J735" s="200"/>
      <c r="K735" s="200"/>
      <c r="L735" s="248"/>
      <c r="M735" s="200"/>
      <c r="N735" s="200"/>
      <c r="O735" s="200"/>
      <c r="Q735" s="200"/>
    </row>
    <row r="736">
      <c r="A736" s="35"/>
      <c r="B736" s="35"/>
      <c r="C736" s="35"/>
      <c r="D736" s="378"/>
      <c r="E736" s="35"/>
      <c r="F736" s="35"/>
      <c r="G736" s="35"/>
      <c r="H736" s="35"/>
      <c r="J736" s="200"/>
      <c r="K736" s="200"/>
      <c r="L736" s="248"/>
      <c r="M736" s="200"/>
      <c r="N736" s="200"/>
      <c r="O736" s="200"/>
      <c r="Q736" s="200"/>
    </row>
    <row r="737">
      <c r="A737" s="35"/>
      <c r="B737" s="35"/>
      <c r="C737" s="35"/>
      <c r="D737" s="378"/>
      <c r="E737" s="35"/>
      <c r="F737" s="35"/>
      <c r="G737" s="35"/>
      <c r="H737" s="35"/>
      <c r="J737" s="200"/>
      <c r="K737" s="200"/>
      <c r="L737" s="248"/>
      <c r="M737" s="200"/>
      <c r="N737" s="200"/>
      <c r="O737" s="200"/>
      <c r="Q737" s="200"/>
    </row>
    <row r="738">
      <c r="A738" s="35"/>
      <c r="B738" s="35"/>
      <c r="C738" s="35"/>
      <c r="D738" s="378"/>
      <c r="E738" s="35"/>
      <c r="F738" s="35"/>
      <c r="G738" s="35"/>
      <c r="H738" s="35"/>
      <c r="J738" s="200"/>
      <c r="K738" s="200"/>
      <c r="L738" s="248"/>
      <c r="M738" s="200"/>
      <c r="N738" s="200"/>
      <c r="O738" s="200"/>
      <c r="Q738" s="200"/>
    </row>
    <row r="739">
      <c r="A739" s="35"/>
      <c r="B739" s="35"/>
      <c r="C739" s="35"/>
      <c r="D739" s="378"/>
      <c r="E739" s="35"/>
      <c r="F739" s="35"/>
      <c r="G739" s="35"/>
      <c r="H739" s="35"/>
      <c r="J739" s="200"/>
      <c r="K739" s="200"/>
      <c r="L739" s="248"/>
      <c r="M739" s="200"/>
      <c r="N739" s="200"/>
      <c r="O739" s="200"/>
      <c r="Q739" s="200"/>
    </row>
    <row r="740">
      <c r="A740" s="35"/>
      <c r="B740" s="35"/>
      <c r="C740" s="35"/>
      <c r="D740" s="378"/>
      <c r="E740" s="35"/>
      <c r="F740" s="35"/>
      <c r="G740" s="35"/>
      <c r="H740" s="35"/>
      <c r="J740" s="200"/>
      <c r="K740" s="200"/>
      <c r="L740" s="248"/>
      <c r="M740" s="200"/>
      <c r="N740" s="200"/>
      <c r="O740" s="200"/>
      <c r="Q740" s="200"/>
    </row>
    <row r="741">
      <c r="A741" s="35"/>
      <c r="B741" s="35"/>
      <c r="C741" s="35"/>
      <c r="D741" s="378"/>
      <c r="E741" s="35"/>
      <c r="F741" s="35"/>
      <c r="G741" s="35"/>
      <c r="H741" s="35"/>
      <c r="J741" s="200"/>
      <c r="K741" s="200"/>
      <c r="L741" s="248"/>
      <c r="M741" s="200"/>
      <c r="N741" s="200"/>
      <c r="O741" s="200"/>
      <c r="Q741" s="200"/>
    </row>
    <row r="742">
      <c r="A742" s="35"/>
      <c r="B742" s="35"/>
      <c r="C742" s="35"/>
      <c r="D742" s="378"/>
      <c r="E742" s="35"/>
      <c r="F742" s="35"/>
      <c r="G742" s="35"/>
      <c r="H742" s="35"/>
      <c r="J742" s="200"/>
      <c r="K742" s="200"/>
      <c r="L742" s="248"/>
      <c r="M742" s="200"/>
      <c r="N742" s="200"/>
      <c r="O742" s="200"/>
      <c r="Q742" s="200"/>
    </row>
    <row r="743">
      <c r="A743" s="35"/>
      <c r="B743" s="35"/>
      <c r="C743" s="35"/>
      <c r="D743" s="378"/>
      <c r="E743" s="35"/>
      <c r="F743" s="35"/>
      <c r="G743" s="35"/>
      <c r="H743" s="35"/>
      <c r="J743" s="200"/>
      <c r="K743" s="200"/>
      <c r="L743" s="248"/>
      <c r="M743" s="200"/>
      <c r="N743" s="200"/>
      <c r="O743" s="200"/>
      <c r="Q743" s="200"/>
    </row>
    <row r="744">
      <c r="A744" s="35"/>
      <c r="B744" s="35"/>
      <c r="C744" s="35"/>
      <c r="D744" s="378"/>
      <c r="E744" s="35"/>
      <c r="F744" s="35"/>
      <c r="G744" s="35"/>
      <c r="H744" s="35"/>
      <c r="J744" s="200"/>
      <c r="K744" s="200"/>
      <c r="L744" s="248"/>
      <c r="M744" s="200"/>
      <c r="N744" s="200"/>
      <c r="O744" s="200"/>
      <c r="Q744" s="200"/>
    </row>
    <row r="745">
      <c r="A745" s="35"/>
      <c r="B745" s="35"/>
      <c r="C745" s="35"/>
      <c r="D745" s="378"/>
      <c r="E745" s="35"/>
      <c r="F745" s="35"/>
      <c r="G745" s="35"/>
      <c r="H745" s="35"/>
      <c r="J745" s="200"/>
      <c r="K745" s="200"/>
      <c r="L745" s="248"/>
      <c r="M745" s="200"/>
      <c r="N745" s="200"/>
      <c r="O745" s="200"/>
      <c r="Q745" s="200"/>
    </row>
    <row r="746">
      <c r="A746" s="35"/>
      <c r="B746" s="35"/>
      <c r="C746" s="35"/>
      <c r="D746" s="378"/>
      <c r="E746" s="35"/>
      <c r="F746" s="35"/>
      <c r="G746" s="35"/>
      <c r="H746" s="35"/>
      <c r="J746" s="200"/>
      <c r="K746" s="200"/>
      <c r="L746" s="248"/>
      <c r="M746" s="200"/>
      <c r="N746" s="200"/>
      <c r="O746" s="200"/>
      <c r="Q746" s="200"/>
    </row>
    <row r="747">
      <c r="A747" s="35"/>
      <c r="B747" s="35"/>
      <c r="C747" s="35"/>
      <c r="D747" s="378"/>
      <c r="E747" s="35"/>
      <c r="F747" s="35"/>
      <c r="G747" s="35"/>
      <c r="H747" s="35"/>
      <c r="J747" s="200"/>
      <c r="K747" s="200"/>
      <c r="L747" s="248"/>
      <c r="M747" s="200"/>
      <c r="N747" s="200"/>
      <c r="O747" s="200"/>
      <c r="Q747" s="200"/>
    </row>
    <row r="748">
      <c r="A748" s="35"/>
      <c r="B748" s="35"/>
      <c r="C748" s="35"/>
      <c r="D748" s="378"/>
      <c r="E748" s="35"/>
      <c r="F748" s="35"/>
      <c r="G748" s="35"/>
      <c r="H748" s="35"/>
      <c r="J748" s="200"/>
      <c r="K748" s="200"/>
      <c r="L748" s="248"/>
      <c r="M748" s="200"/>
      <c r="N748" s="200"/>
      <c r="O748" s="200"/>
      <c r="Q748" s="200"/>
    </row>
    <row r="749">
      <c r="A749" s="35"/>
      <c r="B749" s="35"/>
      <c r="C749" s="35"/>
      <c r="D749" s="378"/>
      <c r="E749" s="35"/>
      <c r="F749" s="35"/>
      <c r="G749" s="35"/>
      <c r="H749" s="35"/>
      <c r="J749" s="200"/>
      <c r="K749" s="200"/>
      <c r="L749" s="248"/>
      <c r="M749" s="200"/>
      <c r="N749" s="200"/>
      <c r="O749" s="200"/>
      <c r="Q749" s="200"/>
    </row>
    <row r="750">
      <c r="A750" s="35"/>
      <c r="B750" s="35"/>
      <c r="C750" s="35"/>
      <c r="D750" s="378"/>
      <c r="E750" s="35"/>
      <c r="F750" s="35"/>
      <c r="G750" s="35"/>
      <c r="H750" s="35"/>
      <c r="J750" s="200"/>
      <c r="K750" s="200"/>
      <c r="L750" s="248"/>
      <c r="M750" s="200"/>
      <c r="N750" s="200"/>
      <c r="O750" s="200"/>
      <c r="Q750" s="200"/>
    </row>
    <row r="751">
      <c r="A751" s="35"/>
      <c r="B751" s="35"/>
      <c r="C751" s="35"/>
      <c r="D751" s="378"/>
      <c r="E751" s="35"/>
      <c r="F751" s="35"/>
      <c r="G751" s="35"/>
      <c r="H751" s="35"/>
      <c r="J751" s="200"/>
      <c r="K751" s="200"/>
      <c r="L751" s="248"/>
      <c r="M751" s="200"/>
      <c r="N751" s="200"/>
      <c r="O751" s="200"/>
      <c r="Q751" s="200"/>
    </row>
    <row r="752">
      <c r="A752" s="35"/>
      <c r="B752" s="35"/>
      <c r="C752" s="35"/>
      <c r="D752" s="378"/>
      <c r="E752" s="35"/>
      <c r="F752" s="35"/>
      <c r="G752" s="35"/>
      <c r="H752" s="35"/>
      <c r="J752" s="200"/>
      <c r="K752" s="200"/>
      <c r="L752" s="248"/>
      <c r="M752" s="200"/>
      <c r="N752" s="200"/>
      <c r="O752" s="200"/>
      <c r="Q752" s="200"/>
    </row>
    <row r="753">
      <c r="A753" s="35"/>
      <c r="B753" s="35"/>
      <c r="C753" s="35"/>
      <c r="D753" s="378"/>
      <c r="E753" s="35"/>
      <c r="F753" s="35"/>
      <c r="G753" s="35"/>
      <c r="H753" s="35"/>
      <c r="J753" s="200"/>
      <c r="K753" s="200"/>
      <c r="L753" s="248"/>
      <c r="M753" s="200"/>
      <c r="N753" s="200"/>
      <c r="O753" s="200"/>
      <c r="Q753" s="200"/>
    </row>
    <row r="754">
      <c r="A754" s="35"/>
      <c r="B754" s="35"/>
      <c r="C754" s="35"/>
      <c r="D754" s="378"/>
      <c r="E754" s="35"/>
      <c r="F754" s="35"/>
      <c r="G754" s="35"/>
      <c r="H754" s="35"/>
      <c r="J754" s="200"/>
      <c r="K754" s="200"/>
      <c r="L754" s="248"/>
      <c r="M754" s="200"/>
      <c r="N754" s="200"/>
      <c r="O754" s="200"/>
      <c r="Q754" s="200"/>
    </row>
    <row r="755">
      <c r="A755" s="35"/>
      <c r="B755" s="35"/>
      <c r="C755" s="35"/>
      <c r="D755" s="378"/>
      <c r="E755" s="35"/>
      <c r="F755" s="35"/>
      <c r="G755" s="35"/>
      <c r="H755" s="35"/>
      <c r="J755" s="200"/>
      <c r="K755" s="200"/>
      <c r="L755" s="248"/>
      <c r="M755" s="200"/>
      <c r="N755" s="200"/>
      <c r="O755" s="200"/>
      <c r="Q755" s="200"/>
    </row>
    <row r="756">
      <c r="A756" s="35"/>
      <c r="B756" s="35"/>
      <c r="C756" s="35"/>
      <c r="D756" s="378"/>
      <c r="E756" s="35"/>
      <c r="F756" s="35"/>
      <c r="G756" s="35"/>
      <c r="H756" s="35"/>
      <c r="J756" s="200"/>
      <c r="K756" s="200"/>
      <c r="L756" s="248"/>
      <c r="M756" s="200"/>
      <c r="N756" s="200"/>
      <c r="O756" s="200"/>
      <c r="Q756" s="200"/>
    </row>
    <row r="757">
      <c r="A757" s="35"/>
      <c r="B757" s="35"/>
      <c r="C757" s="35"/>
      <c r="D757" s="378"/>
      <c r="E757" s="35"/>
      <c r="F757" s="35"/>
      <c r="G757" s="35"/>
      <c r="H757" s="35"/>
      <c r="J757" s="200"/>
      <c r="K757" s="200"/>
      <c r="L757" s="248"/>
      <c r="M757" s="200"/>
      <c r="N757" s="200"/>
      <c r="O757" s="200"/>
      <c r="Q757" s="200"/>
    </row>
    <row r="758">
      <c r="A758" s="35"/>
      <c r="B758" s="35"/>
      <c r="C758" s="35"/>
      <c r="D758" s="378"/>
      <c r="E758" s="35"/>
      <c r="F758" s="35"/>
      <c r="G758" s="35"/>
      <c r="H758" s="35"/>
      <c r="J758" s="200"/>
      <c r="K758" s="200"/>
      <c r="L758" s="248"/>
      <c r="M758" s="200"/>
      <c r="N758" s="200"/>
      <c r="O758" s="200"/>
      <c r="Q758" s="200"/>
    </row>
    <row r="759">
      <c r="A759" s="35"/>
      <c r="B759" s="35"/>
      <c r="C759" s="35"/>
      <c r="D759" s="378"/>
      <c r="E759" s="35"/>
      <c r="F759" s="35"/>
      <c r="G759" s="35"/>
      <c r="H759" s="35"/>
      <c r="J759" s="200"/>
      <c r="K759" s="200"/>
      <c r="L759" s="248"/>
      <c r="M759" s="200"/>
      <c r="N759" s="200"/>
      <c r="O759" s="200"/>
      <c r="Q759" s="200"/>
    </row>
    <row r="760">
      <c r="A760" s="35"/>
      <c r="B760" s="35"/>
      <c r="C760" s="35"/>
      <c r="D760" s="378"/>
      <c r="E760" s="35"/>
      <c r="F760" s="35"/>
      <c r="G760" s="35"/>
      <c r="H760" s="35"/>
      <c r="J760" s="200"/>
      <c r="K760" s="200"/>
      <c r="L760" s="248"/>
      <c r="M760" s="200"/>
      <c r="N760" s="200"/>
      <c r="O760" s="200"/>
      <c r="Q760" s="200"/>
    </row>
    <row r="761">
      <c r="A761" s="35"/>
      <c r="B761" s="35"/>
      <c r="C761" s="35"/>
      <c r="D761" s="378"/>
      <c r="E761" s="35"/>
      <c r="F761" s="35"/>
      <c r="G761" s="35"/>
      <c r="H761" s="35"/>
      <c r="J761" s="200"/>
      <c r="K761" s="200"/>
      <c r="L761" s="248"/>
      <c r="M761" s="200"/>
      <c r="N761" s="200"/>
      <c r="O761" s="200"/>
      <c r="Q761" s="200"/>
    </row>
    <row r="762">
      <c r="A762" s="35"/>
      <c r="B762" s="35"/>
      <c r="C762" s="35"/>
      <c r="D762" s="378"/>
      <c r="E762" s="35"/>
      <c r="F762" s="35"/>
      <c r="G762" s="35"/>
      <c r="H762" s="35"/>
      <c r="J762" s="200"/>
      <c r="K762" s="200"/>
      <c r="L762" s="248"/>
      <c r="M762" s="200"/>
      <c r="N762" s="200"/>
      <c r="O762" s="200"/>
      <c r="Q762" s="200"/>
    </row>
    <row r="763">
      <c r="A763" s="35"/>
      <c r="B763" s="35"/>
      <c r="C763" s="35"/>
      <c r="D763" s="378"/>
      <c r="E763" s="35"/>
      <c r="F763" s="35"/>
      <c r="G763" s="35"/>
      <c r="H763" s="35"/>
      <c r="J763" s="200"/>
      <c r="K763" s="200"/>
      <c r="L763" s="248"/>
      <c r="M763" s="200"/>
      <c r="N763" s="200"/>
      <c r="O763" s="200"/>
      <c r="Q763" s="200"/>
    </row>
    <row r="764">
      <c r="A764" s="35"/>
      <c r="B764" s="35"/>
      <c r="C764" s="35"/>
      <c r="D764" s="378"/>
      <c r="E764" s="35"/>
      <c r="F764" s="35"/>
      <c r="G764" s="35"/>
      <c r="H764" s="35"/>
      <c r="J764" s="200"/>
      <c r="K764" s="200"/>
      <c r="L764" s="248"/>
      <c r="M764" s="200"/>
      <c r="N764" s="200"/>
      <c r="O764" s="200"/>
      <c r="Q764" s="200"/>
    </row>
    <row r="765">
      <c r="A765" s="35"/>
      <c r="B765" s="35"/>
      <c r="C765" s="35"/>
      <c r="D765" s="378"/>
      <c r="E765" s="35"/>
      <c r="F765" s="35"/>
      <c r="G765" s="35"/>
      <c r="H765" s="35"/>
      <c r="J765" s="200"/>
      <c r="K765" s="200"/>
      <c r="L765" s="248"/>
      <c r="M765" s="200"/>
      <c r="N765" s="200"/>
      <c r="O765" s="200"/>
      <c r="Q765" s="200"/>
    </row>
    <row r="766">
      <c r="A766" s="35"/>
      <c r="B766" s="35"/>
      <c r="C766" s="35"/>
      <c r="D766" s="378"/>
      <c r="E766" s="35"/>
      <c r="F766" s="35"/>
      <c r="G766" s="35"/>
      <c r="H766" s="35"/>
      <c r="J766" s="200"/>
      <c r="K766" s="200"/>
      <c r="L766" s="248"/>
      <c r="M766" s="200"/>
      <c r="N766" s="200"/>
      <c r="O766" s="200"/>
      <c r="Q766" s="200"/>
    </row>
    <row r="767">
      <c r="A767" s="35"/>
      <c r="B767" s="35"/>
      <c r="C767" s="35"/>
      <c r="D767" s="378"/>
      <c r="E767" s="35"/>
      <c r="F767" s="35"/>
      <c r="G767" s="35"/>
      <c r="H767" s="35"/>
      <c r="J767" s="200"/>
      <c r="K767" s="200"/>
      <c r="L767" s="248"/>
      <c r="M767" s="200"/>
      <c r="N767" s="200"/>
      <c r="O767" s="200"/>
      <c r="Q767" s="200"/>
    </row>
    <row r="768">
      <c r="A768" s="35"/>
      <c r="B768" s="35"/>
      <c r="C768" s="35"/>
      <c r="D768" s="378"/>
      <c r="E768" s="35"/>
      <c r="F768" s="35"/>
      <c r="G768" s="35"/>
      <c r="H768" s="35"/>
      <c r="J768" s="200"/>
      <c r="K768" s="200"/>
      <c r="L768" s="248"/>
      <c r="M768" s="200"/>
      <c r="N768" s="200"/>
      <c r="O768" s="200"/>
      <c r="Q768" s="200"/>
    </row>
    <row r="769">
      <c r="A769" s="35"/>
      <c r="B769" s="35"/>
      <c r="C769" s="35"/>
      <c r="D769" s="378"/>
      <c r="E769" s="35"/>
      <c r="F769" s="35"/>
      <c r="G769" s="35"/>
      <c r="H769" s="35"/>
      <c r="J769" s="200"/>
      <c r="K769" s="200"/>
      <c r="L769" s="248"/>
      <c r="M769" s="200"/>
      <c r="N769" s="200"/>
      <c r="O769" s="200"/>
      <c r="Q769" s="200"/>
    </row>
    <row r="770">
      <c r="A770" s="35"/>
      <c r="B770" s="35"/>
      <c r="C770" s="35"/>
      <c r="D770" s="378"/>
      <c r="E770" s="35"/>
      <c r="F770" s="35"/>
      <c r="G770" s="35"/>
      <c r="H770" s="35"/>
      <c r="J770" s="200"/>
      <c r="K770" s="200"/>
      <c r="L770" s="248"/>
      <c r="M770" s="200"/>
      <c r="N770" s="200"/>
      <c r="O770" s="200"/>
      <c r="Q770" s="200"/>
    </row>
    <row r="771">
      <c r="A771" s="35"/>
      <c r="B771" s="35"/>
      <c r="C771" s="35"/>
      <c r="D771" s="378"/>
      <c r="E771" s="35"/>
      <c r="F771" s="35"/>
      <c r="G771" s="35"/>
      <c r="H771" s="35"/>
      <c r="J771" s="200"/>
      <c r="K771" s="200"/>
      <c r="L771" s="248"/>
      <c r="M771" s="200"/>
      <c r="N771" s="200"/>
      <c r="O771" s="200"/>
      <c r="Q771" s="200"/>
    </row>
    <row r="772">
      <c r="A772" s="35"/>
      <c r="B772" s="35"/>
      <c r="C772" s="35"/>
      <c r="D772" s="378"/>
      <c r="E772" s="35"/>
      <c r="F772" s="35"/>
      <c r="G772" s="35"/>
      <c r="H772" s="35"/>
      <c r="J772" s="200"/>
      <c r="K772" s="200"/>
      <c r="L772" s="248"/>
      <c r="M772" s="200"/>
      <c r="N772" s="200"/>
      <c r="O772" s="200"/>
      <c r="Q772" s="200"/>
    </row>
    <row r="773">
      <c r="A773" s="35"/>
      <c r="B773" s="35"/>
      <c r="C773" s="35"/>
      <c r="D773" s="378"/>
      <c r="E773" s="35"/>
      <c r="F773" s="35"/>
      <c r="G773" s="35"/>
      <c r="H773" s="35"/>
      <c r="J773" s="200"/>
      <c r="K773" s="200"/>
      <c r="L773" s="248"/>
      <c r="M773" s="200"/>
      <c r="N773" s="200"/>
      <c r="O773" s="200"/>
      <c r="Q773" s="200"/>
    </row>
    <row r="774">
      <c r="A774" s="35"/>
      <c r="B774" s="35"/>
      <c r="C774" s="35"/>
      <c r="D774" s="378"/>
      <c r="E774" s="35"/>
      <c r="F774" s="35"/>
      <c r="G774" s="35"/>
      <c r="H774" s="35"/>
      <c r="J774" s="200"/>
      <c r="K774" s="200"/>
      <c r="L774" s="248"/>
      <c r="M774" s="200"/>
      <c r="N774" s="200"/>
      <c r="O774" s="200"/>
      <c r="Q774" s="200"/>
    </row>
    <row r="775">
      <c r="A775" s="35"/>
      <c r="B775" s="35"/>
      <c r="C775" s="35"/>
      <c r="D775" s="378"/>
      <c r="E775" s="35"/>
      <c r="F775" s="35"/>
      <c r="G775" s="35"/>
      <c r="H775" s="35"/>
      <c r="J775" s="200"/>
      <c r="K775" s="200"/>
      <c r="L775" s="248"/>
      <c r="M775" s="200"/>
      <c r="N775" s="200"/>
      <c r="O775" s="200"/>
      <c r="Q775" s="200"/>
    </row>
    <row r="776">
      <c r="A776" s="35"/>
      <c r="B776" s="35"/>
      <c r="C776" s="35"/>
      <c r="D776" s="378"/>
      <c r="E776" s="35"/>
      <c r="F776" s="35"/>
      <c r="G776" s="35"/>
      <c r="H776" s="35"/>
      <c r="J776" s="200"/>
      <c r="K776" s="200"/>
      <c r="L776" s="248"/>
      <c r="M776" s="200"/>
      <c r="N776" s="200"/>
      <c r="O776" s="200"/>
      <c r="Q776" s="200"/>
    </row>
    <row r="777">
      <c r="A777" s="35"/>
      <c r="B777" s="35"/>
      <c r="C777" s="35"/>
      <c r="D777" s="378"/>
      <c r="E777" s="35"/>
      <c r="F777" s="35"/>
      <c r="G777" s="35"/>
      <c r="H777" s="35"/>
      <c r="J777" s="200"/>
      <c r="K777" s="200"/>
      <c r="L777" s="248"/>
      <c r="M777" s="200"/>
      <c r="N777" s="200"/>
      <c r="O777" s="200"/>
      <c r="Q777" s="200"/>
    </row>
    <row r="778">
      <c r="A778" s="35"/>
      <c r="B778" s="35"/>
      <c r="C778" s="35"/>
      <c r="D778" s="378"/>
      <c r="E778" s="35"/>
      <c r="F778" s="35"/>
      <c r="G778" s="35"/>
      <c r="H778" s="35"/>
      <c r="J778" s="200"/>
      <c r="K778" s="200"/>
      <c r="L778" s="248"/>
      <c r="M778" s="200"/>
      <c r="N778" s="200"/>
      <c r="O778" s="200"/>
      <c r="Q778" s="200"/>
    </row>
    <row r="779">
      <c r="A779" s="35"/>
      <c r="B779" s="35"/>
      <c r="C779" s="35"/>
      <c r="D779" s="378"/>
      <c r="E779" s="35"/>
      <c r="F779" s="35"/>
      <c r="G779" s="35"/>
      <c r="H779" s="35"/>
      <c r="J779" s="200"/>
      <c r="K779" s="200"/>
      <c r="L779" s="248"/>
      <c r="M779" s="200"/>
      <c r="N779" s="200"/>
      <c r="O779" s="200"/>
      <c r="Q779" s="200"/>
    </row>
    <row r="780">
      <c r="A780" s="35"/>
      <c r="B780" s="35"/>
      <c r="C780" s="35"/>
      <c r="D780" s="378"/>
      <c r="E780" s="35"/>
      <c r="F780" s="35"/>
      <c r="G780" s="35"/>
      <c r="H780" s="35"/>
      <c r="J780" s="200"/>
      <c r="K780" s="200"/>
      <c r="L780" s="248"/>
      <c r="M780" s="200"/>
      <c r="N780" s="200"/>
      <c r="O780" s="200"/>
      <c r="Q780" s="200"/>
    </row>
    <row r="781">
      <c r="A781" s="35"/>
      <c r="B781" s="35"/>
      <c r="C781" s="35"/>
      <c r="D781" s="378"/>
      <c r="E781" s="35"/>
      <c r="F781" s="35"/>
      <c r="G781" s="35"/>
      <c r="H781" s="35"/>
      <c r="J781" s="200"/>
      <c r="K781" s="200"/>
      <c r="L781" s="248"/>
      <c r="M781" s="200"/>
      <c r="N781" s="200"/>
      <c r="O781" s="200"/>
      <c r="Q781" s="200"/>
    </row>
    <row r="782">
      <c r="A782" s="35"/>
      <c r="B782" s="35"/>
      <c r="C782" s="35"/>
      <c r="D782" s="378"/>
      <c r="E782" s="35"/>
      <c r="F782" s="35"/>
      <c r="G782" s="35"/>
      <c r="H782" s="35"/>
      <c r="J782" s="200"/>
      <c r="K782" s="200"/>
      <c r="L782" s="248"/>
      <c r="M782" s="200"/>
      <c r="N782" s="200"/>
      <c r="O782" s="200"/>
      <c r="Q782" s="200"/>
    </row>
    <row r="783">
      <c r="A783" s="35"/>
      <c r="B783" s="35"/>
      <c r="C783" s="35"/>
      <c r="D783" s="378"/>
      <c r="E783" s="35"/>
      <c r="F783" s="35"/>
      <c r="G783" s="35"/>
      <c r="H783" s="35"/>
      <c r="J783" s="200"/>
      <c r="K783" s="200"/>
      <c r="L783" s="248"/>
      <c r="M783" s="200"/>
      <c r="N783" s="200"/>
      <c r="O783" s="200"/>
      <c r="Q783" s="200"/>
    </row>
    <row r="784">
      <c r="A784" s="35"/>
      <c r="B784" s="35"/>
      <c r="C784" s="35"/>
      <c r="D784" s="378"/>
      <c r="E784" s="35"/>
      <c r="F784" s="35"/>
      <c r="G784" s="35"/>
      <c r="H784" s="35"/>
      <c r="J784" s="200"/>
      <c r="K784" s="200"/>
      <c r="L784" s="248"/>
      <c r="M784" s="200"/>
      <c r="N784" s="200"/>
      <c r="O784" s="200"/>
      <c r="Q784" s="200"/>
    </row>
    <row r="785">
      <c r="A785" s="35"/>
      <c r="B785" s="35"/>
      <c r="C785" s="35"/>
      <c r="D785" s="378"/>
      <c r="E785" s="35"/>
      <c r="F785" s="35"/>
      <c r="G785" s="35"/>
      <c r="H785" s="35"/>
      <c r="J785" s="200"/>
      <c r="K785" s="200"/>
      <c r="L785" s="248"/>
      <c r="M785" s="200"/>
      <c r="N785" s="200"/>
      <c r="O785" s="200"/>
      <c r="Q785" s="200"/>
    </row>
    <row r="786">
      <c r="A786" s="35"/>
      <c r="B786" s="35"/>
      <c r="C786" s="35"/>
      <c r="D786" s="378"/>
      <c r="E786" s="35"/>
      <c r="F786" s="35"/>
      <c r="G786" s="35"/>
      <c r="H786" s="35"/>
      <c r="J786" s="200"/>
      <c r="K786" s="200"/>
      <c r="L786" s="248"/>
      <c r="M786" s="200"/>
      <c r="N786" s="200"/>
      <c r="O786" s="200"/>
      <c r="Q786" s="200"/>
    </row>
    <row r="787">
      <c r="A787" s="35"/>
      <c r="B787" s="35"/>
      <c r="C787" s="35"/>
      <c r="D787" s="378"/>
      <c r="E787" s="35"/>
      <c r="F787" s="35"/>
      <c r="G787" s="35"/>
      <c r="H787" s="35"/>
      <c r="J787" s="200"/>
      <c r="K787" s="200"/>
      <c r="L787" s="248"/>
      <c r="M787" s="200"/>
      <c r="N787" s="200"/>
      <c r="O787" s="200"/>
      <c r="Q787" s="200"/>
    </row>
    <row r="788">
      <c r="A788" s="35"/>
      <c r="B788" s="35"/>
      <c r="C788" s="35"/>
      <c r="D788" s="378"/>
      <c r="E788" s="35"/>
      <c r="F788" s="35"/>
      <c r="G788" s="35"/>
      <c r="H788" s="35"/>
      <c r="J788" s="200"/>
      <c r="K788" s="200"/>
      <c r="L788" s="248"/>
      <c r="M788" s="200"/>
      <c r="N788" s="200"/>
      <c r="O788" s="200"/>
      <c r="Q788" s="200"/>
    </row>
    <row r="789">
      <c r="A789" s="35"/>
      <c r="B789" s="35"/>
      <c r="C789" s="35"/>
      <c r="D789" s="378"/>
      <c r="E789" s="35"/>
      <c r="F789" s="35"/>
      <c r="G789" s="35"/>
      <c r="H789" s="35"/>
      <c r="J789" s="200"/>
      <c r="K789" s="200"/>
      <c r="L789" s="248"/>
      <c r="M789" s="200"/>
      <c r="N789" s="200"/>
      <c r="O789" s="200"/>
      <c r="Q789" s="200"/>
    </row>
    <row r="790">
      <c r="A790" s="35"/>
      <c r="B790" s="35"/>
      <c r="C790" s="35"/>
      <c r="D790" s="378"/>
      <c r="E790" s="35"/>
      <c r="F790" s="35"/>
      <c r="G790" s="35"/>
      <c r="H790" s="35"/>
      <c r="J790" s="200"/>
      <c r="K790" s="200"/>
      <c r="L790" s="248"/>
      <c r="M790" s="200"/>
      <c r="N790" s="200"/>
      <c r="O790" s="200"/>
      <c r="Q790" s="200"/>
    </row>
    <row r="791">
      <c r="A791" s="35"/>
      <c r="B791" s="35"/>
      <c r="C791" s="35"/>
      <c r="D791" s="378"/>
      <c r="E791" s="35"/>
      <c r="F791" s="35"/>
      <c r="G791" s="35"/>
      <c r="H791" s="35"/>
      <c r="J791" s="200"/>
      <c r="K791" s="200"/>
      <c r="L791" s="248"/>
      <c r="M791" s="200"/>
      <c r="N791" s="200"/>
      <c r="O791" s="200"/>
      <c r="Q791" s="200"/>
    </row>
    <row r="792">
      <c r="A792" s="35"/>
      <c r="B792" s="35"/>
      <c r="C792" s="35"/>
      <c r="D792" s="378"/>
      <c r="E792" s="35"/>
      <c r="F792" s="35"/>
      <c r="G792" s="35"/>
      <c r="H792" s="35"/>
      <c r="J792" s="200"/>
      <c r="K792" s="200"/>
      <c r="L792" s="248"/>
      <c r="M792" s="200"/>
      <c r="N792" s="200"/>
      <c r="O792" s="200"/>
      <c r="Q792" s="200"/>
    </row>
    <row r="793">
      <c r="A793" s="35"/>
      <c r="B793" s="35"/>
      <c r="C793" s="35"/>
      <c r="D793" s="378"/>
      <c r="E793" s="35"/>
      <c r="F793" s="35"/>
      <c r="G793" s="35"/>
      <c r="H793" s="35"/>
      <c r="J793" s="200"/>
      <c r="K793" s="200"/>
      <c r="L793" s="248"/>
      <c r="M793" s="200"/>
      <c r="N793" s="200"/>
      <c r="O793" s="200"/>
      <c r="Q793" s="200"/>
    </row>
    <row r="794">
      <c r="A794" s="35"/>
      <c r="B794" s="35"/>
      <c r="C794" s="35"/>
      <c r="D794" s="378"/>
      <c r="E794" s="35"/>
      <c r="F794" s="35"/>
      <c r="G794" s="35"/>
      <c r="H794" s="35"/>
      <c r="J794" s="200"/>
      <c r="K794" s="200"/>
      <c r="L794" s="248"/>
      <c r="M794" s="200"/>
      <c r="N794" s="200"/>
      <c r="O794" s="200"/>
      <c r="Q794" s="200"/>
    </row>
    <row r="795">
      <c r="A795" s="35"/>
      <c r="B795" s="35"/>
      <c r="C795" s="35"/>
      <c r="D795" s="378"/>
      <c r="E795" s="35"/>
      <c r="F795" s="35"/>
      <c r="G795" s="35"/>
      <c r="H795" s="35"/>
      <c r="J795" s="200"/>
      <c r="K795" s="200"/>
      <c r="L795" s="248"/>
      <c r="M795" s="200"/>
      <c r="N795" s="200"/>
      <c r="O795" s="200"/>
      <c r="Q795" s="200"/>
    </row>
    <row r="796">
      <c r="A796" s="35"/>
      <c r="B796" s="35"/>
      <c r="C796" s="35"/>
      <c r="D796" s="378"/>
      <c r="E796" s="35"/>
      <c r="F796" s="35"/>
      <c r="G796" s="35"/>
      <c r="H796" s="35"/>
      <c r="J796" s="200"/>
      <c r="K796" s="200"/>
      <c r="L796" s="248"/>
      <c r="M796" s="200"/>
      <c r="N796" s="200"/>
      <c r="O796" s="200"/>
      <c r="Q796" s="200"/>
    </row>
    <row r="797">
      <c r="A797" s="35"/>
      <c r="B797" s="35"/>
      <c r="C797" s="35"/>
      <c r="D797" s="378"/>
      <c r="E797" s="35"/>
      <c r="F797" s="35"/>
      <c r="G797" s="35"/>
      <c r="H797" s="35"/>
      <c r="J797" s="200"/>
      <c r="K797" s="200"/>
      <c r="L797" s="248"/>
      <c r="M797" s="200"/>
      <c r="N797" s="200"/>
      <c r="O797" s="200"/>
      <c r="Q797" s="200"/>
    </row>
    <row r="798">
      <c r="A798" s="35"/>
      <c r="B798" s="35"/>
      <c r="C798" s="35"/>
      <c r="D798" s="378"/>
      <c r="E798" s="35"/>
      <c r="F798" s="35"/>
      <c r="G798" s="35"/>
      <c r="H798" s="35"/>
      <c r="J798" s="200"/>
      <c r="K798" s="200"/>
      <c r="L798" s="248"/>
      <c r="M798" s="200"/>
      <c r="N798" s="200"/>
      <c r="O798" s="200"/>
      <c r="Q798" s="200"/>
    </row>
    <row r="799">
      <c r="A799" s="35"/>
      <c r="B799" s="35"/>
      <c r="C799" s="35"/>
      <c r="D799" s="378"/>
      <c r="E799" s="35"/>
      <c r="F799" s="35"/>
      <c r="G799" s="35"/>
      <c r="H799" s="35"/>
      <c r="J799" s="200"/>
      <c r="K799" s="200"/>
      <c r="L799" s="248"/>
      <c r="M799" s="200"/>
      <c r="N799" s="200"/>
      <c r="O799" s="200"/>
      <c r="Q799" s="200"/>
    </row>
    <row r="800">
      <c r="A800" s="35"/>
      <c r="B800" s="35"/>
      <c r="C800" s="35"/>
      <c r="D800" s="378"/>
      <c r="E800" s="35"/>
      <c r="F800" s="35"/>
      <c r="G800" s="35"/>
      <c r="H800" s="35"/>
      <c r="J800" s="200"/>
      <c r="K800" s="200"/>
      <c r="L800" s="248"/>
      <c r="M800" s="200"/>
      <c r="N800" s="200"/>
      <c r="O800" s="200"/>
      <c r="Q800" s="200"/>
    </row>
    <row r="801">
      <c r="A801" s="35"/>
      <c r="B801" s="35"/>
      <c r="C801" s="35"/>
      <c r="D801" s="378"/>
      <c r="E801" s="35"/>
      <c r="F801" s="35"/>
      <c r="G801" s="35"/>
      <c r="H801" s="35"/>
      <c r="J801" s="200"/>
      <c r="K801" s="200"/>
      <c r="L801" s="248"/>
      <c r="M801" s="200"/>
      <c r="N801" s="200"/>
      <c r="O801" s="200"/>
      <c r="Q801" s="200"/>
    </row>
    <row r="802">
      <c r="A802" s="35"/>
      <c r="B802" s="35"/>
      <c r="C802" s="35"/>
      <c r="D802" s="378"/>
      <c r="E802" s="35"/>
      <c r="F802" s="35"/>
      <c r="G802" s="35"/>
      <c r="H802" s="35"/>
      <c r="J802" s="200"/>
      <c r="K802" s="200"/>
      <c r="L802" s="248"/>
      <c r="M802" s="200"/>
      <c r="N802" s="200"/>
      <c r="O802" s="200"/>
      <c r="Q802" s="200"/>
    </row>
    <row r="803">
      <c r="A803" s="35"/>
      <c r="B803" s="35"/>
      <c r="C803" s="35"/>
      <c r="D803" s="378"/>
      <c r="E803" s="35"/>
      <c r="F803" s="35"/>
      <c r="G803" s="35"/>
      <c r="H803" s="35"/>
      <c r="J803" s="200"/>
      <c r="K803" s="200"/>
      <c r="L803" s="248"/>
      <c r="M803" s="200"/>
      <c r="N803" s="200"/>
      <c r="O803" s="200"/>
      <c r="Q803" s="200"/>
    </row>
    <row r="804">
      <c r="A804" s="35"/>
      <c r="B804" s="35"/>
      <c r="C804" s="35"/>
      <c r="D804" s="378"/>
      <c r="E804" s="35"/>
      <c r="F804" s="35"/>
      <c r="G804" s="35"/>
      <c r="H804" s="35"/>
      <c r="J804" s="200"/>
      <c r="K804" s="200"/>
      <c r="L804" s="248"/>
      <c r="M804" s="200"/>
      <c r="N804" s="200"/>
      <c r="O804" s="200"/>
      <c r="Q804" s="200"/>
    </row>
    <row r="805">
      <c r="A805" s="35"/>
      <c r="B805" s="35"/>
      <c r="C805" s="35"/>
      <c r="D805" s="378"/>
      <c r="E805" s="35"/>
      <c r="F805" s="35"/>
      <c r="G805" s="35"/>
      <c r="H805" s="35"/>
      <c r="J805" s="200"/>
      <c r="K805" s="200"/>
      <c r="L805" s="248"/>
      <c r="M805" s="200"/>
      <c r="N805" s="200"/>
      <c r="O805" s="200"/>
      <c r="Q805" s="200"/>
    </row>
    <row r="806">
      <c r="A806" s="35"/>
      <c r="B806" s="35"/>
      <c r="C806" s="35"/>
      <c r="D806" s="378"/>
      <c r="E806" s="35"/>
      <c r="F806" s="35"/>
      <c r="G806" s="35"/>
      <c r="H806" s="35"/>
      <c r="J806" s="200"/>
      <c r="K806" s="200"/>
      <c r="L806" s="248"/>
      <c r="M806" s="200"/>
      <c r="N806" s="200"/>
      <c r="O806" s="200"/>
      <c r="Q806" s="200"/>
    </row>
    <row r="807">
      <c r="A807" s="35"/>
      <c r="B807" s="35"/>
      <c r="C807" s="35"/>
      <c r="D807" s="378"/>
      <c r="E807" s="35"/>
      <c r="F807" s="35"/>
      <c r="G807" s="35"/>
      <c r="H807" s="35"/>
      <c r="J807" s="200"/>
      <c r="K807" s="200"/>
      <c r="L807" s="248"/>
      <c r="M807" s="200"/>
      <c r="N807" s="200"/>
      <c r="O807" s="200"/>
      <c r="Q807" s="200"/>
    </row>
    <row r="808">
      <c r="A808" s="35"/>
      <c r="B808" s="35"/>
      <c r="C808" s="35"/>
      <c r="D808" s="378"/>
      <c r="E808" s="35"/>
      <c r="F808" s="35"/>
      <c r="G808" s="35"/>
      <c r="H808" s="35"/>
      <c r="J808" s="200"/>
      <c r="K808" s="200"/>
      <c r="L808" s="248"/>
      <c r="M808" s="200"/>
      <c r="N808" s="200"/>
      <c r="O808" s="200"/>
      <c r="Q808" s="200"/>
    </row>
    <row r="809">
      <c r="A809" s="35"/>
      <c r="B809" s="35"/>
      <c r="C809" s="35"/>
      <c r="D809" s="378"/>
      <c r="E809" s="35"/>
      <c r="F809" s="35"/>
      <c r="G809" s="35"/>
      <c r="H809" s="35"/>
      <c r="J809" s="200"/>
      <c r="K809" s="200"/>
      <c r="L809" s="248"/>
      <c r="M809" s="200"/>
      <c r="N809" s="200"/>
      <c r="O809" s="200"/>
      <c r="Q809" s="200"/>
    </row>
    <row r="810">
      <c r="A810" s="35"/>
      <c r="B810" s="35"/>
      <c r="C810" s="35"/>
      <c r="D810" s="378"/>
      <c r="E810" s="35"/>
      <c r="F810" s="35"/>
      <c r="G810" s="35"/>
      <c r="H810" s="35"/>
      <c r="J810" s="200"/>
      <c r="K810" s="200"/>
      <c r="L810" s="248"/>
      <c r="M810" s="200"/>
      <c r="N810" s="200"/>
      <c r="O810" s="200"/>
      <c r="Q810" s="200"/>
    </row>
    <row r="811">
      <c r="A811" s="35"/>
      <c r="B811" s="35"/>
      <c r="C811" s="35"/>
      <c r="D811" s="378"/>
      <c r="E811" s="35"/>
      <c r="F811" s="35"/>
      <c r="G811" s="35"/>
      <c r="H811" s="35"/>
      <c r="J811" s="200"/>
      <c r="K811" s="200"/>
      <c r="L811" s="248"/>
      <c r="M811" s="200"/>
      <c r="N811" s="200"/>
      <c r="O811" s="200"/>
      <c r="Q811" s="200"/>
    </row>
    <row r="812">
      <c r="A812" s="35"/>
      <c r="B812" s="35"/>
      <c r="C812" s="35"/>
      <c r="D812" s="378"/>
      <c r="E812" s="35"/>
      <c r="F812" s="35"/>
      <c r="G812" s="35"/>
      <c r="H812" s="35"/>
      <c r="J812" s="200"/>
      <c r="K812" s="200"/>
      <c r="L812" s="248"/>
      <c r="M812" s="200"/>
      <c r="N812" s="200"/>
      <c r="O812" s="200"/>
      <c r="Q812" s="200"/>
    </row>
    <row r="813">
      <c r="A813" s="35"/>
      <c r="B813" s="35"/>
      <c r="C813" s="35"/>
      <c r="D813" s="378"/>
      <c r="E813" s="35"/>
      <c r="F813" s="35"/>
      <c r="G813" s="35"/>
      <c r="H813" s="35"/>
      <c r="J813" s="200"/>
      <c r="K813" s="200"/>
      <c r="L813" s="248"/>
      <c r="M813" s="200"/>
      <c r="N813" s="200"/>
      <c r="O813" s="200"/>
      <c r="Q813" s="200"/>
    </row>
    <row r="814">
      <c r="A814" s="35"/>
      <c r="B814" s="35"/>
      <c r="C814" s="35"/>
      <c r="D814" s="378"/>
      <c r="E814" s="35"/>
      <c r="F814" s="35"/>
      <c r="G814" s="35"/>
      <c r="H814" s="35"/>
      <c r="J814" s="200"/>
      <c r="K814" s="200"/>
      <c r="L814" s="248"/>
      <c r="M814" s="200"/>
      <c r="N814" s="200"/>
      <c r="O814" s="200"/>
      <c r="Q814" s="200"/>
    </row>
    <row r="815">
      <c r="A815" s="35"/>
      <c r="B815" s="35"/>
      <c r="C815" s="35"/>
      <c r="D815" s="378"/>
      <c r="E815" s="35"/>
      <c r="F815" s="35"/>
      <c r="G815" s="35"/>
      <c r="H815" s="35"/>
      <c r="J815" s="200"/>
      <c r="K815" s="200"/>
      <c r="L815" s="248"/>
      <c r="M815" s="200"/>
      <c r="N815" s="200"/>
      <c r="O815" s="200"/>
      <c r="Q815" s="200"/>
    </row>
    <row r="816">
      <c r="A816" s="35"/>
      <c r="B816" s="35"/>
      <c r="C816" s="35"/>
      <c r="D816" s="378"/>
      <c r="E816" s="35"/>
      <c r="F816" s="35"/>
      <c r="G816" s="35"/>
      <c r="H816" s="35"/>
      <c r="J816" s="200"/>
      <c r="K816" s="200"/>
      <c r="L816" s="248"/>
      <c r="M816" s="200"/>
      <c r="N816" s="200"/>
      <c r="O816" s="200"/>
      <c r="Q816" s="200"/>
    </row>
    <row r="817">
      <c r="A817" s="35"/>
      <c r="B817" s="35"/>
      <c r="C817" s="35"/>
      <c r="D817" s="378"/>
      <c r="E817" s="35"/>
      <c r="F817" s="35"/>
      <c r="G817" s="35"/>
      <c r="H817" s="35"/>
      <c r="J817" s="200"/>
      <c r="K817" s="200"/>
      <c r="L817" s="248"/>
      <c r="M817" s="200"/>
      <c r="N817" s="200"/>
      <c r="O817" s="200"/>
      <c r="Q817" s="200"/>
    </row>
    <row r="818">
      <c r="A818" s="35"/>
      <c r="B818" s="35"/>
      <c r="C818" s="35"/>
      <c r="D818" s="378"/>
      <c r="E818" s="35"/>
      <c r="F818" s="35"/>
      <c r="G818" s="35"/>
      <c r="H818" s="35"/>
      <c r="J818" s="200"/>
      <c r="K818" s="200"/>
      <c r="L818" s="248"/>
      <c r="M818" s="200"/>
      <c r="N818" s="200"/>
      <c r="O818" s="200"/>
      <c r="Q818" s="200"/>
    </row>
    <row r="819">
      <c r="A819" s="35"/>
      <c r="B819" s="35"/>
      <c r="C819" s="35"/>
      <c r="D819" s="378"/>
      <c r="E819" s="35"/>
      <c r="F819" s="35"/>
      <c r="G819" s="35"/>
      <c r="H819" s="35"/>
      <c r="J819" s="200"/>
      <c r="K819" s="200"/>
      <c r="L819" s="248"/>
      <c r="M819" s="200"/>
      <c r="N819" s="200"/>
      <c r="O819" s="200"/>
      <c r="Q819" s="200"/>
    </row>
    <row r="820">
      <c r="A820" s="35"/>
      <c r="B820" s="35"/>
      <c r="C820" s="35"/>
      <c r="D820" s="378"/>
      <c r="E820" s="35"/>
      <c r="F820" s="35"/>
      <c r="G820" s="35"/>
      <c r="H820" s="35"/>
      <c r="J820" s="200"/>
      <c r="K820" s="200"/>
      <c r="L820" s="248"/>
      <c r="M820" s="200"/>
      <c r="N820" s="200"/>
      <c r="O820" s="200"/>
      <c r="Q820" s="200"/>
    </row>
    <row r="821">
      <c r="A821" s="35"/>
      <c r="B821" s="35"/>
      <c r="C821" s="35"/>
      <c r="D821" s="378"/>
      <c r="E821" s="35"/>
      <c r="F821" s="35"/>
      <c r="G821" s="35"/>
      <c r="H821" s="35"/>
      <c r="J821" s="200"/>
      <c r="K821" s="200"/>
      <c r="L821" s="248"/>
      <c r="M821" s="200"/>
      <c r="N821" s="200"/>
      <c r="O821" s="200"/>
      <c r="Q821" s="200"/>
    </row>
    <row r="822">
      <c r="A822" s="35"/>
      <c r="B822" s="35"/>
      <c r="C822" s="35"/>
      <c r="D822" s="378"/>
      <c r="E822" s="35"/>
      <c r="F822" s="35"/>
      <c r="G822" s="35"/>
      <c r="H822" s="35"/>
      <c r="J822" s="200"/>
      <c r="K822" s="200"/>
      <c r="L822" s="248"/>
      <c r="M822" s="200"/>
      <c r="N822" s="200"/>
      <c r="O822" s="200"/>
      <c r="Q822" s="200"/>
    </row>
    <row r="823">
      <c r="A823" s="35"/>
      <c r="B823" s="35"/>
      <c r="C823" s="35"/>
      <c r="D823" s="378"/>
      <c r="E823" s="35"/>
      <c r="F823" s="35"/>
      <c r="G823" s="35"/>
      <c r="H823" s="35"/>
      <c r="J823" s="200"/>
      <c r="K823" s="200"/>
      <c r="L823" s="248"/>
      <c r="M823" s="200"/>
      <c r="N823" s="200"/>
      <c r="O823" s="200"/>
      <c r="Q823" s="200"/>
    </row>
    <row r="824">
      <c r="A824" s="35"/>
      <c r="B824" s="35"/>
      <c r="C824" s="35"/>
      <c r="D824" s="378"/>
      <c r="E824" s="35"/>
      <c r="F824" s="35"/>
      <c r="G824" s="35"/>
      <c r="H824" s="35"/>
      <c r="J824" s="200"/>
      <c r="K824" s="200"/>
      <c r="L824" s="248"/>
      <c r="M824" s="200"/>
      <c r="N824" s="200"/>
      <c r="O824" s="200"/>
      <c r="Q824" s="200"/>
    </row>
    <row r="825">
      <c r="A825" s="35"/>
      <c r="B825" s="35"/>
      <c r="C825" s="35"/>
      <c r="D825" s="378"/>
      <c r="E825" s="35"/>
      <c r="F825" s="35"/>
      <c r="G825" s="35"/>
      <c r="H825" s="35"/>
      <c r="J825" s="200"/>
      <c r="K825" s="200"/>
      <c r="L825" s="248"/>
      <c r="M825" s="200"/>
      <c r="N825" s="200"/>
      <c r="O825" s="200"/>
      <c r="Q825" s="200"/>
    </row>
    <row r="826">
      <c r="A826" s="35"/>
      <c r="B826" s="35"/>
      <c r="C826" s="35"/>
      <c r="D826" s="378"/>
      <c r="E826" s="35"/>
      <c r="F826" s="35"/>
      <c r="G826" s="35"/>
      <c r="H826" s="35"/>
      <c r="J826" s="200"/>
      <c r="K826" s="200"/>
      <c r="L826" s="248"/>
      <c r="M826" s="200"/>
      <c r="N826" s="200"/>
      <c r="O826" s="200"/>
      <c r="Q826" s="200"/>
    </row>
    <row r="827">
      <c r="A827" s="35"/>
      <c r="B827" s="35"/>
      <c r="C827" s="35"/>
      <c r="D827" s="378"/>
      <c r="E827" s="35"/>
      <c r="F827" s="35"/>
      <c r="G827" s="35"/>
      <c r="H827" s="35"/>
      <c r="J827" s="200"/>
      <c r="K827" s="200"/>
      <c r="L827" s="248"/>
      <c r="M827" s="200"/>
      <c r="N827" s="200"/>
      <c r="O827" s="200"/>
      <c r="Q827" s="200"/>
    </row>
    <row r="828">
      <c r="A828" s="35"/>
      <c r="B828" s="35"/>
      <c r="C828" s="35"/>
      <c r="D828" s="378"/>
      <c r="E828" s="35"/>
      <c r="F828" s="35"/>
      <c r="G828" s="35"/>
      <c r="H828" s="35"/>
      <c r="J828" s="200"/>
      <c r="K828" s="200"/>
      <c r="L828" s="248"/>
      <c r="M828" s="200"/>
      <c r="N828" s="200"/>
      <c r="O828" s="200"/>
      <c r="Q828" s="200"/>
    </row>
    <row r="829">
      <c r="A829" s="35"/>
      <c r="B829" s="35"/>
      <c r="C829" s="35"/>
      <c r="D829" s="378"/>
      <c r="E829" s="35"/>
      <c r="F829" s="35"/>
      <c r="G829" s="35"/>
      <c r="H829" s="35"/>
      <c r="J829" s="200"/>
      <c r="K829" s="200"/>
      <c r="L829" s="248"/>
      <c r="M829" s="200"/>
      <c r="N829" s="200"/>
      <c r="O829" s="200"/>
      <c r="Q829" s="200"/>
    </row>
    <row r="830">
      <c r="A830" s="35"/>
      <c r="B830" s="35"/>
      <c r="C830" s="35"/>
      <c r="D830" s="378"/>
      <c r="E830" s="35"/>
      <c r="F830" s="35"/>
      <c r="G830" s="35"/>
      <c r="H830" s="35"/>
      <c r="J830" s="200"/>
      <c r="K830" s="200"/>
      <c r="L830" s="248"/>
      <c r="M830" s="200"/>
      <c r="N830" s="200"/>
      <c r="O830" s="200"/>
      <c r="Q830" s="200"/>
    </row>
    <row r="831">
      <c r="A831" s="35"/>
      <c r="B831" s="35"/>
      <c r="C831" s="35"/>
      <c r="D831" s="378"/>
      <c r="E831" s="35"/>
      <c r="F831" s="35"/>
      <c r="G831" s="35"/>
      <c r="H831" s="35"/>
      <c r="J831" s="200"/>
      <c r="K831" s="200"/>
      <c r="L831" s="248"/>
      <c r="M831" s="200"/>
      <c r="N831" s="200"/>
      <c r="O831" s="200"/>
      <c r="Q831" s="200"/>
    </row>
    <row r="832">
      <c r="A832" s="35"/>
      <c r="B832" s="35"/>
      <c r="C832" s="35"/>
      <c r="D832" s="378"/>
      <c r="E832" s="35"/>
      <c r="F832" s="35"/>
      <c r="G832" s="35"/>
      <c r="H832" s="35"/>
      <c r="J832" s="200"/>
      <c r="K832" s="200"/>
      <c r="L832" s="248"/>
      <c r="M832" s="200"/>
      <c r="N832" s="200"/>
      <c r="O832" s="200"/>
      <c r="Q832" s="200"/>
    </row>
    <row r="833">
      <c r="A833" s="35"/>
      <c r="B833" s="35"/>
      <c r="C833" s="35"/>
      <c r="D833" s="378"/>
      <c r="E833" s="35"/>
      <c r="F833" s="35"/>
      <c r="G833" s="35"/>
      <c r="H833" s="35"/>
      <c r="J833" s="200"/>
      <c r="K833" s="200"/>
      <c r="L833" s="248"/>
      <c r="M833" s="200"/>
      <c r="N833" s="200"/>
      <c r="O833" s="200"/>
      <c r="Q833" s="200"/>
    </row>
    <row r="834">
      <c r="A834" s="35"/>
      <c r="B834" s="35"/>
      <c r="C834" s="35"/>
      <c r="D834" s="378"/>
      <c r="E834" s="35"/>
      <c r="F834" s="35"/>
      <c r="G834" s="35"/>
      <c r="H834" s="35"/>
      <c r="J834" s="200"/>
      <c r="K834" s="200"/>
      <c r="L834" s="248"/>
      <c r="M834" s="200"/>
      <c r="N834" s="200"/>
      <c r="O834" s="200"/>
      <c r="Q834" s="200"/>
    </row>
    <row r="835">
      <c r="A835" s="35"/>
      <c r="B835" s="35"/>
      <c r="C835" s="35"/>
      <c r="D835" s="378"/>
      <c r="E835" s="35"/>
      <c r="F835" s="35"/>
      <c r="G835" s="35"/>
      <c r="H835" s="35"/>
      <c r="J835" s="200"/>
      <c r="K835" s="200"/>
      <c r="L835" s="248"/>
      <c r="M835" s="200"/>
      <c r="N835" s="200"/>
      <c r="O835" s="200"/>
      <c r="Q835" s="200"/>
    </row>
    <row r="836">
      <c r="A836" s="35"/>
      <c r="B836" s="35"/>
      <c r="C836" s="35"/>
      <c r="D836" s="378"/>
      <c r="E836" s="35"/>
      <c r="F836" s="35"/>
      <c r="G836" s="35"/>
      <c r="H836" s="35"/>
      <c r="J836" s="200"/>
      <c r="K836" s="200"/>
      <c r="L836" s="248"/>
      <c r="M836" s="200"/>
      <c r="N836" s="200"/>
      <c r="O836" s="200"/>
      <c r="Q836" s="200"/>
    </row>
    <row r="837">
      <c r="A837" s="35"/>
      <c r="B837" s="35"/>
      <c r="C837" s="35"/>
      <c r="D837" s="378"/>
      <c r="E837" s="35"/>
      <c r="F837" s="35"/>
      <c r="G837" s="35"/>
      <c r="H837" s="35"/>
      <c r="J837" s="200"/>
      <c r="K837" s="200"/>
      <c r="L837" s="248"/>
      <c r="M837" s="200"/>
      <c r="N837" s="200"/>
      <c r="O837" s="200"/>
      <c r="Q837" s="200"/>
    </row>
    <row r="838">
      <c r="A838" s="35"/>
      <c r="B838" s="35"/>
      <c r="C838" s="35"/>
      <c r="D838" s="378"/>
      <c r="E838" s="35"/>
      <c r="F838" s="35"/>
      <c r="G838" s="35"/>
      <c r="H838" s="35"/>
      <c r="J838" s="200"/>
      <c r="K838" s="200"/>
      <c r="L838" s="248"/>
      <c r="M838" s="200"/>
      <c r="N838" s="200"/>
      <c r="O838" s="200"/>
      <c r="Q838" s="200"/>
    </row>
    <row r="839">
      <c r="A839" s="35"/>
      <c r="B839" s="35"/>
      <c r="C839" s="35"/>
      <c r="D839" s="378"/>
      <c r="E839" s="35"/>
      <c r="F839" s="35"/>
      <c r="G839" s="35"/>
      <c r="H839" s="35"/>
      <c r="J839" s="200"/>
      <c r="K839" s="200"/>
      <c r="L839" s="248"/>
      <c r="M839" s="200"/>
      <c r="N839" s="200"/>
      <c r="O839" s="200"/>
      <c r="Q839" s="200"/>
    </row>
    <row r="840">
      <c r="A840" s="35"/>
      <c r="B840" s="35"/>
      <c r="C840" s="35"/>
      <c r="D840" s="378"/>
      <c r="E840" s="35"/>
      <c r="F840" s="35"/>
      <c r="G840" s="35"/>
      <c r="H840" s="35"/>
      <c r="J840" s="200"/>
      <c r="K840" s="200"/>
      <c r="L840" s="248"/>
      <c r="M840" s="200"/>
      <c r="N840" s="200"/>
      <c r="O840" s="200"/>
      <c r="Q840" s="200"/>
    </row>
    <row r="841">
      <c r="A841" s="35"/>
      <c r="B841" s="35"/>
      <c r="C841" s="35"/>
      <c r="D841" s="378"/>
      <c r="E841" s="35"/>
      <c r="F841" s="35"/>
      <c r="G841" s="35"/>
      <c r="H841" s="35"/>
      <c r="J841" s="200"/>
      <c r="K841" s="200"/>
      <c r="L841" s="248"/>
      <c r="M841" s="200"/>
      <c r="N841" s="200"/>
      <c r="O841" s="200"/>
      <c r="Q841" s="200"/>
    </row>
    <row r="842">
      <c r="A842" s="35"/>
      <c r="B842" s="35"/>
      <c r="C842" s="35"/>
      <c r="D842" s="378"/>
      <c r="E842" s="35"/>
      <c r="F842" s="35"/>
      <c r="G842" s="35"/>
      <c r="H842" s="35"/>
      <c r="J842" s="200"/>
      <c r="K842" s="200"/>
      <c r="L842" s="248"/>
      <c r="M842" s="200"/>
      <c r="N842" s="200"/>
      <c r="O842" s="200"/>
      <c r="Q842" s="200"/>
    </row>
    <row r="843">
      <c r="A843" s="35"/>
      <c r="B843" s="35"/>
      <c r="C843" s="35"/>
      <c r="D843" s="378"/>
      <c r="E843" s="35"/>
      <c r="F843" s="35"/>
      <c r="G843" s="35"/>
      <c r="H843" s="35"/>
      <c r="J843" s="200"/>
      <c r="K843" s="200"/>
      <c r="L843" s="248"/>
      <c r="M843" s="200"/>
      <c r="N843" s="200"/>
      <c r="O843" s="200"/>
      <c r="Q843" s="200"/>
    </row>
    <row r="844">
      <c r="A844" s="35"/>
      <c r="B844" s="35"/>
      <c r="C844" s="35"/>
      <c r="D844" s="378"/>
      <c r="E844" s="35"/>
      <c r="F844" s="35"/>
      <c r="G844" s="35"/>
      <c r="H844" s="35"/>
      <c r="J844" s="200"/>
      <c r="K844" s="200"/>
      <c r="L844" s="248"/>
      <c r="M844" s="200"/>
      <c r="N844" s="200"/>
      <c r="O844" s="200"/>
      <c r="Q844" s="200"/>
    </row>
    <row r="845">
      <c r="A845" s="35"/>
      <c r="B845" s="35"/>
      <c r="C845" s="35"/>
      <c r="D845" s="378"/>
      <c r="E845" s="35"/>
      <c r="F845" s="35"/>
      <c r="G845" s="35"/>
      <c r="H845" s="35"/>
      <c r="J845" s="200"/>
      <c r="K845" s="200"/>
      <c r="L845" s="248"/>
      <c r="M845" s="200"/>
      <c r="N845" s="200"/>
      <c r="O845" s="200"/>
      <c r="Q845" s="200"/>
    </row>
    <row r="846">
      <c r="A846" s="35"/>
      <c r="B846" s="35"/>
      <c r="C846" s="35"/>
      <c r="D846" s="378"/>
      <c r="E846" s="35"/>
      <c r="F846" s="35"/>
      <c r="G846" s="35"/>
      <c r="H846" s="35"/>
      <c r="J846" s="200"/>
      <c r="K846" s="200"/>
      <c r="L846" s="248"/>
      <c r="M846" s="200"/>
      <c r="N846" s="200"/>
      <c r="O846" s="200"/>
      <c r="Q846" s="200"/>
    </row>
    <row r="847">
      <c r="A847" s="35"/>
      <c r="B847" s="35"/>
      <c r="C847" s="35"/>
      <c r="D847" s="378"/>
      <c r="E847" s="35"/>
      <c r="F847" s="35"/>
      <c r="G847" s="35"/>
      <c r="H847" s="35"/>
      <c r="J847" s="200"/>
      <c r="K847" s="200"/>
      <c r="L847" s="248"/>
      <c r="M847" s="200"/>
      <c r="N847" s="200"/>
      <c r="O847" s="200"/>
      <c r="Q847" s="200"/>
    </row>
    <row r="848">
      <c r="A848" s="35"/>
      <c r="B848" s="35"/>
      <c r="C848" s="35"/>
      <c r="D848" s="378"/>
      <c r="E848" s="35"/>
      <c r="F848" s="35"/>
      <c r="G848" s="35"/>
      <c r="H848" s="35"/>
      <c r="J848" s="200"/>
      <c r="K848" s="200"/>
      <c r="L848" s="248"/>
      <c r="M848" s="200"/>
      <c r="N848" s="200"/>
      <c r="O848" s="200"/>
      <c r="Q848" s="200"/>
    </row>
    <row r="849">
      <c r="A849" s="35"/>
      <c r="B849" s="35"/>
      <c r="C849" s="35"/>
      <c r="D849" s="378"/>
      <c r="E849" s="35"/>
      <c r="F849" s="35"/>
      <c r="G849" s="35"/>
      <c r="H849" s="35"/>
      <c r="J849" s="200"/>
      <c r="K849" s="200"/>
      <c r="L849" s="248"/>
      <c r="M849" s="200"/>
      <c r="N849" s="200"/>
      <c r="O849" s="200"/>
      <c r="Q849" s="200"/>
    </row>
    <row r="850">
      <c r="A850" s="35"/>
      <c r="B850" s="35"/>
      <c r="C850" s="35"/>
      <c r="D850" s="378"/>
      <c r="E850" s="35"/>
      <c r="F850" s="35"/>
      <c r="G850" s="35"/>
      <c r="H850" s="35"/>
      <c r="J850" s="200"/>
      <c r="K850" s="200"/>
      <c r="L850" s="248"/>
      <c r="M850" s="200"/>
      <c r="N850" s="200"/>
      <c r="O850" s="200"/>
      <c r="Q850" s="200"/>
    </row>
    <row r="851">
      <c r="A851" s="35"/>
      <c r="B851" s="35"/>
      <c r="C851" s="35"/>
      <c r="D851" s="378"/>
      <c r="E851" s="35"/>
      <c r="F851" s="35"/>
      <c r="G851" s="35"/>
      <c r="H851" s="35"/>
      <c r="J851" s="200"/>
      <c r="K851" s="200"/>
      <c r="L851" s="248"/>
      <c r="M851" s="200"/>
      <c r="N851" s="200"/>
      <c r="O851" s="200"/>
      <c r="Q851" s="200"/>
    </row>
    <row r="852">
      <c r="A852" s="35"/>
      <c r="B852" s="35"/>
      <c r="C852" s="35"/>
      <c r="D852" s="378"/>
      <c r="E852" s="35"/>
      <c r="F852" s="35"/>
      <c r="G852" s="35"/>
      <c r="H852" s="35"/>
      <c r="J852" s="200"/>
      <c r="K852" s="200"/>
      <c r="L852" s="248"/>
      <c r="M852" s="200"/>
      <c r="N852" s="200"/>
      <c r="O852" s="200"/>
      <c r="Q852" s="200"/>
    </row>
    <row r="853">
      <c r="A853" s="35"/>
      <c r="B853" s="35"/>
      <c r="C853" s="35"/>
      <c r="D853" s="378"/>
      <c r="E853" s="35"/>
      <c r="F853" s="35"/>
      <c r="G853" s="35"/>
      <c r="H853" s="35"/>
      <c r="J853" s="200"/>
      <c r="K853" s="200"/>
      <c r="L853" s="248"/>
      <c r="M853" s="200"/>
      <c r="N853" s="200"/>
      <c r="O853" s="200"/>
      <c r="Q853" s="200"/>
    </row>
    <row r="854">
      <c r="A854" s="35"/>
      <c r="B854" s="35"/>
      <c r="C854" s="35"/>
      <c r="D854" s="378"/>
      <c r="E854" s="35"/>
      <c r="F854" s="35"/>
      <c r="G854" s="35"/>
      <c r="H854" s="35"/>
      <c r="J854" s="200"/>
      <c r="K854" s="200"/>
      <c r="L854" s="248"/>
      <c r="M854" s="200"/>
      <c r="N854" s="200"/>
      <c r="O854" s="200"/>
      <c r="Q854" s="200"/>
    </row>
    <row r="855">
      <c r="A855" s="35"/>
      <c r="B855" s="35"/>
      <c r="C855" s="35"/>
      <c r="D855" s="378"/>
      <c r="E855" s="35"/>
      <c r="F855" s="35"/>
      <c r="G855" s="35"/>
      <c r="H855" s="35"/>
      <c r="J855" s="200"/>
      <c r="K855" s="200"/>
      <c r="L855" s="248"/>
      <c r="M855" s="200"/>
      <c r="N855" s="200"/>
      <c r="O855" s="200"/>
      <c r="Q855" s="200"/>
    </row>
    <row r="856">
      <c r="A856" s="35"/>
      <c r="B856" s="35"/>
      <c r="C856" s="35"/>
      <c r="D856" s="378"/>
      <c r="E856" s="35"/>
      <c r="F856" s="35"/>
      <c r="G856" s="35"/>
      <c r="H856" s="35"/>
      <c r="J856" s="200"/>
      <c r="K856" s="200"/>
      <c r="L856" s="248"/>
      <c r="M856" s="200"/>
      <c r="N856" s="200"/>
      <c r="O856" s="200"/>
      <c r="Q856" s="200"/>
    </row>
    <row r="857">
      <c r="A857" s="35"/>
      <c r="B857" s="35"/>
      <c r="C857" s="35"/>
      <c r="D857" s="378"/>
      <c r="E857" s="35"/>
      <c r="F857" s="35"/>
      <c r="G857" s="35"/>
      <c r="H857" s="35"/>
      <c r="J857" s="200"/>
      <c r="K857" s="200"/>
      <c r="L857" s="248"/>
      <c r="M857" s="200"/>
      <c r="N857" s="200"/>
      <c r="O857" s="200"/>
      <c r="Q857" s="200"/>
    </row>
    <row r="858">
      <c r="A858" s="35"/>
      <c r="B858" s="35"/>
      <c r="C858" s="35"/>
      <c r="D858" s="378"/>
      <c r="E858" s="35"/>
      <c r="F858" s="35"/>
      <c r="G858" s="35"/>
      <c r="H858" s="35"/>
      <c r="J858" s="200"/>
      <c r="K858" s="200"/>
      <c r="L858" s="248"/>
      <c r="M858" s="200"/>
      <c r="N858" s="200"/>
      <c r="O858" s="200"/>
      <c r="Q858" s="200"/>
    </row>
    <row r="859">
      <c r="A859" s="35"/>
      <c r="B859" s="35"/>
      <c r="C859" s="35"/>
      <c r="D859" s="378"/>
      <c r="E859" s="35"/>
      <c r="F859" s="35"/>
      <c r="G859" s="35"/>
      <c r="H859" s="35"/>
      <c r="J859" s="200"/>
      <c r="K859" s="200"/>
      <c r="L859" s="248"/>
      <c r="M859" s="200"/>
      <c r="N859" s="200"/>
      <c r="O859" s="200"/>
      <c r="Q859" s="200"/>
    </row>
    <row r="860">
      <c r="A860" s="35"/>
      <c r="B860" s="35"/>
      <c r="C860" s="35"/>
      <c r="D860" s="378"/>
      <c r="E860" s="35"/>
      <c r="F860" s="35"/>
      <c r="G860" s="35"/>
      <c r="H860" s="35"/>
      <c r="J860" s="200"/>
      <c r="K860" s="200"/>
      <c r="L860" s="248"/>
      <c r="M860" s="200"/>
      <c r="N860" s="200"/>
      <c r="O860" s="200"/>
      <c r="Q860" s="200"/>
    </row>
    <row r="861">
      <c r="A861" s="35"/>
      <c r="B861" s="35"/>
      <c r="C861" s="35"/>
      <c r="D861" s="378"/>
      <c r="E861" s="35"/>
      <c r="F861" s="35"/>
      <c r="G861" s="35"/>
      <c r="H861" s="35"/>
      <c r="J861" s="200"/>
      <c r="K861" s="200"/>
      <c r="L861" s="248"/>
      <c r="M861" s="200"/>
      <c r="N861" s="200"/>
      <c r="O861" s="200"/>
      <c r="Q861" s="200"/>
    </row>
    <row r="862">
      <c r="A862" s="35"/>
      <c r="B862" s="35"/>
      <c r="C862" s="35"/>
      <c r="D862" s="378"/>
      <c r="E862" s="35"/>
      <c r="F862" s="35"/>
      <c r="G862" s="35"/>
      <c r="H862" s="35"/>
      <c r="J862" s="200"/>
      <c r="K862" s="200"/>
      <c r="L862" s="248"/>
      <c r="M862" s="200"/>
      <c r="N862" s="200"/>
      <c r="O862" s="200"/>
      <c r="Q862" s="200"/>
    </row>
    <row r="863">
      <c r="A863" s="35"/>
      <c r="B863" s="35"/>
      <c r="C863" s="35"/>
      <c r="D863" s="378"/>
      <c r="E863" s="35"/>
      <c r="F863" s="35"/>
      <c r="G863" s="35"/>
      <c r="H863" s="35"/>
      <c r="J863" s="200"/>
      <c r="K863" s="200"/>
      <c r="L863" s="248"/>
      <c r="M863" s="200"/>
      <c r="N863" s="200"/>
      <c r="O863" s="200"/>
      <c r="Q863" s="200"/>
    </row>
    <row r="864">
      <c r="A864" s="35"/>
      <c r="B864" s="35"/>
      <c r="C864" s="35"/>
      <c r="D864" s="378"/>
      <c r="E864" s="35"/>
      <c r="F864" s="35"/>
      <c r="G864" s="35"/>
      <c r="H864" s="35"/>
      <c r="J864" s="200"/>
      <c r="K864" s="200"/>
      <c r="L864" s="248"/>
      <c r="M864" s="200"/>
      <c r="N864" s="200"/>
      <c r="O864" s="200"/>
      <c r="Q864" s="200"/>
    </row>
    <row r="865">
      <c r="A865" s="35"/>
      <c r="B865" s="35"/>
      <c r="C865" s="35"/>
      <c r="D865" s="378"/>
      <c r="E865" s="35"/>
      <c r="F865" s="35"/>
      <c r="G865" s="35"/>
      <c r="H865" s="35"/>
      <c r="J865" s="200"/>
      <c r="K865" s="200"/>
      <c r="L865" s="248"/>
      <c r="M865" s="200"/>
      <c r="N865" s="200"/>
      <c r="O865" s="200"/>
      <c r="Q865" s="200"/>
    </row>
    <row r="866">
      <c r="A866" s="35"/>
      <c r="B866" s="35"/>
      <c r="C866" s="35"/>
      <c r="D866" s="378"/>
      <c r="E866" s="35"/>
      <c r="F866" s="35"/>
      <c r="G866" s="35"/>
      <c r="H866" s="35"/>
      <c r="J866" s="200"/>
      <c r="K866" s="200"/>
      <c r="L866" s="248"/>
      <c r="M866" s="200"/>
      <c r="N866" s="200"/>
      <c r="O866" s="200"/>
      <c r="Q866" s="200"/>
    </row>
    <row r="867">
      <c r="A867" s="35"/>
      <c r="B867" s="35"/>
      <c r="C867" s="35"/>
      <c r="D867" s="378"/>
      <c r="E867" s="35"/>
      <c r="F867" s="35"/>
      <c r="G867" s="35"/>
      <c r="H867" s="35"/>
      <c r="J867" s="200"/>
      <c r="K867" s="200"/>
      <c r="L867" s="248"/>
      <c r="M867" s="200"/>
      <c r="N867" s="200"/>
      <c r="O867" s="200"/>
      <c r="Q867" s="200"/>
    </row>
    <row r="868">
      <c r="A868" s="35"/>
      <c r="B868" s="35"/>
      <c r="C868" s="35"/>
      <c r="D868" s="378"/>
      <c r="E868" s="35"/>
      <c r="F868" s="35"/>
      <c r="G868" s="35"/>
      <c r="H868" s="35"/>
      <c r="J868" s="200"/>
      <c r="K868" s="200"/>
      <c r="L868" s="248"/>
      <c r="M868" s="200"/>
      <c r="N868" s="200"/>
      <c r="O868" s="200"/>
      <c r="Q868" s="200"/>
    </row>
    <row r="869">
      <c r="A869" s="35"/>
      <c r="B869" s="35"/>
      <c r="C869" s="35"/>
      <c r="D869" s="378"/>
      <c r="E869" s="35"/>
      <c r="F869" s="35"/>
      <c r="G869" s="35"/>
      <c r="H869" s="35"/>
      <c r="J869" s="200"/>
      <c r="K869" s="200"/>
      <c r="L869" s="248"/>
      <c r="M869" s="200"/>
      <c r="N869" s="200"/>
      <c r="O869" s="200"/>
      <c r="Q869" s="200"/>
    </row>
    <row r="870">
      <c r="A870" s="35"/>
      <c r="B870" s="35"/>
      <c r="C870" s="35"/>
      <c r="D870" s="378"/>
      <c r="E870" s="35"/>
      <c r="F870" s="35"/>
      <c r="G870" s="35"/>
      <c r="H870" s="35"/>
      <c r="J870" s="200"/>
      <c r="K870" s="200"/>
      <c r="L870" s="248"/>
      <c r="M870" s="200"/>
      <c r="N870" s="200"/>
      <c r="O870" s="200"/>
      <c r="Q870" s="200"/>
    </row>
    <row r="871">
      <c r="A871" s="35"/>
      <c r="B871" s="35"/>
      <c r="C871" s="35"/>
      <c r="D871" s="378"/>
      <c r="E871" s="35"/>
      <c r="F871" s="35"/>
      <c r="G871" s="35"/>
      <c r="H871" s="35"/>
      <c r="J871" s="200"/>
      <c r="K871" s="200"/>
      <c r="L871" s="248"/>
      <c r="M871" s="200"/>
      <c r="N871" s="200"/>
      <c r="O871" s="200"/>
      <c r="Q871" s="200"/>
    </row>
    <row r="872">
      <c r="A872" s="35"/>
      <c r="B872" s="35"/>
      <c r="C872" s="35"/>
      <c r="D872" s="378"/>
      <c r="E872" s="35"/>
      <c r="F872" s="35"/>
      <c r="G872" s="35"/>
      <c r="H872" s="35"/>
      <c r="J872" s="200"/>
      <c r="K872" s="200"/>
      <c r="L872" s="248"/>
      <c r="M872" s="200"/>
      <c r="N872" s="200"/>
      <c r="O872" s="200"/>
      <c r="Q872" s="200"/>
    </row>
    <row r="873">
      <c r="A873" s="35"/>
      <c r="B873" s="35"/>
      <c r="C873" s="35"/>
      <c r="D873" s="378"/>
      <c r="E873" s="35"/>
      <c r="F873" s="35"/>
      <c r="G873" s="35"/>
      <c r="H873" s="35"/>
      <c r="J873" s="200"/>
      <c r="K873" s="200"/>
      <c r="L873" s="248"/>
      <c r="M873" s="200"/>
      <c r="N873" s="200"/>
      <c r="O873" s="200"/>
      <c r="Q873" s="200"/>
    </row>
    <row r="874">
      <c r="A874" s="35"/>
      <c r="B874" s="35"/>
      <c r="C874" s="35"/>
      <c r="D874" s="378"/>
      <c r="E874" s="35"/>
      <c r="F874" s="35"/>
      <c r="G874" s="35"/>
      <c r="H874" s="35"/>
      <c r="J874" s="200"/>
      <c r="K874" s="200"/>
      <c r="L874" s="248"/>
      <c r="M874" s="200"/>
      <c r="N874" s="200"/>
      <c r="O874" s="200"/>
      <c r="Q874" s="200"/>
    </row>
    <row r="875">
      <c r="A875" s="35"/>
      <c r="B875" s="35"/>
      <c r="C875" s="35"/>
      <c r="D875" s="378"/>
      <c r="E875" s="35"/>
      <c r="F875" s="35"/>
      <c r="G875" s="35"/>
      <c r="H875" s="35"/>
      <c r="J875" s="200"/>
      <c r="K875" s="200"/>
      <c r="L875" s="248"/>
      <c r="M875" s="200"/>
      <c r="N875" s="200"/>
      <c r="O875" s="200"/>
      <c r="Q875" s="200"/>
    </row>
    <row r="876">
      <c r="A876" s="35"/>
      <c r="B876" s="35"/>
      <c r="C876" s="35"/>
      <c r="D876" s="378"/>
      <c r="E876" s="35"/>
      <c r="F876" s="35"/>
      <c r="G876" s="35"/>
      <c r="H876" s="35"/>
      <c r="J876" s="200"/>
      <c r="K876" s="200"/>
      <c r="L876" s="248"/>
      <c r="M876" s="200"/>
      <c r="N876" s="200"/>
      <c r="O876" s="200"/>
      <c r="Q876" s="200"/>
    </row>
    <row r="877">
      <c r="A877" s="35"/>
      <c r="B877" s="35"/>
      <c r="C877" s="35"/>
      <c r="D877" s="378"/>
      <c r="E877" s="35"/>
      <c r="F877" s="35"/>
      <c r="G877" s="35"/>
      <c r="H877" s="35"/>
      <c r="J877" s="200"/>
      <c r="K877" s="200"/>
      <c r="L877" s="248"/>
      <c r="M877" s="200"/>
      <c r="N877" s="200"/>
      <c r="O877" s="200"/>
      <c r="Q877" s="200"/>
    </row>
    <row r="878">
      <c r="A878" s="35"/>
      <c r="B878" s="35"/>
      <c r="C878" s="35"/>
      <c r="D878" s="378"/>
      <c r="E878" s="35"/>
      <c r="F878" s="35"/>
      <c r="G878" s="35"/>
      <c r="H878" s="35"/>
      <c r="J878" s="200"/>
      <c r="K878" s="200"/>
      <c r="L878" s="248"/>
      <c r="M878" s="200"/>
      <c r="N878" s="200"/>
      <c r="O878" s="200"/>
      <c r="Q878" s="200"/>
    </row>
    <row r="879">
      <c r="A879" s="35"/>
      <c r="B879" s="35"/>
      <c r="C879" s="35"/>
      <c r="D879" s="378"/>
      <c r="E879" s="35"/>
      <c r="F879" s="35"/>
      <c r="G879" s="35"/>
      <c r="H879" s="35"/>
      <c r="J879" s="200"/>
      <c r="K879" s="200"/>
      <c r="L879" s="248"/>
      <c r="M879" s="200"/>
      <c r="N879" s="200"/>
      <c r="O879" s="200"/>
      <c r="Q879" s="200"/>
    </row>
    <row r="880">
      <c r="A880" s="35"/>
      <c r="B880" s="35"/>
      <c r="C880" s="35"/>
      <c r="D880" s="378"/>
      <c r="E880" s="35"/>
      <c r="F880" s="35"/>
      <c r="G880" s="35"/>
      <c r="H880" s="35"/>
      <c r="J880" s="200"/>
      <c r="K880" s="200"/>
      <c r="L880" s="248"/>
      <c r="M880" s="200"/>
      <c r="N880" s="200"/>
      <c r="O880" s="200"/>
      <c r="Q880" s="200"/>
    </row>
    <row r="881">
      <c r="A881" s="35"/>
      <c r="B881" s="35"/>
      <c r="C881" s="35"/>
      <c r="D881" s="378"/>
      <c r="E881" s="35"/>
      <c r="F881" s="35"/>
      <c r="G881" s="35"/>
      <c r="H881" s="35"/>
      <c r="J881" s="200"/>
      <c r="K881" s="200"/>
      <c r="L881" s="248"/>
      <c r="M881" s="200"/>
      <c r="N881" s="200"/>
      <c r="O881" s="200"/>
      <c r="Q881" s="200"/>
    </row>
    <row r="882">
      <c r="A882" s="35"/>
      <c r="B882" s="35"/>
      <c r="C882" s="35"/>
      <c r="D882" s="378"/>
      <c r="E882" s="35"/>
      <c r="F882" s="35"/>
      <c r="G882" s="35"/>
      <c r="H882" s="35"/>
      <c r="J882" s="200"/>
      <c r="K882" s="200"/>
      <c r="L882" s="248"/>
      <c r="M882" s="200"/>
      <c r="N882" s="200"/>
      <c r="O882" s="200"/>
      <c r="Q882" s="200"/>
    </row>
    <row r="883">
      <c r="A883" s="35"/>
      <c r="B883" s="35"/>
      <c r="C883" s="35"/>
      <c r="D883" s="378"/>
      <c r="E883" s="35"/>
      <c r="F883" s="35"/>
      <c r="G883" s="35"/>
      <c r="H883" s="35"/>
      <c r="J883" s="200"/>
      <c r="K883" s="200"/>
      <c r="L883" s="248"/>
      <c r="M883" s="200"/>
      <c r="N883" s="200"/>
      <c r="O883" s="200"/>
      <c r="Q883" s="200"/>
    </row>
    <row r="884">
      <c r="A884" s="35"/>
      <c r="B884" s="35"/>
      <c r="C884" s="35"/>
      <c r="D884" s="378"/>
      <c r="E884" s="35"/>
      <c r="F884" s="35"/>
      <c r="G884" s="35"/>
      <c r="H884" s="35"/>
      <c r="J884" s="200"/>
      <c r="K884" s="200"/>
      <c r="L884" s="248"/>
      <c r="M884" s="200"/>
      <c r="N884" s="200"/>
      <c r="O884" s="200"/>
      <c r="Q884" s="200"/>
    </row>
    <row r="885">
      <c r="A885" s="35"/>
      <c r="B885" s="35"/>
      <c r="C885" s="35"/>
      <c r="D885" s="378"/>
      <c r="E885" s="35"/>
      <c r="F885" s="35"/>
      <c r="G885" s="35"/>
      <c r="H885" s="35"/>
      <c r="J885" s="200"/>
      <c r="K885" s="200"/>
      <c r="L885" s="248"/>
      <c r="M885" s="200"/>
      <c r="N885" s="200"/>
      <c r="O885" s="200"/>
      <c r="Q885" s="200"/>
    </row>
    <row r="886">
      <c r="A886" s="35"/>
      <c r="B886" s="35"/>
      <c r="C886" s="35"/>
      <c r="D886" s="378"/>
      <c r="E886" s="35"/>
      <c r="F886" s="35"/>
      <c r="G886" s="35"/>
      <c r="H886" s="35"/>
      <c r="J886" s="200"/>
      <c r="K886" s="200"/>
      <c r="L886" s="248"/>
      <c r="M886" s="200"/>
      <c r="N886" s="200"/>
      <c r="O886" s="200"/>
      <c r="Q886" s="200"/>
    </row>
    <row r="887">
      <c r="A887" s="35"/>
      <c r="B887" s="35"/>
      <c r="C887" s="35"/>
      <c r="D887" s="378"/>
      <c r="E887" s="35"/>
      <c r="F887" s="35"/>
      <c r="G887" s="35"/>
      <c r="H887" s="35"/>
      <c r="J887" s="200"/>
      <c r="K887" s="200"/>
      <c r="L887" s="248"/>
      <c r="M887" s="200"/>
      <c r="N887" s="200"/>
      <c r="O887" s="200"/>
      <c r="Q887" s="200"/>
    </row>
    <row r="888">
      <c r="A888" s="35"/>
      <c r="B888" s="35"/>
      <c r="C888" s="35"/>
      <c r="D888" s="378"/>
      <c r="E888" s="35"/>
      <c r="F888" s="35"/>
      <c r="G888" s="35"/>
      <c r="H888" s="35"/>
      <c r="J888" s="200"/>
      <c r="K888" s="200"/>
      <c r="L888" s="248"/>
      <c r="M888" s="200"/>
      <c r="N888" s="200"/>
      <c r="O888" s="200"/>
      <c r="Q888" s="200"/>
    </row>
    <row r="889">
      <c r="A889" s="35"/>
      <c r="B889" s="35"/>
      <c r="C889" s="35"/>
      <c r="D889" s="378"/>
      <c r="E889" s="35"/>
      <c r="F889" s="35"/>
      <c r="G889" s="35"/>
      <c r="H889" s="35"/>
      <c r="J889" s="200"/>
      <c r="K889" s="200"/>
      <c r="L889" s="248"/>
      <c r="M889" s="200"/>
      <c r="N889" s="200"/>
      <c r="O889" s="200"/>
      <c r="Q889" s="200"/>
    </row>
    <row r="890">
      <c r="A890" s="35"/>
      <c r="B890" s="35"/>
      <c r="C890" s="35"/>
      <c r="D890" s="378"/>
      <c r="E890" s="35"/>
      <c r="F890" s="35"/>
      <c r="G890" s="35"/>
      <c r="H890" s="35"/>
      <c r="J890" s="200"/>
      <c r="K890" s="200"/>
      <c r="L890" s="248"/>
      <c r="M890" s="200"/>
      <c r="N890" s="200"/>
      <c r="O890" s="200"/>
      <c r="Q890" s="200"/>
    </row>
    <row r="891">
      <c r="A891" s="35"/>
      <c r="B891" s="35"/>
      <c r="C891" s="35"/>
      <c r="D891" s="378"/>
      <c r="E891" s="35"/>
      <c r="F891" s="35"/>
      <c r="G891" s="35"/>
      <c r="H891" s="35"/>
      <c r="J891" s="200"/>
      <c r="K891" s="200"/>
      <c r="L891" s="248"/>
      <c r="M891" s="200"/>
      <c r="N891" s="200"/>
      <c r="O891" s="200"/>
      <c r="Q891" s="200"/>
    </row>
    <row r="892">
      <c r="A892" s="35"/>
      <c r="B892" s="35"/>
      <c r="C892" s="35"/>
      <c r="D892" s="378"/>
      <c r="E892" s="35"/>
      <c r="F892" s="35"/>
      <c r="G892" s="35"/>
      <c r="H892" s="35"/>
      <c r="J892" s="200"/>
      <c r="K892" s="200"/>
      <c r="L892" s="248"/>
      <c r="M892" s="200"/>
      <c r="N892" s="200"/>
      <c r="O892" s="200"/>
      <c r="Q892" s="200"/>
    </row>
    <row r="893">
      <c r="A893" s="35"/>
      <c r="B893" s="35"/>
      <c r="C893" s="35"/>
      <c r="D893" s="378"/>
      <c r="E893" s="35"/>
      <c r="F893" s="35"/>
      <c r="G893" s="35"/>
      <c r="H893" s="35"/>
      <c r="J893" s="200"/>
      <c r="K893" s="200"/>
      <c r="L893" s="248"/>
      <c r="M893" s="200"/>
      <c r="N893" s="200"/>
      <c r="O893" s="200"/>
      <c r="Q893" s="200"/>
    </row>
    <row r="894">
      <c r="A894" s="35"/>
      <c r="B894" s="35"/>
      <c r="C894" s="35"/>
      <c r="D894" s="378"/>
      <c r="E894" s="35"/>
      <c r="F894" s="35"/>
      <c r="G894" s="35"/>
      <c r="H894" s="35"/>
      <c r="J894" s="200"/>
      <c r="K894" s="200"/>
      <c r="L894" s="248"/>
      <c r="M894" s="200"/>
      <c r="N894" s="200"/>
      <c r="O894" s="200"/>
      <c r="Q894" s="200"/>
    </row>
    <row r="895">
      <c r="A895" s="35"/>
      <c r="B895" s="35"/>
      <c r="C895" s="35"/>
      <c r="D895" s="378"/>
      <c r="E895" s="35"/>
      <c r="F895" s="35"/>
      <c r="G895" s="35"/>
      <c r="H895" s="35"/>
      <c r="J895" s="200"/>
      <c r="K895" s="200"/>
      <c r="L895" s="248"/>
      <c r="M895" s="200"/>
      <c r="N895" s="200"/>
      <c r="O895" s="200"/>
      <c r="Q895" s="200"/>
    </row>
    <row r="896">
      <c r="A896" s="35"/>
      <c r="B896" s="35"/>
      <c r="C896" s="35"/>
      <c r="D896" s="378"/>
      <c r="E896" s="35"/>
      <c r="F896" s="35"/>
      <c r="G896" s="35"/>
      <c r="H896" s="35"/>
      <c r="J896" s="200"/>
      <c r="K896" s="200"/>
      <c r="L896" s="248"/>
      <c r="M896" s="200"/>
      <c r="N896" s="200"/>
      <c r="O896" s="200"/>
      <c r="Q896" s="200"/>
    </row>
    <row r="897">
      <c r="A897" s="35"/>
      <c r="B897" s="35"/>
      <c r="C897" s="35"/>
      <c r="D897" s="378"/>
      <c r="E897" s="35"/>
      <c r="F897" s="35"/>
      <c r="G897" s="35"/>
      <c r="H897" s="35"/>
      <c r="J897" s="200"/>
      <c r="K897" s="200"/>
      <c r="L897" s="248"/>
      <c r="M897" s="200"/>
      <c r="N897" s="200"/>
      <c r="O897" s="200"/>
      <c r="Q897" s="200"/>
    </row>
    <row r="898">
      <c r="A898" s="35"/>
      <c r="B898" s="35"/>
      <c r="C898" s="35"/>
      <c r="D898" s="378"/>
      <c r="E898" s="35"/>
      <c r="F898" s="35"/>
      <c r="G898" s="35"/>
      <c r="H898" s="35"/>
      <c r="J898" s="200"/>
      <c r="K898" s="200"/>
      <c r="L898" s="248"/>
      <c r="M898" s="200"/>
      <c r="N898" s="200"/>
      <c r="O898" s="200"/>
      <c r="Q898" s="200"/>
    </row>
    <row r="899">
      <c r="A899" s="35"/>
      <c r="B899" s="35"/>
      <c r="C899" s="35"/>
      <c r="D899" s="378"/>
      <c r="E899" s="35"/>
      <c r="F899" s="35"/>
      <c r="G899" s="35"/>
      <c r="H899" s="35"/>
      <c r="J899" s="200"/>
      <c r="K899" s="200"/>
      <c r="L899" s="248"/>
      <c r="M899" s="200"/>
      <c r="N899" s="200"/>
      <c r="O899" s="200"/>
      <c r="Q899" s="200"/>
    </row>
    <row r="900">
      <c r="A900" s="35"/>
      <c r="B900" s="35"/>
      <c r="C900" s="35"/>
      <c r="D900" s="378"/>
      <c r="E900" s="35"/>
      <c r="F900" s="35"/>
      <c r="G900" s="35"/>
      <c r="H900" s="35"/>
      <c r="J900" s="200"/>
      <c r="K900" s="200"/>
      <c r="L900" s="248"/>
      <c r="M900" s="200"/>
      <c r="N900" s="200"/>
      <c r="O900" s="200"/>
      <c r="Q900" s="200"/>
    </row>
    <row r="901">
      <c r="A901" s="35"/>
      <c r="B901" s="35"/>
      <c r="C901" s="35"/>
      <c r="D901" s="378"/>
      <c r="E901" s="35"/>
      <c r="F901" s="35"/>
      <c r="G901" s="35"/>
      <c r="H901" s="35"/>
      <c r="J901" s="200"/>
      <c r="K901" s="200"/>
      <c r="L901" s="248"/>
      <c r="M901" s="200"/>
      <c r="N901" s="200"/>
      <c r="O901" s="200"/>
      <c r="Q901" s="200"/>
    </row>
    <row r="902">
      <c r="A902" s="35"/>
      <c r="B902" s="35"/>
      <c r="C902" s="35"/>
      <c r="D902" s="378"/>
      <c r="E902" s="35"/>
      <c r="F902" s="35"/>
      <c r="G902" s="35"/>
      <c r="H902" s="35"/>
      <c r="J902" s="200"/>
      <c r="K902" s="200"/>
      <c r="L902" s="248"/>
      <c r="M902" s="200"/>
      <c r="N902" s="200"/>
      <c r="O902" s="200"/>
      <c r="Q902" s="200"/>
    </row>
    <row r="903">
      <c r="A903" s="35"/>
      <c r="B903" s="35"/>
      <c r="C903" s="35"/>
      <c r="D903" s="378"/>
      <c r="E903" s="35"/>
      <c r="F903" s="35"/>
      <c r="G903" s="35"/>
      <c r="H903" s="35"/>
      <c r="J903" s="200"/>
      <c r="K903" s="200"/>
      <c r="L903" s="248"/>
      <c r="M903" s="200"/>
      <c r="N903" s="200"/>
      <c r="O903" s="200"/>
      <c r="Q903" s="200"/>
    </row>
    <row r="904">
      <c r="A904" s="35"/>
      <c r="B904" s="35"/>
      <c r="C904" s="35"/>
      <c r="D904" s="378"/>
      <c r="E904" s="35"/>
      <c r="F904" s="35"/>
      <c r="G904" s="35"/>
      <c r="H904" s="35"/>
      <c r="J904" s="200"/>
      <c r="K904" s="200"/>
      <c r="L904" s="248"/>
      <c r="M904" s="200"/>
      <c r="N904" s="200"/>
      <c r="O904" s="200"/>
      <c r="Q904" s="200"/>
    </row>
    <row r="905">
      <c r="A905" s="35"/>
      <c r="B905" s="35"/>
      <c r="C905" s="35"/>
      <c r="D905" s="378"/>
      <c r="E905" s="35"/>
      <c r="F905" s="35"/>
      <c r="G905" s="35"/>
      <c r="H905" s="35"/>
      <c r="J905" s="200"/>
      <c r="K905" s="200"/>
      <c r="L905" s="248"/>
      <c r="M905" s="200"/>
      <c r="N905" s="200"/>
      <c r="O905" s="200"/>
      <c r="Q905" s="200"/>
    </row>
    <row r="906">
      <c r="A906" s="35"/>
      <c r="B906" s="35"/>
      <c r="C906" s="35"/>
      <c r="D906" s="378"/>
      <c r="E906" s="35"/>
      <c r="F906" s="35"/>
      <c r="G906" s="35"/>
      <c r="H906" s="35"/>
      <c r="J906" s="200"/>
      <c r="K906" s="200"/>
      <c r="L906" s="248"/>
      <c r="M906" s="200"/>
      <c r="N906" s="200"/>
      <c r="O906" s="200"/>
      <c r="Q906" s="200"/>
    </row>
    <row r="907">
      <c r="A907" s="35"/>
      <c r="B907" s="35"/>
      <c r="C907" s="35"/>
      <c r="D907" s="378"/>
      <c r="E907" s="35"/>
      <c r="F907" s="35"/>
      <c r="G907" s="35"/>
      <c r="H907" s="35"/>
      <c r="J907" s="200"/>
      <c r="K907" s="200"/>
      <c r="L907" s="248"/>
      <c r="M907" s="200"/>
      <c r="N907" s="200"/>
      <c r="O907" s="200"/>
      <c r="Q907" s="200"/>
    </row>
    <row r="908">
      <c r="A908" s="35"/>
      <c r="B908" s="35"/>
      <c r="C908" s="35"/>
      <c r="D908" s="378"/>
      <c r="E908" s="35"/>
      <c r="F908" s="35"/>
      <c r="G908" s="35"/>
      <c r="H908" s="35"/>
      <c r="J908" s="200"/>
      <c r="K908" s="200"/>
      <c r="L908" s="248"/>
      <c r="M908" s="200"/>
      <c r="N908" s="200"/>
      <c r="O908" s="200"/>
      <c r="Q908" s="200"/>
    </row>
    <row r="909">
      <c r="A909" s="35"/>
      <c r="B909" s="35"/>
      <c r="C909" s="35"/>
      <c r="D909" s="378"/>
      <c r="E909" s="35"/>
      <c r="F909" s="35"/>
      <c r="G909" s="35"/>
      <c r="H909" s="35"/>
      <c r="J909" s="200"/>
      <c r="K909" s="200"/>
      <c r="L909" s="248"/>
      <c r="M909" s="200"/>
      <c r="N909" s="200"/>
      <c r="O909" s="200"/>
      <c r="Q909" s="200"/>
    </row>
    <row r="910">
      <c r="A910" s="35"/>
      <c r="B910" s="35"/>
      <c r="C910" s="35"/>
      <c r="D910" s="378"/>
      <c r="E910" s="35"/>
      <c r="F910" s="35"/>
      <c r="G910" s="35"/>
      <c r="H910" s="35"/>
      <c r="J910" s="200"/>
      <c r="K910" s="200"/>
      <c r="L910" s="248"/>
      <c r="M910" s="200"/>
      <c r="N910" s="200"/>
      <c r="O910" s="200"/>
      <c r="Q910" s="200"/>
    </row>
    <row r="911">
      <c r="A911" s="35"/>
      <c r="B911" s="35"/>
      <c r="C911" s="35"/>
      <c r="D911" s="378"/>
      <c r="E911" s="35"/>
      <c r="F911" s="35"/>
      <c r="G911" s="35"/>
      <c r="H911" s="35"/>
      <c r="J911" s="200"/>
      <c r="K911" s="200"/>
      <c r="L911" s="248"/>
      <c r="M911" s="200"/>
      <c r="N911" s="200"/>
      <c r="O911" s="200"/>
      <c r="Q911" s="200"/>
    </row>
    <row r="912">
      <c r="A912" s="35"/>
      <c r="B912" s="35"/>
      <c r="C912" s="35"/>
      <c r="D912" s="378"/>
      <c r="E912" s="35"/>
      <c r="F912" s="35"/>
      <c r="G912" s="35"/>
      <c r="H912" s="35"/>
      <c r="J912" s="200"/>
      <c r="K912" s="200"/>
      <c r="L912" s="248"/>
      <c r="M912" s="200"/>
      <c r="N912" s="200"/>
      <c r="O912" s="200"/>
      <c r="Q912" s="200"/>
    </row>
    <row r="913">
      <c r="A913" s="35"/>
      <c r="B913" s="35"/>
      <c r="C913" s="35"/>
      <c r="D913" s="378"/>
      <c r="E913" s="35"/>
      <c r="F913" s="35"/>
      <c r="G913" s="35"/>
      <c r="H913" s="35"/>
      <c r="J913" s="200"/>
      <c r="K913" s="200"/>
      <c r="L913" s="248"/>
      <c r="M913" s="200"/>
      <c r="N913" s="200"/>
      <c r="O913" s="200"/>
      <c r="Q913" s="200"/>
    </row>
    <row r="914">
      <c r="A914" s="35"/>
      <c r="B914" s="35"/>
      <c r="C914" s="35"/>
      <c r="D914" s="378"/>
      <c r="E914" s="35"/>
      <c r="F914" s="35"/>
      <c r="G914" s="35"/>
      <c r="H914" s="35"/>
      <c r="J914" s="200"/>
      <c r="K914" s="200"/>
      <c r="L914" s="248"/>
      <c r="M914" s="200"/>
      <c r="N914" s="200"/>
      <c r="O914" s="200"/>
      <c r="Q914" s="200"/>
    </row>
    <row r="915">
      <c r="A915" s="35"/>
      <c r="B915" s="35"/>
      <c r="C915" s="35"/>
      <c r="D915" s="378"/>
      <c r="E915" s="35"/>
      <c r="F915" s="35"/>
      <c r="G915" s="35"/>
      <c r="H915" s="35"/>
      <c r="J915" s="200"/>
      <c r="K915" s="200"/>
      <c r="L915" s="248"/>
      <c r="M915" s="200"/>
      <c r="N915" s="200"/>
      <c r="O915" s="200"/>
      <c r="Q915" s="200"/>
    </row>
    <row r="916">
      <c r="A916" s="35"/>
      <c r="B916" s="35"/>
      <c r="C916" s="35"/>
      <c r="D916" s="378"/>
      <c r="E916" s="35"/>
      <c r="F916" s="35"/>
      <c r="G916" s="35"/>
      <c r="H916" s="35"/>
      <c r="J916" s="200"/>
      <c r="K916" s="200"/>
      <c r="L916" s="248"/>
      <c r="M916" s="200"/>
      <c r="N916" s="200"/>
      <c r="O916" s="200"/>
      <c r="Q916" s="200"/>
    </row>
    <row r="917">
      <c r="A917" s="35"/>
      <c r="B917" s="35"/>
      <c r="C917" s="35"/>
      <c r="D917" s="378"/>
      <c r="E917" s="35"/>
      <c r="F917" s="35"/>
      <c r="G917" s="35"/>
      <c r="H917" s="35"/>
      <c r="J917" s="200"/>
      <c r="K917" s="200"/>
      <c r="L917" s="248"/>
      <c r="M917" s="200"/>
      <c r="N917" s="200"/>
      <c r="O917" s="200"/>
      <c r="Q917" s="200"/>
    </row>
    <row r="918">
      <c r="A918" s="35"/>
      <c r="B918" s="35"/>
      <c r="C918" s="35"/>
      <c r="D918" s="378"/>
      <c r="E918" s="35"/>
      <c r="F918" s="35"/>
      <c r="G918" s="35"/>
      <c r="H918" s="35"/>
      <c r="J918" s="200"/>
      <c r="K918" s="200"/>
      <c r="L918" s="248"/>
      <c r="M918" s="200"/>
      <c r="N918" s="200"/>
      <c r="O918" s="200"/>
      <c r="Q918" s="200"/>
    </row>
    <row r="919">
      <c r="A919" s="35"/>
      <c r="B919" s="35"/>
      <c r="C919" s="35"/>
      <c r="D919" s="378"/>
      <c r="E919" s="35"/>
      <c r="F919" s="35"/>
      <c r="G919" s="35"/>
      <c r="H919" s="35"/>
      <c r="J919" s="200"/>
      <c r="K919" s="200"/>
      <c r="L919" s="248"/>
      <c r="M919" s="200"/>
      <c r="N919" s="200"/>
      <c r="O919" s="200"/>
      <c r="Q919" s="200"/>
    </row>
    <row r="920">
      <c r="A920" s="35"/>
      <c r="B920" s="35"/>
      <c r="C920" s="35"/>
      <c r="D920" s="378"/>
      <c r="E920" s="35"/>
      <c r="F920" s="35"/>
      <c r="G920" s="35"/>
      <c r="H920" s="35"/>
      <c r="J920" s="200"/>
      <c r="K920" s="200"/>
      <c r="L920" s="248"/>
      <c r="M920" s="200"/>
      <c r="N920" s="200"/>
      <c r="O920" s="200"/>
      <c r="Q920" s="200"/>
    </row>
    <row r="921">
      <c r="A921" s="35"/>
      <c r="B921" s="35"/>
      <c r="C921" s="35"/>
      <c r="D921" s="378"/>
      <c r="E921" s="35"/>
      <c r="F921" s="35"/>
      <c r="G921" s="35"/>
      <c r="H921" s="35"/>
      <c r="J921" s="200"/>
      <c r="K921" s="200"/>
      <c r="L921" s="248"/>
      <c r="M921" s="200"/>
      <c r="N921" s="200"/>
      <c r="O921" s="200"/>
      <c r="Q921" s="200"/>
    </row>
    <row r="922">
      <c r="A922" s="35"/>
      <c r="B922" s="35"/>
      <c r="C922" s="35"/>
      <c r="D922" s="378"/>
      <c r="E922" s="35"/>
      <c r="F922" s="35"/>
      <c r="G922" s="35"/>
      <c r="H922" s="35"/>
      <c r="J922" s="200"/>
      <c r="K922" s="200"/>
      <c r="L922" s="248"/>
      <c r="M922" s="200"/>
      <c r="N922" s="200"/>
      <c r="O922" s="200"/>
      <c r="Q922" s="200"/>
    </row>
    <row r="923">
      <c r="A923" s="35"/>
      <c r="B923" s="35"/>
      <c r="C923" s="35"/>
      <c r="D923" s="378"/>
      <c r="E923" s="35"/>
      <c r="F923" s="35"/>
      <c r="G923" s="35"/>
      <c r="H923" s="35"/>
      <c r="J923" s="200"/>
      <c r="K923" s="200"/>
      <c r="L923" s="248"/>
      <c r="M923" s="200"/>
      <c r="N923" s="200"/>
      <c r="O923" s="200"/>
      <c r="Q923" s="200"/>
    </row>
    <row r="924">
      <c r="A924" s="35"/>
      <c r="B924" s="35"/>
      <c r="C924" s="35"/>
      <c r="D924" s="378"/>
      <c r="E924" s="35"/>
      <c r="F924" s="35"/>
      <c r="G924" s="35"/>
      <c r="H924" s="35"/>
      <c r="J924" s="200"/>
      <c r="K924" s="200"/>
      <c r="L924" s="248"/>
      <c r="M924" s="200"/>
      <c r="N924" s="200"/>
      <c r="O924" s="200"/>
      <c r="Q924" s="200"/>
    </row>
    <row r="925">
      <c r="A925" s="35"/>
      <c r="B925" s="35"/>
      <c r="C925" s="35"/>
      <c r="D925" s="378"/>
      <c r="E925" s="35"/>
      <c r="F925" s="35"/>
      <c r="G925" s="35"/>
      <c r="H925" s="35"/>
      <c r="J925" s="200"/>
      <c r="K925" s="200"/>
      <c r="L925" s="248"/>
      <c r="M925" s="200"/>
      <c r="N925" s="200"/>
      <c r="O925" s="200"/>
      <c r="Q925" s="200"/>
    </row>
    <row r="926">
      <c r="A926" s="35"/>
      <c r="B926" s="35"/>
      <c r="C926" s="35"/>
      <c r="D926" s="378"/>
      <c r="E926" s="35"/>
      <c r="F926" s="35"/>
      <c r="G926" s="35"/>
      <c r="H926" s="35"/>
      <c r="J926" s="200"/>
      <c r="K926" s="200"/>
      <c r="L926" s="248"/>
      <c r="M926" s="200"/>
      <c r="N926" s="200"/>
      <c r="O926" s="200"/>
      <c r="Q926" s="200"/>
    </row>
    <row r="927">
      <c r="A927" s="35"/>
      <c r="B927" s="35"/>
      <c r="C927" s="35"/>
      <c r="D927" s="378"/>
      <c r="E927" s="35"/>
      <c r="F927" s="35"/>
      <c r="G927" s="35"/>
      <c r="H927" s="35"/>
      <c r="J927" s="200"/>
      <c r="K927" s="200"/>
      <c r="L927" s="248"/>
      <c r="M927" s="200"/>
      <c r="N927" s="200"/>
      <c r="O927" s="200"/>
      <c r="Q927" s="200"/>
    </row>
    <row r="928">
      <c r="A928" s="35"/>
      <c r="B928" s="35"/>
      <c r="C928" s="35"/>
      <c r="D928" s="378"/>
      <c r="E928" s="35"/>
      <c r="F928" s="35"/>
      <c r="G928" s="35"/>
      <c r="H928" s="35"/>
      <c r="J928" s="200"/>
      <c r="K928" s="200"/>
      <c r="L928" s="248"/>
      <c r="M928" s="200"/>
      <c r="N928" s="200"/>
      <c r="O928" s="200"/>
      <c r="Q928" s="200"/>
    </row>
    <row r="929">
      <c r="A929" s="35"/>
      <c r="B929" s="35"/>
      <c r="C929" s="35"/>
      <c r="D929" s="378"/>
      <c r="E929" s="35"/>
      <c r="F929" s="35"/>
      <c r="G929" s="35"/>
      <c r="H929" s="35"/>
      <c r="J929" s="200"/>
      <c r="K929" s="200"/>
      <c r="L929" s="248"/>
      <c r="M929" s="200"/>
      <c r="N929" s="200"/>
      <c r="O929" s="200"/>
      <c r="Q929" s="200"/>
    </row>
    <row r="930">
      <c r="A930" s="35"/>
      <c r="B930" s="35"/>
      <c r="C930" s="35"/>
      <c r="D930" s="378"/>
      <c r="E930" s="35"/>
      <c r="F930" s="35"/>
      <c r="G930" s="35"/>
      <c r="H930" s="35"/>
      <c r="J930" s="200"/>
      <c r="K930" s="200"/>
      <c r="L930" s="248"/>
      <c r="M930" s="200"/>
      <c r="N930" s="200"/>
      <c r="O930" s="200"/>
      <c r="Q930" s="200"/>
    </row>
    <row r="931">
      <c r="A931" s="35"/>
      <c r="B931" s="35"/>
      <c r="C931" s="35"/>
      <c r="D931" s="378"/>
      <c r="E931" s="35"/>
      <c r="F931" s="35"/>
      <c r="G931" s="35"/>
      <c r="H931" s="35"/>
      <c r="J931" s="200"/>
      <c r="K931" s="200"/>
      <c r="L931" s="248"/>
      <c r="M931" s="200"/>
      <c r="N931" s="200"/>
      <c r="O931" s="200"/>
      <c r="Q931" s="200"/>
    </row>
    <row r="932">
      <c r="A932" s="35"/>
      <c r="B932" s="35"/>
      <c r="C932" s="35"/>
      <c r="D932" s="378"/>
      <c r="E932" s="35"/>
      <c r="F932" s="35"/>
      <c r="G932" s="35"/>
      <c r="H932" s="35"/>
      <c r="J932" s="200"/>
      <c r="K932" s="200"/>
      <c r="L932" s="248"/>
      <c r="M932" s="200"/>
      <c r="N932" s="200"/>
      <c r="O932" s="200"/>
      <c r="Q932" s="200"/>
    </row>
    <row r="933">
      <c r="A933" s="35"/>
      <c r="B933" s="35"/>
      <c r="C933" s="35"/>
      <c r="D933" s="378"/>
      <c r="E933" s="35"/>
      <c r="F933" s="35"/>
      <c r="G933" s="35"/>
      <c r="H933" s="35"/>
      <c r="J933" s="200"/>
      <c r="K933" s="200"/>
      <c r="L933" s="248"/>
      <c r="M933" s="200"/>
      <c r="N933" s="200"/>
      <c r="O933" s="200"/>
      <c r="Q933" s="200"/>
    </row>
    <row r="934">
      <c r="A934" s="35"/>
      <c r="B934" s="35"/>
      <c r="C934" s="35"/>
      <c r="D934" s="378"/>
      <c r="E934" s="35"/>
      <c r="F934" s="35"/>
      <c r="G934" s="35"/>
      <c r="H934" s="35"/>
      <c r="J934" s="200"/>
      <c r="K934" s="200"/>
      <c r="L934" s="248"/>
      <c r="M934" s="200"/>
      <c r="N934" s="200"/>
      <c r="O934" s="200"/>
      <c r="Q934" s="200"/>
    </row>
    <row r="935">
      <c r="A935" s="35"/>
      <c r="B935" s="35"/>
      <c r="C935" s="35"/>
      <c r="D935" s="378"/>
      <c r="E935" s="35"/>
      <c r="F935" s="35"/>
      <c r="G935" s="35"/>
      <c r="H935" s="35"/>
      <c r="J935" s="200"/>
      <c r="K935" s="200"/>
      <c r="L935" s="248"/>
      <c r="M935" s="200"/>
      <c r="N935" s="200"/>
      <c r="O935" s="200"/>
      <c r="Q935" s="200"/>
    </row>
    <row r="936">
      <c r="A936" s="35"/>
      <c r="B936" s="35"/>
      <c r="C936" s="35"/>
      <c r="D936" s="378"/>
      <c r="E936" s="35"/>
      <c r="F936" s="35"/>
      <c r="G936" s="35"/>
      <c r="H936" s="35"/>
      <c r="J936" s="200"/>
      <c r="K936" s="200"/>
      <c r="L936" s="248"/>
      <c r="M936" s="200"/>
      <c r="N936" s="200"/>
      <c r="O936" s="200"/>
      <c r="Q936" s="200"/>
    </row>
    <row r="937">
      <c r="A937" s="35"/>
      <c r="B937" s="35"/>
      <c r="C937" s="35"/>
      <c r="D937" s="378"/>
      <c r="E937" s="35"/>
      <c r="F937" s="35"/>
      <c r="G937" s="35"/>
      <c r="H937" s="35"/>
      <c r="J937" s="200"/>
      <c r="K937" s="200"/>
      <c r="L937" s="248"/>
      <c r="M937" s="200"/>
      <c r="N937" s="200"/>
      <c r="O937" s="200"/>
      <c r="Q937" s="200"/>
    </row>
    <row r="938">
      <c r="A938" s="35"/>
      <c r="B938" s="35"/>
      <c r="C938" s="35"/>
      <c r="D938" s="378"/>
      <c r="E938" s="35"/>
      <c r="F938" s="35"/>
      <c r="G938" s="35"/>
      <c r="H938" s="35"/>
      <c r="J938" s="200"/>
      <c r="K938" s="200"/>
      <c r="L938" s="248"/>
      <c r="M938" s="200"/>
      <c r="N938" s="200"/>
      <c r="O938" s="200"/>
      <c r="Q938" s="200"/>
    </row>
    <row r="939">
      <c r="A939" s="35"/>
      <c r="B939" s="35"/>
      <c r="C939" s="35"/>
      <c r="D939" s="378"/>
      <c r="E939" s="35"/>
      <c r="F939" s="35"/>
      <c r="G939" s="35"/>
      <c r="H939" s="35"/>
      <c r="J939" s="200"/>
      <c r="K939" s="200"/>
      <c r="L939" s="248"/>
      <c r="M939" s="200"/>
      <c r="N939" s="200"/>
      <c r="O939" s="200"/>
      <c r="Q939" s="200"/>
    </row>
    <row r="940">
      <c r="A940" s="35"/>
      <c r="B940" s="35"/>
      <c r="C940" s="35"/>
      <c r="D940" s="378"/>
      <c r="E940" s="35"/>
      <c r="F940" s="35"/>
      <c r="G940" s="35"/>
      <c r="H940" s="35"/>
      <c r="J940" s="200"/>
      <c r="K940" s="200"/>
      <c r="L940" s="248"/>
      <c r="M940" s="200"/>
      <c r="N940" s="200"/>
      <c r="O940" s="200"/>
      <c r="Q940" s="200"/>
    </row>
    <row r="941">
      <c r="A941" s="35"/>
      <c r="B941" s="35"/>
      <c r="C941" s="35"/>
      <c r="D941" s="378"/>
      <c r="E941" s="35"/>
      <c r="F941" s="35"/>
      <c r="G941" s="35"/>
      <c r="H941" s="35"/>
      <c r="J941" s="200"/>
      <c r="K941" s="200"/>
      <c r="L941" s="248"/>
      <c r="M941" s="200"/>
      <c r="N941" s="200"/>
      <c r="O941" s="200"/>
      <c r="Q941" s="200"/>
    </row>
    <row r="942">
      <c r="A942" s="35"/>
      <c r="B942" s="35"/>
      <c r="C942" s="35"/>
      <c r="D942" s="378"/>
      <c r="E942" s="35"/>
      <c r="F942" s="35"/>
      <c r="G942" s="35"/>
      <c r="H942" s="35"/>
      <c r="J942" s="200"/>
      <c r="K942" s="200"/>
      <c r="L942" s="248"/>
      <c r="M942" s="200"/>
      <c r="N942" s="200"/>
      <c r="O942" s="200"/>
      <c r="Q942" s="200"/>
    </row>
    <row r="943">
      <c r="A943" s="35"/>
      <c r="B943" s="35"/>
      <c r="C943" s="35"/>
      <c r="D943" s="378"/>
      <c r="E943" s="35"/>
      <c r="F943" s="35"/>
      <c r="G943" s="35"/>
      <c r="H943" s="35"/>
      <c r="J943" s="200"/>
      <c r="K943" s="200"/>
      <c r="L943" s="248"/>
      <c r="M943" s="200"/>
      <c r="N943" s="200"/>
      <c r="O943" s="200"/>
      <c r="Q943" s="200"/>
    </row>
    <row r="944">
      <c r="A944" s="35"/>
      <c r="B944" s="35"/>
      <c r="C944" s="35"/>
      <c r="D944" s="378"/>
      <c r="E944" s="35"/>
      <c r="F944" s="35"/>
      <c r="G944" s="35"/>
      <c r="H944" s="35"/>
      <c r="J944" s="200"/>
      <c r="K944" s="200"/>
      <c r="L944" s="248"/>
      <c r="M944" s="200"/>
      <c r="N944" s="200"/>
      <c r="O944" s="200"/>
      <c r="Q944" s="200"/>
    </row>
    <row r="945">
      <c r="A945" s="35"/>
      <c r="B945" s="35"/>
      <c r="C945" s="35"/>
      <c r="D945" s="378"/>
      <c r="E945" s="35"/>
      <c r="F945" s="35"/>
      <c r="G945" s="35"/>
      <c r="H945" s="35"/>
      <c r="J945" s="200"/>
      <c r="K945" s="200"/>
      <c r="L945" s="248"/>
      <c r="M945" s="200"/>
      <c r="N945" s="200"/>
      <c r="O945" s="200"/>
      <c r="Q945" s="200"/>
    </row>
    <row r="946">
      <c r="A946" s="35"/>
      <c r="B946" s="35"/>
      <c r="C946" s="35"/>
      <c r="D946" s="378"/>
      <c r="E946" s="35"/>
      <c r="F946" s="35"/>
      <c r="G946" s="35"/>
      <c r="H946" s="35"/>
      <c r="J946" s="200"/>
      <c r="K946" s="200"/>
      <c r="L946" s="248"/>
      <c r="M946" s="200"/>
      <c r="N946" s="200"/>
      <c r="O946" s="200"/>
      <c r="Q946" s="200"/>
    </row>
    <row r="947">
      <c r="A947" s="35"/>
      <c r="B947" s="35"/>
      <c r="C947" s="35"/>
      <c r="D947" s="378"/>
      <c r="E947" s="35"/>
      <c r="F947" s="35"/>
      <c r="G947" s="35"/>
      <c r="H947" s="35"/>
      <c r="J947" s="200"/>
      <c r="K947" s="200"/>
      <c r="L947" s="248"/>
      <c r="M947" s="200"/>
      <c r="N947" s="200"/>
      <c r="O947" s="200"/>
      <c r="Q947" s="200"/>
    </row>
    <row r="948">
      <c r="A948" s="35"/>
      <c r="B948" s="35"/>
      <c r="C948" s="35"/>
      <c r="D948" s="378"/>
      <c r="E948" s="35"/>
      <c r="F948" s="35"/>
      <c r="G948" s="35"/>
      <c r="H948" s="35"/>
      <c r="J948" s="200"/>
      <c r="K948" s="200"/>
      <c r="L948" s="248"/>
      <c r="M948" s="200"/>
      <c r="N948" s="200"/>
      <c r="O948" s="200"/>
      <c r="Q948" s="200"/>
    </row>
    <row r="949">
      <c r="A949" s="35"/>
      <c r="B949" s="35"/>
      <c r="C949" s="35"/>
      <c r="D949" s="378"/>
      <c r="E949" s="35"/>
      <c r="F949" s="35"/>
      <c r="G949" s="35"/>
      <c r="H949" s="35"/>
      <c r="J949" s="200"/>
      <c r="K949" s="200"/>
      <c r="L949" s="248"/>
      <c r="M949" s="200"/>
      <c r="N949" s="200"/>
      <c r="O949" s="200"/>
      <c r="Q949" s="200"/>
    </row>
    <row r="950">
      <c r="A950" s="35"/>
      <c r="B950" s="35"/>
      <c r="C950" s="35"/>
      <c r="D950" s="378"/>
      <c r="E950" s="35"/>
      <c r="F950" s="35"/>
      <c r="G950" s="35"/>
      <c r="H950" s="35"/>
      <c r="J950" s="200"/>
      <c r="K950" s="200"/>
      <c r="L950" s="248"/>
      <c r="M950" s="200"/>
      <c r="N950" s="200"/>
      <c r="O950" s="200"/>
      <c r="Q950" s="200"/>
    </row>
    <row r="951">
      <c r="A951" s="35"/>
      <c r="B951" s="35"/>
      <c r="C951" s="35"/>
      <c r="D951" s="378"/>
      <c r="E951" s="35"/>
      <c r="F951" s="35"/>
      <c r="G951" s="35"/>
      <c r="H951" s="35"/>
      <c r="J951" s="200"/>
      <c r="K951" s="200"/>
      <c r="L951" s="248"/>
      <c r="M951" s="200"/>
      <c r="N951" s="200"/>
      <c r="O951" s="200"/>
      <c r="Q951" s="200"/>
    </row>
    <row r="952">
      <c r="A952" s="35"/>
      <c r="B952" s="35"/>
      <c r="C952" s="35"/>
      <c r="D952" s="378"/>
      <c r="E952" s="35"/>
      <c r="F952" s="35"/>
      <c r="G952" s="35"/>
      <c r="H952" s="35"/>
      <c r="J952" s="200"/>
      <c r="K952" s="200"/>
      <c r="L952" s="248"/>
      <c r="M952" s="200"/>
      <c r="N952" s="200"/>
      <c r="O952" s="200"/>
      <c r="Q952" s="200"/>
    </row>
    <row r="953">
      <c r="A953" s="35"/>
      <c r="B953" s="35"/>
      <c r="C953" s="35"/>
      <c r="D953" s="378"/>
      <c r="E953" s="35"/>
      <c r="F953" s="35"/>
      <c r="G953" s="35"/>
      <c r="H953" s="35"/>
      <c r="J953" s="200"/>
      <c r="K953" s="200"/>
      <c r="L953" s="248"/>
      <c r="M953" s="200"/>
      <c r="N953" s="200"/>
      <c r="O953" s="200"/>
      <c r="Q953" s="200"/>
    </row>
    <row r="954">
      <c r="A954" s="35"/>
      <c r="B954" s="35"/>
      <c r="C954" s="35"/>
      <c r="D954" s="378"/>
      <c r="E954" s="35"/>
      <c r="F954" s="35"/>
      <c r="G954" s="35"/>
      <c r="H954" s="35"/>
      <c r="J954" s="200"/>
      <c r="K954" s="200"/>
      <c r="L954" s="248"/>
      <c r="M954" s="200"/>
      <c r="N954" s="200"/>
      <c r="O954" s="200"/>
      <c r="Q954" s="200"/>
    </row>
    <row r="955">
      <c r="A955" s="35"/>
      <c r="B955" s="35"/>
      <c r="C955" s="35"/>
      <c r="D955" s="378"/>
      <c r="E955" s="35"/>
      <c r="F955" s="35"/>
      <c r="G955" s="35"/>
      <c r="H955" s="35"/>
      <c r="J955" s="200"/>
      <c r="K955" s="200"/>
      <c r="L955" s="248"/>
      <c r="M955" s="200"/>
      <c r="N955" s="200"/>
      <c r="O955" s="200"/>
      <c r="Q955" s="200"/>
    </row>
    <row r="956">
      <c r="A956" s="35"/>
      <c r="B956" s="35"/>
      <c r="C956" s="35"/>
      <c r="D956" s="378"/>
      <c r="E956" s="35"/>
      <c r="F956" s="35"/>
      <c r="G956" s="35"/>
      <c r="H956" s="35"/>
      <c r="J956" s="200"/>
      <c r="K956" s="200"/>
      <c r="L956" s="248"/>
      <c r="M956" s="200"/>
      <c r="N956" s="200"/>
      <c r="O956" s="200"/>
      <c r="Q956" s="200"/>
    </row>
    <row r="957">
      <c r="A957" s="35"/>
      <c r="B957" s="35"/>
      <c r="C957" s="35"/>
      <c r="D957" s="378"/>
      <c r="E957" s="35"/>
      <c r="F957" s="35"/>
      <c r="G957" s="35"/>
      <c r="H957" s="35"/>
      <c r="J957" s="200"/>
      <c r="K957" s="200"/>
      <c r="L957" s="248"/>
      <c r="M957" s="200"/>
      <c r="N957" s="200"/>
      <c r="O957" s="200"/>
      <c r="Q957" s="200"/>
    </row>
    <row r="958">
      <c r="A958" s="35"/>
      <c r="B958" s="35"/>
      <c r="C958" s="35"/>
      <c r="D958" s="378"/>
      <c r="E958" s="35"/>
      <c r="F958" s="35"/>
      <c r="G958" s="35"/>
      <c r="H958" s="35"/>
      <c r="J958" s="200"/>
      <c r="K958" s="200"/>
      <c r="L958" s="248"/>
      <c r="M958" s="200"/>
      <c r="N958" s="200"/>
      <c r="O958" s="200"/>
      <c r="Q958" s="200"/>
    </row>
    <row r="959">
      <c r="A959" s="35"/>
      <c r="B959" s="35"/>
      <c r="C959" s="35"/>
      <c r="D959" s="378"/>
      <c r="E959" s="35"/>
      <c r="F959" s="35"/>
      <c r="G959" s="35"/>
      <c r="H959" s="35"/>
      <c r="J959" s="200"/>
      <c r="K959" s="200"/>
      <c r="L959" s="248"/>
      <c r="M959" s="200"/>
      <c r="N959" s="200"/>
      <c r="O959" s="200"/>
      <c r="Q959" s="200"/>
    </row>
    <row r="960">
      <c r="A960" s="35"/>
      <c r="B960" s="35"/>
      <c r="C960" s="35"/>
      <c r="D960" s="378"/>
      <c r="E960" s="35"/>
      <c r="F960" s="35"/>
      <c r="G960" s="35"/>
      <c r="H960" s="35"/>
      <c r="J960" s="200"/>
      <c r="K960" s="200"/>
      <c r="L960" s="248"/>
      <c r="M960" s="200"/>
      <c r="N960" s="200"/>
      <c r="O960" s="200"/>
      <c r="Q960" s="200"/>
    </row>
    <row r="961">
      <c r="A961" s="35"/>
      <c r="B961" s="35"/>
      <c r="C961" s="35"/>
      <c r="D961" s="378"/>
      <c r="E961" s="35"/>
      <c r="F961" s="35"/>
      <c r="G961" s="35"/>
      <c r="H961" s="35"/>
      <c r="J961" s="200"/>
      <c r="K961" s="200"/>
      <c r="L961" s="248"/>
      <c r="M961" s="200"/>
      <c r="N961" s="200"/>
      <c r="O961" s="200"/>
      <c r="Q961" s="200"/>
    </row>
    <row r="962">
      <c r="A962" s="35"/>
      <c r="B962" s="35"/>
      <c r="C962" s="35"/>
      <c r="D962" s="378"/>
      <c r="E962" s="35"/>
      <c r="F962" s="35"/>
      <c r="G962" s="35"/>
      <c r="H962" s="35"/>
      <c r="J962" s="200"/>
      <c r="K962" s="200"/>
      <c r="L962" s="248"/>
      <c r="M962" s="200"/>
      <c r="N962" s="200"/>
      <c r="O962" s="200"/>
      <c r="Q962" s="200"/>
    </row>
    <row r="963">
      <c r="A963" s="35"/>
      <c r="B963" s="35"/>
      <c r="C963" s="35"/>
      <c r="D963" s="378"/>
      <c r="E963" s="35"/>
      <c r="F963" s="35"/>
      <c r="G963" s="35"/>
      <c r="H963" s="35"/>
      <c r="J963" s="200"/>
      <c r="K963" s="200"/>
      <c r="L963" s="248"/>
      <c r="M963" s="200"/>
      <c r="N963" s="200"/>
      <c r="O963" s="200"/>
      <c r="Q963" s="200"/>
    </row>
    <row r="964">
      <c r="A964" s="35"/>
      <c r="B964" s="35"/>
      <c r="C964" s="35"/>
      <c r="D964" s="378"/>
      <c r="E964" s="35"/>
      <c r="F964" s="35"/>
      <c r="G964" s="35"/>
      <c r="H964" s="35"/>
      <c r="J964" s="200"/>
      <c r="K964" s="200"/>
      <c r="L964" s="248"/>
      <c r="M964" s="200"/>
      <c r="N964" s="200"/>
      <c r="O964" s="200"/>
      <c r="Q964" s="200"/>
    </row>
    <row r="965">
      <c r="A965" s="35"/>
      <c r="B965" s="35"/>
      <c r="C965" s="35"/>
      <c r="D965" s="378"/>
      <c r="E965" s="35"/>
      <c r="F965" s="35"/>
      <c r="G965" s="35"/>
      <c r="H965" s="35"/>
      <c r="J965" s="200"/>
      <c r="K965" s="200"/>
      <c r="L965" s="248"/>
      <c r="M965" s="200"/>
      <c r="N965" s="200"/>
      <c r="O965" s="200"/>
      <c r="Q965" s="200"/>
    </row>
    <row r="966">
      <c r="A966" s="35"/>
      <c r="B966" s="35"/>
      <c r="C966" s="35"/>
      <c r="D966" s="378"/>
      <c r="E966" s="35"/>
      <c r="F966" s="35"/>
      <c r="G966" s="35"/>
      <c r="H966" s="35"/>
      <c r="J966" s="200"/>
      <c r="K966" s="200"/>
      <c r="L966" s="248"/>
      <c r="M966" s="200"/>
      <c r="N966" s="200"/>
      <c r="O966" s="200"/>
      <c r="Q966" s="200"/>
    </row>
    <row r="967">
      <c r="A967" s="35"/>
      <c r="B967" s="35"/>
      <c r="C967" s="35"/>
      <c r="D967" s="378"/>
      <c r="E967" s="35"/>
      <c r="F967" s="35"/>
      <c r="G967" s="35"/>
      <c r="H967" s="35"/>
      <c r="J967" s="200"/>
      <c r="K967" s="200"/>
      <c r="L967" s="248"/>
      <c r="M967" s="200"/>
      <c r="N967" s="200"/>
      <c r="O967" s="200"/>
      <c r="Q967" s="200"/>
    </row>
    <row r="968">
      <c r="A968" s="35"/>
      <c r="B968" s="35"/>
      <c r="C968" s="35"/>
      <c r="D968" s="378"/>
      <c r="E968" s="35"/>
      <c r="F968" s="35"/>
      <c r="G968" s="35"/>
      <c r="H968" s="35"/>
      <c r="J968" s="200"/>
      <c r="K968" s="200"/>
      <c r="L968" s="248"/>
      <c r="M968" s="200"/>
      <c r="N968" s="200"/>
      <c r="O968" s="200"/>
      <c r="Q968" s="200"/>
    </row>
    <row r="969">
      <c r="A969" s="35"/>
      <c r="B969" s="35"/>
      <c r="C969" s="35"/>
      <c r="D969" s="378"/>
      <c r="E969" s="35"/>
      <c r="F969" s="35"/>
      <c r="G969" s="35"/>
      <c r="H969" s="35"/>
      <c r="J969" s="200"/>
      <c r="K969" s="200"/>
      <c r="L969" s="248"/>
      <c r="M969" s="200"/>
      <c r="N969" s="200"/>
      <c r="O969" s="200"/>
      <c r="Q969" s="200"/>
    </row>
    <row r="970">
      <c r="A970" s="35"/>
      <c r="B970" s="35"/>
      <c r="C970" s="35"/>
      <c r="D970" s="378"/>
      <c r="E970" s="35"/>
      <c r="F970" s="35"/>
      <c r="G970" s="35"/>
      <c r="H970" s="35"/>
      <c r="J970" s="200"/>
      <c r="K970" s="200"/>
      <c r="L970" s="248"/>
      <c r="M970" s="200"/>
      <c r="N970" s="200"/>
      <c r="O970" s="200"/>
      <c r="Q970" s="200"/>
    </row>
    <row r="971">
      <c r="A971" s="35"/>
      <c r="B971" s="35"/>
      <c r="C971" s="35"/>
      <c r="D971" s="378"/>
      <c r="E971" s="35"/>
      <c r="F971" s="35"/>
      <c r="G971" s="35"/>
      <c r="H971" s="35"/>
      <c r="J971" s="200"/>
      <c r="K971" s="200"/>
      <c r="L971" s="248"/>
      <c r="M971" s="200"/>
      <c r="N971" s="200"/>
      <c r="O971" s="200"/>
      <c r="Q971" s="200"/>
    </row>
    <row r="972">
      <c r="A972" s="35"/>
      <c r="B972" s="35"/>
      <c r="C972" s="35"/>
      <c r="D972" s="378"/>
      <c r="E972" s="35"/>
      <c r="F972" s="35"/>
      <c r="G972" s="35"/>
      <c r="H972" s="35"/>
      <c r="J972" s="200"/>
      <c r="K972" s="200"/>
      <c r="L972" s="248"/>
      <c r="M972" s="200"/>
      <c r="N972" s="200"/>
      <c r="O972" s="200"/>
      <c r="Q972" s="200"/>
    </row>
    <row r="973">
      <c r="A973" s="35"/>
      <c r="B973" s="35"/>
      <c r="C973" s="35"/>
      <c r="D973" s="378"/>
      <c r="E973" s="35"/>
      <c r="F973" s="35"/>
      <c r="G973" s="35"/>
      <c r="H973" s="35"/>
      <c r="J973" s="200"/>
      <c r="K973" s="200"/>
      <c r="L973" s="248"/>
      <c r="M973" s="200"/>
      <c r="N973" s="200"/>
      <c r="O973" s="200"/>
      <c r="Q973" s="200"/>
    </row>
    <row r="974">
      <c r="A974" s="35"/>
      <c r="B974" s="35"/>
      <c r="C974" s="35"/>
      <c r="D974" s="378"/>
      <c r="E974" s="35"/>
      <c r="F974" s="35"/>
      <c r="G974" s="35"/>
      <c r="H974" s="35"/>
      <c r="J974" s="200"/>
      <c r="K974" s="200"/>
      <c r="L974" s="248"/>
      <c r="M974" s="200"/>
      <c r="N974" s="200"/>
      <c r="O974" s="200"/>
      <c r="Q974" s="200"/>
    </row>
    <row r="975">
      <c r="A975" s="35"/>
      <c r="B975" s="35"/>
      <c r="C975" s="35"/>
      <c r="D975" s="378"/>
      <c r="E975" s="35"/>
      <c r="F975" s="35"/>
      <c r="G975" s="35"/>
      <c r="H975" s="35"/>
      <c r="J975" s="200"/>
      <c r="K975" s="200"/>
      <c r="L975" s="248"/>
      <c r="M975" s="200"/>
      <c r="N975" s="200"/>
      <c r="O975" s="200"/>
      <c r="Q975" s="200"/>
    </row>
    <row r="976">
      <c r="A976" s="35"/>
      <c r="B976" s="35"/>
      <c r="C976" s="35"/>
      <c r="D976" s="378"/>
      <c r="E976" s="35"/>
      <c r="F976" s="35"/>
      <c r="G976" s="35"/>
      <c r="H976" s="35"/>
      <c r="J976" s="200"/>
      <c r="K976" s="200"/>
      <c r="L976" s="248"/>
      <c r="M976" s="200"/>
      <c r="N976" s="200"/>
      <c r="O976" s="200"/>
      <c r="Q976" s="200"/>
    </row>
    <row r="977">
      <c r="A977" s="35"/>
      <c r="B977" s="35"/>
      <c r="C977" s="35"/>
      <c r="D977" s="378"/>
      <c r="E977" s="35"/>
      <c r="F977" s="35"/>
      <c r="G977" s="35"/>
      <c r="H977" s="35"/>
      <c r="J977" s="200"/>
      <c r="K977" s="200"/>
      <c r="L977" s="248"/>
      <c r="M977" s="200"/>
      <c r="N977" s="200"/>
      <c r="O977" s="200"/>
      <c r="Q977" s="200"/>
    </row>
    <row r="978">
      <c r="A978" s="35"/>
      <c r="B978" s="35"/>
      <c r="C978" s="35"/>
      <c r="D978" s="378"/>
      <c r="E978" s="35"/>
      <c r="F978" s="35"/>
      <c r="G978" s="35"/>
      <c r="H978" s="35"/>
      <c r="J978" s="200"/>
      <c r="K978" s="200"/>
      <c r="L978" s="248"/>
      <c r="M978" s="200"/>
      <c r="N978" s="200"/>
      <c r="O978" s="200"/>
      <c r="Q978" s="200"/>
    </row>
    <row r="979">
      <c r="A979" s="35"/>
      <c r="B979" s="35"/>
      <c r="C979" s="35"/>
      <c r="D979" s="378"/>
      <c r="E979" s="35"/>
      <c r="F979" s="35"/>
      <c r="G979" s="35"/>
      <c r="H979" s="35"/>
      <c r="J979" s="200"/>
      <c r="K979" s="200"/>
      <c r="L979" s="248"/>
      <c r="M979" s="200"/>
      <c r="N979" s="200"/>
      <c r="O979" s="200"/>
      <c r="Q979" s="200"/>
    </row>
    <row r="980">
      <c r="A980" s="35"/>
      <c r="B980" s="35"/>
      <c r="C980" s="35"/>
      <c r="D980" s="378"/>
      <c r="E980" s="35"/>
      <c r="F980" s="35"/>
      <c r="G980" s="35"/>
      <c r="H980" s="35"/>
      <c r="J980" s="200"/>
      <c r="K980" s="200"/>
      <c r="L980" s="248"/>
      <c r="M980" s="200"/>
      <c r="N980" s="200"/>
      <c r="O980" s="200"/>
      <c r="Q980" s="200"/>
    </row>
    <row r="981">
      <c r="A981" s="35"/>
      <c r="B981" s="35"/>
      <c r="C981" s="35"/>
      <c r="D981" s="378"/>
      <c r="E981" s="35"/>
      <c r="F981" s="35"/>
      <c r="G981" s="35"/>
      <c r="H981" s="35"/>
      <c r="J981" s="200"/>
      <c r="K981" s="200"/>
      <c r="L981" s="248"/>
      <c r="M981" s="200"/>
      <c r="N981" s="200"/>
      <c r="O981" s="200"/>
      <c r="Q981" s="200"/>
    </row>
    <row r="982">
      <c r="A982" s="35"/>
      <c r="B982" s="35"/>
      <c r="C982" s="35"/>
      <c r="D982" s="378"/>
      <c r="E982" s="35"/>
      <c r="F982" s="35"/>
      <c r="G982" s="35"/>
      <c r="H982" s="35"/>
      <c r="J982" s="200"/>
      <c r="K982" s="200"/>
      <c r="L982" s="248"/>
      <c r="M982" s="200"/>
      <c r="N982" s="200"/>
      <c r="O982" s="200"/>
      <c r="Q982" s="200"/>
    </row>
    <row r="983">
      <c r="A983" s="35"/>
      <c r="B983" s="35"/>
      <c r="C983" s="35"/>
      <c r="D983" s="378"/>
      <c r="E983" s="35"/>
      <c r="F983" s="35"/>
      <c r="G983" s="35"/>
      <c r="H983" s="35"/>
      <c r="J983" s="200"/>
      <c r="K983" s="200"/>
      <c r="L983" s="248"/>
      <c r="M983" s="200"/>
      <c r="N983" s="200"/>
      <c r="O983" s="200"/>
      <c r="Q983" s="200"/>
    </row>
    <row r="984">
      <c r="A984" s="35"/>
      <c r="B984" s="35"/>
      <c r="C984" s="35"/>
      <c r="D984" s="378"/>
      <c r="E984" s="35"/>
      <c r="F984" s="35"/>
      <c r="G984" s="35"/>
      <c r="H984" s="35"/>
      <c r="J984" s="200"/>
      <c r="K984" s="200"/>
      <c r="L984" s="248"/>
      <c r="M984" s="200"/>
      <c r="N984" s="200"/>
      <c r="O984" s="200"/>
      <c r="Q984" s="200"/>
    </row>
    <row r="985">
      <c r="A985" s="35"/>
      <c r="B985" s="35"/>
      <c r="C985" s="35"/>
      <c r="D985" s="378"/>
      <c r="E985" s="35"/>
      <c r="F985" s="35"/>
      <c r="G985" s="35"/>
      <c r="H985" s="35"/>
      <c r="J985" s="200"/>
      <c r="K985" s="200"/>
      <c r="L985" s="248"/>
      <c r="M985" s="200"/>
      <c r="N985" s="200"/>
      <c r="O985" s="200"/>
      <c r="Q985" s="200"/>
    </row>
    <row r="986">
      <c r="A986" s="35"/>
      <c r="B986" s="35"/>
      <c r="C986" s="35"/>
      <c r="D986" s="378"/>
      <c r="E986" s="35"/>
      <c r="F986" s="35"/>
      <c r="G986" s="35"/>
      <c r="H986" s="35"/>
      <c r="J986" s="200"/>
      <c r="K986" s="200"/>
      <c r="L986" s="248"/>
      <c r="M986" s="200"/>
      <c r="N986" s="200"/>
      <c r="O986" s="200"/>
      <c r="Q986" s="200"/>
    </row>
    <row r="987">
      <c r="A987" s="35"/>
      <c r="B987" s="35"/>
      <c r="C987" s="35"/>
      <c r="D987" s="378"/>
      <c r="E987" s="35"/>
      <c r="F987" s="35"/>
      <c r="G987" s="35"/>
      <c r="H987" s="35"/>
      <c r="J987" s="200"/>
      <c r="K987" s="200"/>
      <c r="L987" s="248"/>
      <c r="M987" s="200"/>
      <c r="N987" s="200"/>
      <c r="O987" s="200"/>
      <c r="Q987" s="200"/>
    </row>
    <row r="988">
      <c r="A988" s="35"/>
      <c r="B988" s="35"/>
      <c r="C988" s="35"/>
      <c r="D988" s="378"/>
      <c r="E988" s="35"/>
      <c r="F988" s="35"/>
      <c r="G988" s="35"/>
      <c r="H988" s="35"/>
      <c r="J988" s="200"/>
      <c r="K988" s="200"/>
      <c r="L988" s="248"/>
      <c r="M988" s="200"/>
      <c r="N988" s="200"/>
      <c r="O988" s="200"/>
      <c r="Q988" s="200"/>
    </row>
    <row r="989">
      <c r="A989" s="35"/>
      <c r="B989" s="35"/>
      <c r="C989" s="35"/>
      <c r="D989" s="378"/>
      <c r="E989" s="35"/>
      <c r="F989" s="35"/>
      <c r="G989" s="35"/>
      <c r="H989" s="35"/>
      <c r="J989" s="200"/>
      <c r="K989" s="200"/>
      <c r="L989" s="248"/>
      <c r="M989" s="200"/>
      <c r="N989" s="200"/>
      <c r="O989" s="200"/>
      <c r="Q989" s="200"/>
    </row>
    <row r="990">
      <c r="A990" s="35"/>
      <c r="B990" s="35"/>
      <c r="C990" s="35"/>
      <c r="D990" s="378"/>
      <c r="E990" s="35"/>
      <c r="F990" s="35"/>
      <c r="G990" s="35"/>
      <c r="H990" s="35"/>
      <c r="J990" s="200"/>
      <c r="K990" s="200"/>
      <c r="L990" s="248"/>
      <c r="M990" s="200"/>
      <c r="N990" s="200"/>
      <c r="O990" s="200"/>
      <c r="Q990" s="200"/>
    </row>
    <row r="991">
      <c r="A991" s="35"/>
      <c r="B991" s="35"/>
      <c r="C991" s="35"/>
      <c r="D991" s="378"/>
      <c r="E991" s="35"/>
      <c r="F991" s="35"/>
      <c r="G991" s="35"/>
      <c r="H991" s="35"/>
      <c r="J991" s="200"/>
      <c r="K991" s="200"/>
      <c r="L991" s="248"/>
      <c r="M991" s="200"/>
      <c r="N991" s="200"/>
      <c r="O991" s="200"/>
      <c r="Q991" s="200"/>
    </row>
    <row r="992">
      <c r="A992" s="35"/>
      <c r="B992" s="35"/>
      <c r="C992" s="35"/>
      <c r="D992" s="378"/>
      <c r="E992" s="35"/>
      <c r="F992" s="35"/>
      <c r="G992" s="35"/>
      <c r="H992" s="35"/>
      <c r="J992" s="200"/>
      <c r="K992" s="200"/>
      <c r="L992" s="248"/>
      <c r="M992" s="200"/>
      <c r="N992" s="200"/>
      <c r="O992" s="200"/>
      <c r="Q992" s="200"/>
    </row>
    <row r="993">
      <c r="A993" s="35"/>
      <c r="B993" s="35"/>
      <c r="C993" s="35"/>
      <c r="D993" s="378"/>
      <c r="E993" s="35"/>
      <c r="F993" s="35"/>
      <c r="G993" s="35"/>
      <c r="H993" s="35"/>
      <c r="J993" s="200"/>
      <c r="K993" s="200"/>
      <c r="L993" s="248"/>
      <c r="M993" s="200"/>
      <c r="N993" s="200"/>
      <c r="O993" s="200"/>
      <c r="Q993" s="200"/>
    </row>
    <row r="994">
      <c r="A994" s="35"/>
      <c r="B994" s="35"/>
      <c r="C994" s="35"/>
      <c r="D994" s="378"/>
      <c r="E994" s="35"/>
      <c r="F994" s="35"/>
      <c r="G994" s="35"/>
      <c r="H994" s="35"/>
      <c r="J994" s="200"/>
      <c r="K994" s="200"/>
      <c r="L994" s="248"/>
      <c r="M994" s="200"/>
      <c r="N994" s="200"/>
      <c r="O994" s="200"/>
      <c r="Q994" s="200"/>
    </row>
    <row r="995">
      <c r="A995" s="35"/>
      <c r="B995" s="35"/>
      <c r="C995" s="35"/>
      <c r="D995" s="378"/>
      <c r="E995" s="35"/>
      <c r="F995" s="35"/>
      <c r="G995" s="35"/>
      <c r="H995" s="35"/>
      <c r="J995" s="200"/>
      <c r="K995" s="200"/>
      <c r="L995" s="248"/>
      <c r="M995" s="200"/>
      <c r="N995" s="200"/>
      <c r="O995" s="200"/>
      <c r="Q995" s="200"/>
    </row>
    <row r="996">
      <c r="A996" s="35"/>
      <c r="B996" s="35"/>
      <c r="C996" s="35"/>
      <c r="D996" s="378"/>
      <c r="E996" s="35"/>
      <c r="F996" s="35"/>
      <c r="G996" s="35"/>
      <c r="H996" s="35"/>
      <c r="J996" s="200"/>
      <c r="K996" s="200"/>
      <c r="L996" s="248"/>
      <c r="M996" s="200"/>
      <c r="N996" s="200"/>
      <c r="O996" s="200"/>
      <c r="Q996" s="200"/>
    </row>
    <row r="997">
      <c r="A997" s="35"/>
      <c r="B997" s="35"/>
      <c r="C997" s="35"/>
      <c r="D997" s="378"/>
      <c r="E997" s="35"/>
      <c r="F997" s="35"/>
      <c r="G997" s="35"/>
      <c r="H997" s="35"/>
      <c r="J997" s="200"/>
      <c r="K997" s="200"/>
      <c r="L997" s="248"/>
      <c r="M997" s="200"/>
      <c r="N997" s="200"/>
      <c r="O997" s="200"/>
      <c r="Q997" s="200"/>
    </row>
    <row r="998">
      <c r="A998" s="35"/>
      <c r="B998" s="35"/>
      <c r="C998" s="35"/>
      <c r="D998" s="378"/>
      <c r="E998" s="35"/>
      <c r="F998" s="35"/>
      <c r="G998" s="35"/>
      <c r="H998" s="35"/>
      <c r="J998" s="200"/>
      <c r="K998" s="200"/>
      <c r="L998" s="248"/>
      <c r="M998" s="200"/>
      <c r="N998" s="200"/>
      <c r="O998" s="200"/>
      <c r="Q998" s="200"/>
    </row>
    <row r="999">
      <c r="A999" s="35"/>
      <c r="B999" s="35"/>
      <c r="C999" s="35"/>
      <c r="D999" s="378"/>
      <c r="E999" s="35"/>
      <c r="F999" s="35"/>
      <c r="G999" s="35"/>
      <c r="H999" s="35"/>
      <c r="J999" s="200"/>
      <c r="K999" s="200"/>
      <c r="L999" s="248"/>
      <c r="M999" s="200"/>
      <c r="N999" s="200"/>
      <c r="O999" s="200"/>
      <c r="Q999" s="200"/>
    </row>
    <row r="1000">
      <c r="A1000" s="35"/>
      <c r="B1000" s="35"/>
      <c r="C1000" s="35"/>
      <c r="D1000" s="378"/>
      <c r="E1000" s="35"/>
      <c r="F1000" s="35"/>
      <c r="G1000" s="35"/>
      <c r="H1000" s="35"/>
      <c r="J1000" s="200"/>
      <c r="K1000" s="200"/>
      <c r="L1000" s="248"/>
      <c r="M1000" s="200"/>
      <c r="N1000" s="200"/>
      <c r="O1000" s="200"/>
      <c r="Q1000" s="200"/>
    </row>
    <row r="1001">
      <c r="A1001" s="35"/>
      <c r="B1001" s="35"/>
      <c r="C1001" s="35"/>
      <c r="D1001" s="378"/>
      <c r="E1001" s="35"/>
      <c r="F1001" s="35"/>
      <c r="G1001" s="35"/>
      <c r="H1001" s="35"/>
      <c r="J1001" s="200"/>
      <c r="K1001" s="200"/>
      <c r="L1001" s="248"/>
      <c r="M1001" s="200"/>
      <c r="N1001" s="200"/>
      <c r="O1001" s="200"/>
      <c r="Q1001" s="200"/>
    </row>
    <row r="1002">
      <c r="A1002" s="35"/>
      <c r="B1002" s="35"/>
      <c r="C1002" s="35"/>
      <c r="D1002" s="378"/>
      <c r="E1002" s="35"/>
      <c r="F1002" s="35"/>
      <c r="G1002" s="35"/>
      <c r="H1002" s="35"/>
      <c r="J1002" s="200"/>
      <c r="K1002" s="200"/>
      <c r="L1002" s="248"/>
      <c r="M1002" s="200"/>
      <c r="N1002" s="200"/>
      <c r="O1002" s="200"/>
      <c r="Q1002" s="200"/>
    </row>
    <row r="1003">
      <c r="A1003" s="35"/>
      <c r="B1003" s="35"/>
      <c r="C1003" s="35"/>
      <c r="D1003" s="378"/>
      <c r="E1003" s="35"/>
      <c r="F1003" s="35"/>
      <c r="G1003" s="35"/>
      <c r="H1003" s="35"/>
      <c r="J1003" s="200"/>
      <c r="K1003" s="200"/>
      <c r="L1003" s="248"/>
      <c r="M1003" s="200"/>
      <c r="N1003" s="200"/>
      <c r="O1003" s="200"/>
      <c r="Q1003" s="200"/>
    </row>
    <row r="1004">
      <c r="A1004" s="35"/>
      <c r="B1004" s="35"/>
      <c r="C1004" s="35"/>
      <c r="D1004" s="378"/>
      <c r="E1004" s="35"/>
      <c r="F1004" s="35"/>
      <c r="G1004" s="35"/>
      <c r="H1004" s="35"/>
      <c r="J1004" s="200"/>
      <c r="K1004" s="200"/>
      <c r="L1004" s="248"/>
      <c r="M1004" s="200"/>
      <c r="N1004" s="200"/>
      <c r="O1004" s="200"/>
      <c r="Q1004" s="200"/>
    </row>
  </sheetData>
  <mergeCells count="1">
    <mergeCell ref="C2:D2"/>
  </mergeCells>
  <dataValidations>
    <dataValidation type="list" allowBlank="1" showErrorMessage="1" sqref="K5">
      <formula1>regiao[REGIAO_INTEGRACAO]</formula1>
    </dataValidation>
    <dataValidation type="list" allowBlank="1" showErrorMessage="1" sqref="O5">
      <formula1>tabelameso[Mesorregião]</formula1>
    </dataValidation>
    <dataValidation type="list" allowBlank="1" showErrorMessage="1" sqref="F6:F150">
      <formula1>"TOCANTINS,MARAJÓ,ARAGUAIA,TAPAJÓS,CARAJÁS,LAGO DE TUCURUÍ,RIO CAETÉ,BAIXO AMAZONAS,RIO CAPIM,XINGU,GUAJARÁ,GUAMÁ"</formula1>
    </dataValidation>
    <dataValidation type="list" allowBlank="1" sqref="E6:E150">
      <formula1>"SUDESTE,BAIXO AMAZONAS,METROPOLITANA,NORDESTE,MARAJÓ,SUDOESTE"</formula1>
    </dataValidation>
    <dataValidation type="list" allowBlank="1" showErrorMessage="1" sqref="C6:C150">
      <formula1>"SEM INFRA PRODEPA,RÁDIO,FIBRA,EM FASE DE IMPLANTAÇÃO"</formula1>
    </dataValidation>
    <dataValidation type="custom" allowBlank="1" showDropDown="1" sqref="M153:N164">
      <formula1>AND(ISNUMBER(M153),(NOT(OR(NOT(ISERROR(DATEVALUE(M153))), AND(ISNUMBER(M153), LEFT(CELL("format", M153))="D")))))</formula1>
    </dataValidation>
    <dataValidation type="list" allowBlank="1" showErrorMessage="1" sqref="D1">
      <formula1>regiao!$A:$A</formula1>
    </dataValidation>
    <dataValidation type="list" allowBlank="1" showErrorMessage="1" sqref="K1">
      <formula1>municipios</formula1>
    </dataValidation>
    <dataValidation type="list" allowBlank="1" showErrorMessage="1" sqref="R5">
      <formula1>regiao!$B:$B</formula1>
    </dataValidation>
    <dataValidation type="list" allowBlank="1" showErrorMessage="1" sqref="B6:B150">
      <formula1>"SEM INFRA PRODEPA,RÁDIO,FIBRA,EM FASE DE IMPLANTAÇÃO"</formula1>
    </dataValidation>
    <dataValidation allowBlank="1" showDropDown="1" sqref="L153:L164 L168:L173"/>
    <dataValidation type="list" allowBlank="1" sqref="G6:G150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19" t="s">
        <v>771</v>
      </c>
      <c r="B1" s="319" t="s">
        <v>772</v>
      </c>
      <c r="C1" s="319" t="s">
        <v>773</v>
      </c>
    </row>
    <row r="2">
      <c r="A2" s="320" t="s">
        <v>774</v>
      </c>
      <c r="B2" s="321">
        <v>46174.0</v>
      </c>
      <c r="C2" s="322">
        <v>0.0</v>
      </c>
    </row>
    <row r="3">
      <c r="A3" s="323"/>
      <c r="B3" s="321"/>
      <c r="C3" s="32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2" max="2" width="27.25"/>
    <col customWidth="1" min="3" max="3" width="16.0"/>
    <col customWidth="1" min="7" max="7" width="13.5"/>
    <col customWidth="1" min="9" max="9" width="16.88"/>
    <col customWidth="1" min="10" max="10" width="15.63"/>
    <col customWidth="1" min="13" max="13" width="17.5"/>
    <col customWidth="1" min="14" max="14" width="15.0"/>
    <col customWidth="1" min="15" max="15" width="18.25"/>
    <col customWidth="1" min="20" max="20" width="17.13"/>
    <col customWidth="1" min="21" max="21" width="15.63"/>
    <col customWidth="1" min="22" max="25" width="15.5"/>
  </cols>
  <sheetData>
    <row r="1" ht="22.5" customHeight="1">
      <c r="A1" s="324" t="s">
        <v>68</v>
      </c>
      <c r="B1" s="324" t="s">
        <v>777</v>
      </c>
      <c r="C1" s="324" t="s">
        <v>69</v>
      </c>
      <c r="D1" s="325" t="s">
        <v>778</v>
      </c>
      <c r="E1" s="324" t="s">
        <v>154</v>
      </c>
      <c r="F1" s="326" t="s">
        <v>779</v>
      </c>
      <c r="G1" s="324" t="s">
        <v>75</v>
      </c>
      <c r="H1" s="324" t="s">
        <v>780</v>
      </c>
      <c r="I1" s="324" t="s">
        <v>781</v>
      </c>
      <c r="J1" s="324" t="s">
        <v>782</v>
      </c>
      <c r="K1" s="324" t="s">
        <v>783</v>
      </c>
      <c r="L1" s="326" t="s">
        <v>38</v>
      </c>
      <c r="M1" s="326" t="s">
        <v>785</v>
      </c>
      <c r="N1" s="324" t="s">
        <v>786</v>
      </c>
      <c r="O1" s="326" t="s">
        <v>787</v>
      </c>
      <c r="P1" s="324" t="s">
        <v>788</v>
      </c>
      <c r="Q1" s="324" t="s">
        <v>789</v>
      </c>
      <c r="R1" s="324" t="s">
        <v>790</v>
      </c>
      <c r="S1" s="324" t="s">
        <v>791</v>
      </c>
      <c r="T1" s="324" t="s">
        <v>599</v>
      </c>
      <c r="U1" s="326" t="s">
        <v>792</v>
      </c>
      <c r="V1" s="326" t="s">
        <v>793</v>
      </c>
      <c r="W1" s="326" t="s">
        <v>794</v>
      </c>
      <c r="X1" s="326" t="s">
        <v>795</v>
      </c>
      <c r="Y1" s="326" t="s">
        <v>796</v>
      </c>
    </row>
    <row r="2" ht="22.5" customHeight="1">
      <c r="A2" s="331">
        <f t="shared" ref="A2:A3" si="1">ROW(A2)-1</f>
        <v>1</v>
      </c>
      <c r="B2" s="331" t="str">
        <f t="shared" ref="B2:B3" si="2">D2&amp;C2&amp;E2&amp;H2</f>
        <v>SEASTERBELEMSEDEFIBRA</v>
      </c>
      <c r="C2" s="334" t="s">
        <v>173</v>
      </c>
      <c r="D2" s="335" t="s">
        <v>799</v>
      </c>
      <c r="E2" s="335" t="s">
        <v>275</v>
      </c>
      <c r="F2" s="336">
        <v>1000.0</v>
      </c>
      <c r="G2" s="337" t="s">
        <v>453</v>
      </c>
      <c r="H2" s="334" t="s">
        <v>50</v>
      </c>
      <c r="I2" s="337" t="s">
        <v>456</v>
      </c>
      <c r="J2" s="331" t="str">
        <f t="array" ref="J2">INDEX(linkdados!$G$2:$G$433,MATCH(C2,linkdados!$B$2:$B$433,0))</f>
        <v>METROPOLITANA</v>
      </c>
      <c r="K2" s="331" t="str">
        <f t="array" ref="K2">INDEX(linkdados!$H$2:$H$433,MATCH(C2,linkdados!$B$2:$B$433,0))</f>
        <v>SIM</v>
      </c>
      <c r="L2" s="350" t="str">
        <f t="array" ref="L2">INDEX(linkdados!$I$2:$I$433,MATCH(C2,linkdados!$B$2:$B$433,0))</f>
        <v>GUAJARÁ (RMB)</v>
      </c>
      <c r="M2" s="351">
        <f t="array" ref="M2">XLOOKUP(C2&amp;H2,linkdados!E:E,linkdados!L:L,"not found",0,1)</f>
        <v>23.98036254</v>
      </c>
      <c r="N2" s="353" t="str">
        <f t="array" ref="N2">XLOOKUP(C2&amp;H2,linkdados!E:E,linkdados!J:J,"not found",0,1)*F2</f>
        <v>#VALUE!</v>
      </c>
      <c r="O2" s="356" t="str">
        <f>IFS(F2&lt;=pconfig!$B$12,N2*pconfig!$C$12,F2&lt;=pconfig!$B$13,N2*pconfig!$C$13,F2&lt;=pconfig!$B$14,N2*pconfig!$C$14,F2&lt;=pconfig!$B$15,N2*pconfig!$C$15,F2&lt;=pconfig!$B$16,N2*pconfig!$C$16,F2&lt;=pconfig!$B$17,N2*pconfig!$C$17,F2&lt;=pconfig!$B$18,N2*pconfig!$C$18,F2&lt;=pconfig!$B$19,N2*pconfig!$C$19,F2&lt;=pconfig!$B$20,N2*pconfig!$C$20,F2&lt;=pconfig!$B$21,N2*pconfig!$C$21)</f>
        <v>#VALUE!</v>
      </c>
      <c r="P2" s="357" t="str">
        <f t="shared" ref="P2:P3" si="3">IF(O2=0,N2+M2,O2+M2)</f>
        <v>#VALUE!</v>
      </c>
      <c r="Q2" s="353" t="str">
        <f>U2*pconfig!$G$2</f>
        <v>#VALUE!</v>
      </c>
      <c r="R2" s="353" t="str">
        <f>U2*pconfig!G3</f>
        <v>#VALUE!</v>
      </c>
      <c r="S2" s="353" t="str">
        <f>U2*pconfig!$G$4</f>
        <v>#VALUE!</v>
      </c>
      <c r="T2" s="353" t="str">
        <f>P2/(1-pconfig!$G$2-pconfig!$G$3-pconfig!$G$4)</f>
        <v>#VALUE!</v>
      </c>
      <c r="U2" s="356" t="str">
        <f t="shared" ref="U2:U3" si="4">T2</f>
        <v>#VALUE!</v>
      </c>
      <c r="V2" s="356" t="str">
        <f>IF(ISNUMBER(U2),U2*(1+pconfig!$B$2),U2)</f>
        <v>#VALUE!</v>
      </c>
      <c r="W2" s="356" t="str">
        <f>IF(ISNUMBER(V2),V2*(1+pconfig!$B$3),V2)</f>
        <v>#VALUE!</v>
      </c>
      <c r="X2" s="356" t="str">
        <f>IF(ISNUMBER(W2),W2*(1+pconfig!$B$4),W2)</f>
        <v>#VALUE!</v>
      </c>
      <c r="Y2" s="356" t="str">
        <f>IF(ISNUMBER(X2),X2*(1+pconfig!$B$5),X2)</f>
        <v>#VALUE!</v>
      </c>
    </row>
    <row r="3" ht="22.5" customHeight="1">
      <c r="A3" s="331">
        <f t="shared" si="1"/>
        <v>2</v>
      </c>
      <c r="B3" s="331" t="str">
        <f t="shared" si="2"/>
        <v>CINBESAANANINDEUASEDE2FIBRA</v>
      </c>
      <c r="C3" s="334" t="s">
        <v>134</v>
      </c>
      <c r="D3" s="335" t="s">
        <v>824</v>
      </c>
      <c r="E3" s="335" t="s">
        <v>825</v>
      </c>
      <c r="F3" s="336">
        <v>1.0</v>
      </c>
      <c r="G3" s="337" t="s">
        <v>454</v>
      </c>
      <c r="H3" s="334" t="s">
        <v>50</v>
      </c>
      <c r="I3" s="334" t="s">
        <v>456</v>
      </c>
      <c r="J3" s="331" t="str">
        <f t="array" ref="J3">INDEX(linkdados!$G$2:$G$433,MATCH(C3,linkdados!$B$2:$B$433,0))</f>
        <v>METROPOLITANA</v>
      </c>
      <c r="K3" s="331" t="str">
        <f t="array" ref="K3">INDEX(linkdados!$H$2:$H$433,MATCH(C3,linkdados!$B$2:$B$433,0))</f>
        <v>SIM</v>
      </c>
      <c r="L3" s="350" t="str">
        <f t="array" ref="L3">INDEX(linkdados!$I$2:$I$433,MATCH(C3,linkdados!$B$2:$B$433,0))</f>
        <v>GUAJARÁ (RMB)</v>
      </c>
      <c r="M3" s="351">
        <f t="array" ref="M3">XLOOKUP(C3&amp;H3,linkdados!E:E,linkdados!L:L,"not found",0,1)</f>
        <v>26.37839879</v>
      </c>
      <c r="N3" s="353" t="str">
        <f t="array" ref="N3">XLOOKUP(C3&amp;H3,linkdados!E:E,linkdados!J:J,"not found",0,1)*F3</f>
        <v>#VALUE!</v>
      </c>
      <c r="O3" s="356" t="str">
        <f>IFS(F3&lt;=pconfig!$B$12,N3*pconfig!$C$12,F3&lt;=pconfig!$B$13,N3*pconfig!$C$13,F3&lt;=pconfig!$B$14,N3*pconfig!$C$14,F3&lt;=pconfig!$B$15,N3*pconfig!$C$15,F3&lt;=pconfig!$B$16,N3*pconfig!$C$16,F3&lt;=pconfig!$B$17,N3*pconfig!$C$17,F3&lt;=pconfig!$B$18,N3*pconfig!$C$18,F3&lt;=pconfig!$B$19,N3*pconfig!$C$19,F3&lt;=pconfig!$B$20,N3*pconfig!$C$20,F3&lt;=pconfig!$B$21,N3*pconfig!$C$21)</f>
        <v>#VALUE!</v>
      </c>
      <c r="P3" s="357" t="str">
        <f t="shared" si="3"/>
        <v>#VALUE!</v>
      </c>
      <c r="Q3" s="353" t="str">
        <f>U3*pconfig!$G$2</f>
        <v>#VALUE!</v>
      </c>
      <c r="R3" s="353" t="str">
        <f>U3*pconfig!$G$3</f>
        <v>#VALUE!</v>
      </c>
      <c r="S3" s="353" t="str">
        <f>U3*pconfig!$G$4</f>
        <v>#VALUE!</v>
      </c>
      <c r="T3" s="353" t="str">
        <f>P3/(1-pconfig!$G$2-pconfig!$G$3-pconfig!$G$4)</f>
        <v>#VALUE!</v>
      </c>
      <c r="U3" s="356" t="str">
        <f t="shared" si="4"/>
        <v>#VALUE!</v>
      </c>
      <c r="V3" s="356" t="str">
        <f>IF(ISNUMBER(U3),U3*(1+pconfig!$B$2),U3)</f>
        <v>#VALUE!</v>
      </c>
      <c r="W3" s="356" t="str">
        <f>IF(ISNUMBER(V3),V3*(1+pconfig!$B$3),V3)</f>
        <v>#VALUE!</v>
      </c>
      <c r="X3" s="356" t="str">
        <f>IF(ISNUMBER(W3),W3*(1+pconfig!$B$4),W3)</f>
        <v>#VALUE!</v>
      </c>
      <c r="Y3" s="356" t="str">
        <f>IF(ISNUMBER(X3),X3*(1+pconfig!$B$5),X3)</f>
        <v>#VALUE!</v>
      </c>
    </row>
  </sheetData>
  <dataValidations>
    <dataValidation type="list" allowBlank="1" sqref="C2:C3 G2:G3 I2:I3">
      <formula1>#REF!</formula1>
    </dataValidation>
    <dataValidation type="custom" allowBlank="1" showDropDown="1" sqref="N2:N3 Q2:T3 Y2:Y3">
      <formula1>AND(ISNUMBER(N2),(NOT(OR(NOT(ISERROR(DATEVALUE(N2))), AND(ISNUMBER(N2), LEFT(CELL("format", N2))="D")))))</formula1>
    </dataValidation>
    <dataValidation type="list" allowBlank="1" sqref="H2:H3">
      <formula1>#REF!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1.5"/>
    <col customWidth="1" min="3" max="3" width="22.0"/>
    <col customWidth="1" min="11" max="11" width="13.5"/>
    <col customWidth="1" min="12" max="12" width="16.88"/>
  </cols>
  <sheetData>
    <row r="1" ht="22.5" customHeight="1">
      <c r="A1" s="366" t="s">
        <v>68</v>
      </c>
      <c r="B1" s="367" t="s">
        <v>777</v>
      </c>
      <c r="C1" s="367" t="s">
        <v>69</v>
      </c>
      <c r="D1" s="325" t="s">
        <v>70</v>
      </c>
      <c r="E1" s="367" t="s">
        <v>783</v>
      </c>
      <c r="F1" s="367" t="s">
        <v>782</v>
      </c>
      <c r="G1" s="325" t="s">
        <v>778</v>
      </c>
      <c r="H1" s="324" t="s">
        <v>154</v>
      </c>
      <c r="I1" s="367" t="s">
        <v>87</v>
      </c>
      <c r="J1" s="326" t="s">
        <v>829</v>
      </c>
      <c r="K1" s="367" t="s">
        <v>75</v>
      </c>
      <c r="L1" s="367" t="s">
        <v>781</v>
      </c>
      <c r="M1" s="367" t="s">
        <v>780</v>
      </c>
      <c r="N1" s="367" t="s">
        <v>38</v>
      </c>
      <c r="O1" s="367" t="s">
        <v>830</v>
      </c>
      <c r="P1" s="367" t="s">
        <v>90</v>
      </c>
      <c r="Q1" s="367" t="s">
        <v>91</v>
      </c>
      <c r="R1" s="367" t="s">
        <v>831</v>
      </c>
      <c r="S1" s="367" t="s">
        <v>789</v>
      </c>
      <c r="T1" s="367" t="s">
        <v>790</v>
      </c>
      <c r="U1" s="367" t="s">
        <v>791</v>
      </c>
      <c r="V1" s="324" t="s">
        <v>832</v>
      </c>
    </row>
    <row r="2" ht="22.5" customHeight="1">
      <c r="A2" s="350">
        <f t="shared" ref="A2:A22" si="1">ROW(A2)-1</f>
        <v>1</v>
      </c>
      <c r="B2" s="331" t="str">
        <f t="shared" ref="B2:B22" si="2">G2&amp;C2&amp;H2</f>
        <v>HOLBELEMJurunas</v>
      </c>
      <c r="C2" s="334" t="s">
        <v>173</v>
      </c>
      <c r="D2" s="331" t="str">
        <f t="array" ref="D2">INDEX(linkdados!$H$2:$H$433,MATCH(C2,linkdados!$B$2:$B$433,0))</f>
        <v>SIM</v>
      </c>
      <c r="E2" s="331" t="str">
        <f t="array" ref="E2">INDEX(linkdados!$H$2:$H$433,MATCH(C2,linkdados!$B$2:$B$433,0))</f>
        <v>SIM</v>
      </c>
      <c r="F2" s="331" t="str">
        <f t="array" ref="F2">INDEX(linkdados!$G$2:$G$433,MATCH(C2,linkdados!$B$2:$B$433,0))</f>
        <v>METROPOLITANA</v>
      </c>
      <c r="G2" s="369" t="s">
        <v>835</v>
      </c>
      <c r="H2" s="369" t="s">
        <v>836</v>
      </c>
      <c r="I2" s="331" t="s">
        <v>837</v>
      </c>
      <c r="J2" s="350">
        <v>200.0</v>
      </c>
      <c r="K2" s="337" t="s">
        <v>454</v>
      </c>
      <c r="L2" s="337" t="s">
        <v>456</v>
      </c>
      <c r="M2" s="334" t="s">
        <v>458</v>
      </c>
      <c r="N2" s="331" t="str">
        <f t="array" ref="N2">INDEX(linkdados!$I$2:$I$433,MATCH(C2,linkdados!$B$2:$B$433,0))</f>
        <v>GUAJARÁ (RMB)</v>
      </c>
      <c r="O2" s="357">
        <v>12714.6</v>
      </c>
      <c r="P2" s="357">
        <f>IF(M2="Fibra",pconfig!$G$7,pconfig!$G$7)</f>
        <v>285.71</v>
      </c>
      <c r="Q2" s="357">
        <f>IF(M2="Radio",pconfig!$G$9,pconfig!$G$8)</f>
        <v>316.45</v>
      </c>
      <c r="R2" s="357">
        <f>SUM(O2+Q2+P2)</f>
        <v>13316.76</v>
      </c>
      <c r="S2" s="357">
        <f t="shared" ref="S2:S22" si="3">R2*0.1</f>
        <v>1331.676</v>
      </c>
      <c r="T2" s="357">
        <f t="shared" ref="T2:T22" si="4">R2*0.2</f>
        <v>2663.352</v>
      </c>
      <c r="U2" s="357">
        <f t="shared" ref="U2:U22" si="5">R2*0.1704</f>
        <v>2269.175904</v>
      </c>
      <c r="V2" s="357">
        <f t="shared" ref="V2:V22" si="6">R2+S2+T2+U2</f>
        <v>19580.9639</v>
      </c>
    </row>
    <row r="3" ht="22.5" customHeight="1">
      <c r="A3" s="350">
        <f t="shared" si="1"/>
        <v>2</v>
      </c>
      <c r="B3" s="331" t="str">
        <f t="shared" si="2"/>
        <v>DEFPUBSAO MIGUEL DO GUAMASão Miguel</v>
      </c>
      <c r="C3" s="334" t="s">
        <v>841</v>
      </c>
      <c r="D3" s="331" t="str">
        <f t="array" ref="D3">INDEX(linkdados!$H$2:$H$433,MATCH(C3,linkdados!$B$2:$B$433,0))</f>
        <v>SIM</v>
      </c>
      <c r="E3" s="331" t="str">
        <f t="array" ref="E3">INDEX(linkdados!$H$2:$H$433,MATCH(C3,linkdados!$B$2:$B$433,0))</f>
        <v>SIM</v>
      </c>
      <c r="F3" s="331" t="str">
        <f t="array" ref="F3">INDEX(linkdados!$G$2:$G$433,MATCH(C3,linkdados!$B$2:$B$433,0))</f>
        <v>NORDESTE</v>
      </c>
      <c r="G3" s="369" t="s">
        <v>842</v>
      </c>
      <c r="H3" s="370" t="s">
        <v>843</v>
      </c>
      <c r="I3" s="331" t="s">
        <v>837</v>
      </c>
      <c r="J3" s="350">
        <v>10.0</v>
      </c>
      <c r="K3" s="337" t="s">
        <v>454</v>
      </c>
      <c r="L3" s="337" t="s">
        <v>456</v>
      </c>
      <c r="M3" s="334" t="s">
        <v>458</v>
      </c>
      <c r="N3" s="331" t="str">
        <f t="array" ref="N3">INDEX(linkdados!$I$2:$I$433,MATCH(C3,linkdados!$B$2:$B$433,0))</f>
        <v>GUAMÁ</v>
      </c>
      <c r="O3" s="357">
        <v>3637.02</v>
      </c>
      <c r="P3" s="357">
        <f>IF(M3="Fibra",pconfig!$G$7,pconfig!$G$7)</f>
        <v>285.71</v>
      </c>
      <c r="Q3" s="357">
        <f>IF(M3="Radio",pconfig!$G$9,pconfig!$G$8)</f>
        <v>316.45</v>
      </c>
      <c r="R3" s="357" t="str">
        <f>SUM(O3+'orcamento-defpub'!K23+'orcamento-defpub'!J23)</f>
        <v>#REF!</v>
      </c>
      <c r="S3" s="357" t="str">
        <f t="shared" si="3"/>
        <v>#REF!</v>
      </c>
      <c r="T3" s="357" t="str">
        <f t="shared" si="4"/>
        <v>#REF!</v>
      </c>
      <c r="U3" s="357" t="str">
        <f t="shared" si="5"/>
        <v>#REF!</v>
      </c>
      <c r="V3" s="357" t="str">
        <f t="shared" si="6"/>
        <v>#REF!</v>
      </c>
    </row>
    <row r="4" ht="22.5" customHeight="1">
      <c r="A4" s="350">
        <f t="shared" si="1"/>
        <v>3</v>
      </c>
      <c r="B4" s="331" t="str">
        <f t="shared" si="2"/>
        <v>DEFPUBSALINOPOLISRemanejamento</v>
      </c>
      <c r="C4" s="334" t="s">
        <v>847</v>
      </c>
      <c r="D4" s="331" t="str">
        <f t="array" ref="D4">INDEX(linkdados!$H$2:$H$433,MATCH(C4,linkdados!$B$2:$B$433,0))</f>
        <v>SIM</v>
      </c>
      <c r="E4" s="331" t="str">
        <f t="array" ref="E4">INDEX(linkdados!$H$2:$H$433,MATCH(C4,linkdados!$B$2:$B$433,0))</f>
        <v>SIM</v>
      </c>
      <c r="F4" s="331" t="str">
        <f t="array" ref="F4">INDEX(linkdados!$G$2:$G$433,MATCH(C4,linkdados!$B$2:$B$433,0))</f>
        <v>NORDESTE</v>
      </c>
      <c r="G4" s="369" t="s">
        <v>842</v>
      </c>
      <c r="H4" s="370" t="s">
        <v>849</v>
      </c>
      <c r="I4" s="331" t="s">
        <v>837</v>
      </c>
      <c r="J4" s="350">
        <v>10.0</v>
      </c>
      <c r="K4" s="337" t="s">
        <v>454</v>
      </c>
      <c r="L4" s="337" t="s">
        <v>456</v>
      </c>
      <c r="M4" s="337" t="s">
        <v>458</v>
      </c>
      <c r="N4" s="331" t="str">
        <f t="array" ref="N4">INDEX(linkdados!$I$2:$I$433,MATCH(C4,linkdados!$B$2:$B$433,0))</f>
        <v>RIO CAETÉ</v>
      </c>
      <c r="O4" s="357">
        <v>16655.3</v>
      </c>
      <c r="P4" s="357">
        <f>IF(M4="Fibra",pconfig!$G$7,pconfig!$G$7)</f>
        <v>285.71</v>
      </c>
      <c r="Q4" s="357">
        <f>IF(M4="Radio",pconfig!$G$9,pconfig!$G$8)</f>
        <v>316.45</v>
      </c>
      <c r="R4" s="357">
        <f t="shared" ref="R4:R22" si="7">SUM(O4+Q4+P4)</f>
        <v>17257.46</v>
      </c>
      <c r="S4" s="357">
        <f t="shared" si="3"/>
        <v>1725.746</v>
      </c>
      <c r="T4" s="357">
        <f t="shared" si="4"/>
        <v>3451.492</v>
      </c>
      <c r="U4" s="357">
        <f t="shared" si="5"/>
        <v>2940.671184</v>
      </c>
      <c r="V4" s="357">
        <f t="shared" si="6"/>
        <v>25375.36918</v>
      </c>
    </row>
    <row r="5" ht="22.5" customHeight="1">
      <c r="A5" s="350">
        <f t="shared" si="1"/>
        <v>4</v>
      </c>
      <c r="B5" s="331" t="str">
        <f t="shared" si="2"/>
        <v>DEFPUBBELEMIcoaraci</v>
      </c>
      <c r="C5" s="334" t="s">
        <v>173</v>
      </c>
      <c r="D5" s="331" t="str">
        <f t="array" ref="D5">INDEX(linkdados!$H$2:$H$433,MATCH(C5,linkdados!$B$2:$B$433,0))</f>
        <v>SIM</v>
      </c>
      <c r="E5" s="331" t="str">
        <f t="array" ref="E5">INDEX(linkdados!$H$2:$H$433,MATCH(C5,linkdados!$B$2:$B$433,0))</f>
        <v>SIM</v>
      </c>
      <c r="F5" s="331" t="str">
        <f t="array" ref="F5">INDEX(linkdados!$G$2:$G$433,MATCH(C5,linkdados!$B$2:$B$433,0))</f>
        <v>METROPOLITANA</v>
      </c>
      <c r="G5" s="369" t="s">
        <v>842</v>
      </c>
      <c r="H5" s="369" t="s">
        <v>853</v>
      </c>
      <c r="I5" s="331" t="s">
        <v>837</v>
      </c>
      <c r="J5" s="350"/>
      <c r="K5" s="337" t="s">
        <v>454</v>
      </c>
      <c r="L5" s="337" t="s">
        <v>456</v>
      </c>
      <c r="M5" s="337" t="s">
        <v>458</v>
      </c>
      <c r="N5" s="331" t="str">
        <f t="array" ref="N5">INDEX(linkdados!$I$2:$I$433,MATCH(C5,linkdados!$B$2:$B$433,0))</f>
        <v>GUAJARÁ (RMB)</v>
      </c>
      <c r="O5" s="357">
        <v>4555.8</v>
      </c>
      <c r="P5" s="357">
        <f>IF(M5="Fibra",pconfig!$G$7,pconfig!$G$7)</f>
        <v>285.71</v>
      </c>
      <c r="Q5" s="357">
        <f>IF(M5="Radio",pconfig!$G$9,pconfig!$G$8)</f>
        <v>316.45</v>
      </c>
      <c r="R5" s="357">
        <f t="shared" si="7"/>
        <v>5157.96</v>
      </c>
      <c r="S5" s="357">
        <f t="shared" si="3"/>
        <v>515.796</v>
      </c>
      <c r="T5" s="357">
        <f t="shared" si="4"/>
        <v>1031.592</v>
      </c>
      <c r="U5" s="357">
        <f t="shared" si="5"/>
        <v>878.916384</v>
      </c>
      <c r="V5" s="357">
        <f t="shared" si="6"/>
        <v>7584.264384</v>
      </c>
    </row>
    <row r="6" ht="22.5" customHeight="1">
      <c r="A6" s="350">
        <f t="shared" si="1"/>
        <v>5</v>
      </c>
      <c r="B6" s="331" t="str">
        <f t="shared" si="2"/>
        <v>DEFPUBTAILANDIARemanejamento</v>
      </c>
      <c r="C6" s="334" t="s">
        <v>395</v>
      </c>
      <c r="D6" s="331" t="str">
        <f t="array" ref="D6">INDEX(linkdados!$H$2:$H$433,MATCH(C6,linkdados!$B$2:$B$433,0))</f>
        <v>SIM</v>
      </c>
      <c r="E6" s="331" t="str">
        <f t="array" ref="E6">INDEX(linkdados!$H$2:$H$433,MATCH(C6,linkdados!$B$2:$B$433,0))</f>
        <v>SIM</v>
      </c>
      <c r="F6" s="331" t="str">
        <f t="array" ref="F6">INDEX(linkdados!$G$2:$G$433,MATCH(C6,linkdados!$B$2:$B$433,0))</f>
        <v>NORDESTE</v>
      </c>
      <c r="G6" s="369" t="s">
        <v>842</v>
      </c>
      <c r="H6" s="370" t="s">
        <v>849</v>
      </c>
      <c r="I6" s="331" t="s">
        <v>837</v>
      </c>
      <c r="J6" s="350">
        <v>10.0</v>
      </c>
      <c r="K6" s="337" t="s">
        <v>454</v>
      </c>
      <c r="L6" s="337" t="s">
        <v>456</v>
      </c>
      <c r="M6" s="337" t="s">
        <v>458</v>
      </c>
      <c r="N6" s="331" t="str">
        <f t="array" ref="N6">INDEX(linkdados!$I$2:$I$433,MATCH(C6,linkdados!$B$2:$B$433,0))</f>
        <v>TOCANTINS</v>
      </c>
      <c r="O6" s="357">
        <v>12514.8</v>
      </c>
      <c r="P6" s="357">
        <f>IF(M6="Fibra",pconfig!$G$7,pconfig!$G$7)</f>
        <v>285.71</v>
      </c>
      <c r="Q6" s="357">
        <f>IF(M6="Radio",pconfig!$G$9,pconfig!$G$8)</f>
        <v>316.45</v>
      </c>
      <c r="R6" s="357">
        <f t="shared" si="7"/>
        <v>13116.96</v>
      </c>
      <c r="S6" s="357">
        <f t="shared" si="3"/>
        <v>1311.696</v>
      </c>
      <c r="T6" s="357">
        <f t="shared" si="4"/>
        <v>2623.392</v>
      </c>
      <c r="U6" s="357">
        <f t="shared" si="5"/>
        <v>2235.129984</v>
      </c>
      <c r="V6" s="357">
        <f t="shared" si="6"/>
        <v>19287.17798</v>
      </c>
    </row>
    <row r="7" ht="22.5" customHeight="1">
      <c r="A7" s="350">
        <f t="shared" si="1"/>
        <v>6</v>
      </c>
      <c r="B7" s="331" t="str">
        <f t="shared" si="2"/>
        <v>DEFPUBBELEMSenador Manoel Barata</v>
      </c>
      <c r="C7" s="334" t="s">
        <v>173</v>
      </c>
      <c r="D7" s="331" t="str">
        <f t="array" ref="D7">INDEX(linkdados!$H$2:$H$433,MATCH(C7,linkdados!$B$2:$B$433,0))</f>
        <v>SIM</v>
      </c>
      <c r="E7" s="331" t="str">
        <f t="array" ref="E7">INDEX(linkdados!$H$2:$H$433,MATCH(C7,linkdados!$B$2:$B$433,0))</f>
        <v>SIM</v>
      </c>
      <c r="F7" s="331" t="str">
        <f t="array" ref="F7">INDEX(linkdados!$G$2:$G$433,MATCH(C7,linkdados!$B$2:$B$433,0))</f>
        <v>METROPOLITANA</v>
      </c>
      <c r="G7" s="369" t="s">
        <v>842</v>
      </c>
      <c r="H7" s="369" t="s">
        <v>857</v>
      </c>
      <c r="I7" s="331" t="s">
        <v>837</v>
      </c>
      <c r="J7" s="350">
        <v>10.0</v>
      </c>
      <c r="K7" s="337" t="s">
        <v>454</v>
      </c>
      <c r="L7" s="337" t="s">
        <v>456</v>
      </c>
      <c r="M7" s="337" t="s">
        <v>458</v>
      </c>
      <c r="N7" s="331" t="str">
        <f t="array" ref="N7">INDEX(linkdados!$I$2:$I$433,MATCH(C7,linkdados!$B$2:$B$433,0))</f>
        <v>GUAJARÁ (RMB)</v>
      </c>
      <c r="O7" s="357">
        <v>11454.6</v>
      </c>
      <c r="P7" s="357">
        <f>IF(M7="Fibra",pconfig!$G$7,pconfig!$G$7)</f>
        <v>285.71</v>
      </c>
      <c r="Q7" s="357">
        <f>IF(M7="Radio",pconfig!$G$9,pconfig!$G$8)</f>
        <v>316.45</v>
      </c>
      <c r="R7" s="357">
        <f t="shared" si="7"/>
        <v>12056.76</v>
      </c>
      <c r="S7" s="357">
        <f t="shared" si="3"/>
        <v>1205.676</v>
      </c>
      <c r="T7" s="357">
        <f t="shared" si="4"/>
        <v>2411.352</v>
      </c>
      <c r="U7" s="357">
        <f t="shared" si="5"/>
        <v>2054.471904</v>
      </c>
      <c r="V7" s="357">
        <f t="shared" si="6"/>
        <v>17728.2599</v>
      </c>
    </row>
    <row r="8" ht="22.5" customHeight="1">
      <c r="A8" s="350">
        <f t="shared" si="1"/>
        <v>7</v>
      </c>
      <c r="B8" s="331" t="str">
        <f t="shared" si="2"/>
        <v>DEFPUBBELEMNUGEN MULHER</v>
      </c>
      <c r="C8" s="334" t="s">
        <v>173</v>
      </c>
      <c r="D8" s="331" t="str">
        <f t="array" ref="D8">INDEX(linkdados!$H$2:$H$433,MATCH(C8,linkdados!$B$2:$B$433,0))</f>
        <v>SIM</v>
      </c>
      <c r="E8" s="331" t="str">
        <f t="array" ref="E8">INDEX(linkdados!$H$2:$H$433,MATCH(C8,linkdados!$B$2:$B$433,0))</f>
        <v>SIM</v>
      </c>
      <c r="F8" s="331" t="str">
        <f t="array" ref="F8">INDEX(linkdados!$G$2:$G$433,MATCH(C8,linkdados!$B$2:$B$433,0))</f>
        <v>METROPOLITANA</v>
      </c>
      <c r="G8" s="369" t="s">
        <v>842</v>
      </c>
      <c r="H8" s="369" t="s">
        <v>859</v>
      </c>
      <c r="I8" s="331" t="s">
        <v>837</v>
      </c>
      <c r="J8" s="350">
        <v>100.0</v>
      </c>
      <c r="K8" s="337" t="s">
        <v>454</v>
      </c>
      <c r="L8" s="337" t="s">
        <v>457</v>
      </c>
      <c r="M8" s="337" t="s">
        <v>458</v>
      </c>
      <c r="N8" s="331" t="str">
        <f t="array" ref="N8">INDEX(linkdados!$I$2:$I$433,MATCH(C8,linkdados!$B$2:$B$433,0))</f>
        <v>GUAJARÁ (RMB)</v>
      </c>
      <c r="O8" s="357">
        <v>11676.0</v>
      </c>
      <c r="P8" s="357">
        <f>IF(M8="Fibra",pconfig!$G$7,pconfig!$G$7)</f>
        <v>285.71</v>
      </c>
      <c r="Q8" s="357">
        <f>IF(M8="Radio",pconfig!$G$9,pconfig!$G$8)</f>
        <v>316.45</v>
      </c>
      <c r="R8" s="357">
        <f t="shared" si="7"/>
        <v>12278.16</v>
      </c>
      <c r="S8" s="357">
        <f t="shared" si="3"/>
        <v>1227.816</v>
      </c>
      <c r="T8" s="357">
        <f t="shared" si="4"/>
        <v>2455.632</v>
      </c>
      <c r="U8" s="357">
        <f t="shared" si="5"/>
        <v>2092.198464</v>
      </c>
      <c r="V8" s="357">
        <f t="shared" si="6"/>
        <v>18053.80646</v>
      </c>
    </row>
    <row r="9" ht="22.5" customHeight="1">
      <c r="A9" s="350">
        <f t="shared" si="1"/>
        <v>8</v>
      </c>
      <c r="B9" s="331" t="str">
        <f t="shared" si="2"/>
        <v>SEASTERBELEMAbrigo</v>
      </c>
      <c r="C9" s="334" t="s">
        <v>173</v>
      </c>
      <c r="D9" s="331" t="str">
        <f t="array" ref="D9">INDEX(linkdados!$H$2:$H$433,MATCH(C9,linkdados!$B$2:$B$433,0))</f>
        <v>SIM</v>
      </c>
      <c r="E9" s="331" t="str">
        <f t="array" ref="E9">INDEX(linkdados!$H$2:$H$433,MATCH(C9,linkdados!$B$2:$B$433,0))</f>
        <v>SIM</v>
      </c>
      <c r="F9" s="331" t="str">
        <f t="array" ref="F9">INDEX(linkdados!$G$2:$G$433,MATCH(C9,linkdados!$B$2:$B$433,0))</f>
        <v>METROPOLITANA</v>
      </c>
      <c r="G9" s="369" t="s">
        <v>799</v>
      </c>
      <c r="H9" s="369" t="s">
        <v>864</v>
      </c>
      <c r="I9" s="331" t="s">
        <v>837</v>
      </c>
      <c r="J9" s="350">
        <v>50.0</v>
      </c>
      <c r="K9" s="337" t="s">
        <v>454</v>
      </c>
      <c r="L9" s="337" t="s">
        <v>456</v>
      </c>
      <c r="M9" s="337" t="s">
        <v>458</v>
      </c>
      <c r="N9" s="331" t="str">
        <f t="array" ref="N9">INDEX(linkdados!$I$2:$I$433,MATCH(C9,linkdados!$B$2:$B$433,0))</f>
        <v>GUAJARÁ (RMB)</v>
      </c>
      <c r="O9" s="357">
        <v>14098.35</v>
      </c>
      <c r="P9" s="357">
        <f>IF(M9="Fibra",pconfig!$G$7,pconfig!$G$7)</f>
        <v>285.71</v>
      </c>
      <c r="Q9" s="357">
        <f>IF(M9="Radio",pconfig!$G$9,pconfig!$G$8)</f>
        <v>316.45</v>
      </c>
      <c r="R9" s="357">
        <f t="shared" si="7"/>
        <v>14700.51</v>
      </c>
      <c r="S9" s="357">
        <f t="shared" si="3"/>
        <v>1470.051</v>
      </c>
      <c r="T9" s="357">
        <f t="shared" si="4"/>
        <v>2940.102</v>
      </c>
      <c r="U9" s="357">
        <f t="shared" si="5"/>
        <v>2504.966904</v>
      </c>
      <c r="V9" s="357">
        <f t="shared" si="6"/>
        <v>21615.6299</v>
      </c>
    </row>
    <row r="10" ht="22.5" customHeight="1">
      <c r="A10" s="350">
        <f t="shared" si="1"/>
        <v>9</v>
      </c>
      <c r="B10" s="331" t="str">
        <f t="shared" si="2"/>
        <v>SEASTERBELEMAbrigo</v>
      </c>
      <c r="C10" s="334" t="s">
        <v>173</v>
      </c>
      <c r="D10" s="331" t="str">
        <f t="array" ref="D10">INDEX(linkdados!$H$2:$H$433,MATCH(C10,linkdados!$B$2:$B$433,0))</f>
        <v>SIM</v>
      </c>
      <c r="E10" s="331" t="str">
        <f t="array" ref="E10">INDEX(linkdados!$H$2:$H$433,MATCH(C10,linkdados!$B$2:$B$433,0))</f>
        <v>SIM</v>
      </c>
      <c r="F10" s="331" t="str">
        <f t="array" ref="F10">INDEX(linkdados!$G$2:$G$433,MATCH(C10,linkdados!$B$2:$B$433,0))</f>
        <v>METROPOLITANA</v>
      </c>
      <c r="G10" s="369" t="s">
        <v>799</v>
      </c>
      <c r="H10" s="369" t="s">
        <v>864</v>
      </c>
      <c r="I10" s="331" t="s">
        <v>837</v>
      </c>
      <c r="J10" s="350">
        <v>50.0</v>
      </c>
      <c r="K10" s="337" t="s">
        <v>454</v>
      </c>
      <c r="L10" s="337" t="s">
        <v>456</v>
      </c>
      <c r="M10" s="337" t="s">
        <v>458</v>
      </c>
      <c r="N10" s="331" t="str">
        <f t="array" ref="N10">INDEX(linkdados!$I$2:$I$433,MATCH(C10,linkdados!$B$2:$B$433,0))</f>
        <v>GUAJARÁ (RMB)</v>
      </c>
      <c r="O10" s="357">
        <v>23099.7</v>
      </c>
      <c r="P10" s="357">
        <f>IF(M10="Fibra",pconfig!$G$7,pconfig!$G$7)</f>
        <v>285.71</v>
      </c>
      <c r="Q10" s="357">
        <f>IF(M10="Radio",pconfig!$G$9,pconfig!$G$8)</f>
        <v>316.45</v>
      </c>
      <c r="R10" s="357">
        <f t="shared" si="7"/>
        <v>23701.86</v>
      </c>
      <c r="S10" s="357">
        <f t="shared" si="3"/>
        <v>2370.186</v>
      </c>
      <c r="T10" s="357">
        <f t="shared" si="4"/>
        <v>4740.372</v>
      </c>
      <c r="U10" s="357">
        <f t="shared" si="5"/>
        <v>4038.796944</v>
      </c>
      <c r="V10" s="357">
        <f t="shared" si="6"/>
        <v>34851.21494</v>
      </c>
    </row>
    <row r="11" ht="22.5" customHeight="1">
      <c r="A11" s="350">
        <f t="shared" si="1"/>
        <v>10</v>
      </c>
      <c r="B11" s="331" t="str">
        <f t="shared" si="2"/>
        <v>EMATERITAITUBAEscritório Local</v>
      </c>
      <c r="C11" s="337" t="s">
        <v>855</v>
      </c>
      <c r="D11" s="331" t="str">
        <f t="array" ref="D11">INDEX(linkdados!$H$2:$H$433,MATCH(C11,linkdados!$B$2:$B$433,0))</f>
        <v>SIM</v>
      </c>
      <c r="E11" s="331" t="str">
        <f t="array" ref="E11">INDEX(linkdados!$H$2:$H$433,MATCH(C11,linkdados!$B$2:$B$433,0))</f>
        <v>SIM</v>
      </c>
      <c r="F11" s="331" t="str">
        <f t="array" ref="F11">INDEX(linkdados!$G$2:$G$433,MATCH(C11,linkdados!$B$2:$B$433,0))</f>
        <v>SUDOESTE</v>
      </c>
      <c r="G11" s="369" t="s">
        <v>870</v>
      </c>
      <c r="H11" s="369" t="s">
        <v>871</v>
      </c>
      <c r="I11" s="331" t="s">
        <v>837</v>
      </c>
      <c r="J11" s="350">
        <v>10.0</v>
      </c>
      <c r="K11" s="337" t="s">
        <v>454</v>
      </c>
      <c r="L11" s="337" t="s">
        <v>457</v>
      </c>
      <c r="M11" s="337" t="s">
        <v>458</v>
      </c>
      <c r="N11" s="331" t="str">
        <f t="array" ref="N11">INDEX(linkdados!$I$2:$I$433,MATCH(C11,linkdados!$B$2:$B$433,0))</f>
        <v>TAPAJÓS</v>
      </c>
      <c r="O11" s="357">
        <v>23099.7</v>
      </c>
      <c r="P11" s="357">
        <f>IF(M11="Fibra",pconfig!$G$7,pconfig!$G$7)</f>
        <v>285.71</v>
      </c>
      <c r="Q11" s="357">
        <f>IF(M11="Radio",pconfig!$G$9,pconfig!$G$8)</f>
        <v>316.45</v>
      </c>
      <c r="R11" s="357">
        <f t="shared" si="7"/>
        <v>23701.86</v>
      </c>
      <c r="S11" s="357">
        <f t="shared" si="3"/>
        <v>2370.186</v>
      </c>
      <c r="T11" s="357">
        <f t="shared" si="4"/>
        <v>4740.372</v>
      </c>
      <c r="U11" s="357">
        <f t="shared" si="5"/>
        <v>4038.796944</v>
      </c>
      <c r="V11" s="357">
        <f t="shared" si="6"/>
        <v>34851.21494</v>
      </c>
    </row>
    <row r="12" ht="22.5" customHeight="1">
      <c r="A12" s="350">
        <f t="shared" si="1"/>
        <v>11</v>
      </c>
      <c r="B12" s="331" t="str">
        <f t="shared" si="2"/>
        <v>EMATERBELEMRegional das Ilhas</v>
      </c>
      <c r="C12" s="334" t="s">
        <v>173</v>
      </c>
      <c r="D12" s="331" t="str">
        <f t="array" ref="D12">INDEX(linkdados!$H$2:$H$433,MATCH(C12,linkdados!$B$2:$B$433,0))</f>
        <v>SIM</v>
      </c>
      <c r="E12" s="331" t="str">
        <f t="array" ref="E12">INDEX(linkdados!$H$2:$H$433,MATCH(C12,linkdados!$B$2:$B$433,0))</f>
        <v>SIM</v>
      </c>
      <c r="F12" s="331" t="str">
        <f t="array" ref="F12">INDEX(linkdados!$G$2:$G$433,MATCH(C12,linkdados!$B$2:$B$433,0))</f>
        <v>METROPOLITANA</v>
      </c>
      <c r="G12" s="369" t="s">
        <v>870</v>
      </c>
      <c r="H12" s="369" t="s">
        <v>873</v>
      </c>
      <c r="I12" s="331" t="s">
        <v>837</v>
      </c>
      <c r="J12" s="350">
        <v>10.0</v>
      </c>
      <c r="K12" s="337" t="s">
        <v>454</v>
      </c>
      <c r="L12" s="337" t="s">
        <v>456</v>
      </c>
      <c r="M12" s="337" t="s">
        <v>458</v>
      </c>
      <c r="N12" s="331" t="str">
        <f t="array" ref="N12">INDEX(linkdados!$I$2:$I$433,MATCH(C12,linkdados!$B$2:$B$433,0))</f>
        <v>GUAJARÁ (RMB)</v>
      </c>
      <c r="O12" s="357">
        <v>12631.72</v>
      </c>
      <c r="P12" s="357">
        <f>IF(M12="Fibra",pconfig!$G$7,pconfig!$G$7)</f>
        <v>285.71</v>
      </c>
      <c r="Q12" s="357">
        <f>IF(M12="Radio",pconfig!$G$9,pconfig!$G$8)</f>
        <v>316.45</v>
      </c>
      <c r="R12" s="357">
        <f t="shared" si="7"/>
        <v>13233.88</v>
      </c>
      <c r="S12" s="357">
        <f t="shared" si="3"/>
        <v>1323.388</v>
      </c>
      <c r="T12" s="357">
        <f t="shared" si="4"/>
        <v>2646.776</v>
      </c>
      <c r="U12" s="357">
        <f t="shared" si="5"/>
        <v>2255.053152</v>
      </c>
      <c r="V12" s="357">
        <f t="shared" si="6"/>
        <v>19459.09715</v>
      </c>
    </row>
    <row r="13" ht="22.5" customHeight="1">
      <c r="A13" s="350">
        <f t="shared" si="1"/>
        <v>12</v>
      </c>
      <c r="B13" s="331" t="str">
        <f t="shared" si="2"/>
        <v>EMATERNOVA TIMBOTEUAEscritório Local</v>
      </c>
      <c r="C13" s="337" t="s">
        <v>874</v>
      </c>
      <c r="D13" s="331" t="str">
        <f t="array" ref="D13">INDEX(linkdados!$H$2:$H$433,MATCH(C13,linkdados!$B$2:$B$433,0))</f>
        <v>SIM</v>
      </c>
      <c r="E13" s="331" t="str">
        <f t="array" ref="E13">INDEX(linkdados!$H$2:$H$433,MATCH(C13,linkdados!$B$2:$B$433,0))</f>
        <v>SIM</v>
      </c>
      <c r="F13" s="331" t="str">
        <f t="array" ref="F13">INDEX(linkdados!$G$2:$G$433,MATCH(C13,linkdados!$B$2:$B$433,0))</f>
        <v>NORDESTE</v>
      </c>
      <c r="G13" s="369" t="s">
        <v>870</v>
      </c>
      <c r="H13" s="369" t="s">
        <v>871</v>
      </c>
      <c r="I13" s="331" t="s">
        <v>837</v>
      </c>
      <c r="J13" s="350">
        <v>10.0</v>
      </c>
      <c r="K13" s="337" t="s">
        <v>454</v>
      </c>
      <c r="L13" s="337" t="s">
        <v>456</v>
      </c>
      <c r="M13" s="337" t="s">
        <v>458</v>
      </c>
      <c r="N13" s="331" t="str">
        <f t="array" ref="N13">INDEX(linkdados!$I$2:$I$433,MATCH(C13,linkdados!$B$2:$B$433,0))</f>
        <v>RIO CAETÉ</v>
      </c>
      <c r="O13" s="357">
        <v>3310.56</v>
      </c>
      <c r="P13" s="357">
        <f>IF(M13="Fibra",pconfig!$G$7,pconfig!$G$7)</f>
        <v>285.71</v>
      </c>
      <c r="Q13" s="357">
        <f>IF(M13="Radio",pconfig!$G$9,pconfig!$G$8)</f>
        <v>316.45</v>
      </c>
      <c r="R13" s="357">
        <f t="shared" si="7"/>
        <v>3912.72</v>
      </c>
      <c r="S13" s="357">
        <f t="shared" si="3"/>
        <v>391.272</v>
      </c>
      <c r="T13" s="357">
        <f t="shared" si="4"/>
        <v>782.544</v>
      </c>
      <c r="U13" s="357">
        <f t="shared" si="5"/>
        <v>666.727488</v>
      </c>
      <c r="V13" s="357">
        <f t="shared" si="6"/>
        <v>5753.263488</v>
      </c>
    </row>
    <row r="14" ht="22.5" customHeight="1">
      <c r="A14" s="350">
        <f t="shared" si="1"/>
        <v>13</v>
      </c>
      <c r="B14" s="331" t="str">
        <f t="shared" si="2"/>
        <v>SEDAPSANTAREMPOSTO</v>
      </c>
      <c r="C14" s="334" t="s">
        <v>212</v>
      </c>
      <c r="D14" s="331" t="str">
        <f t="array" ref="D14">INDEX(linkdados!$H$2:$H$433,MATCH(C14,linkdados!$B$2:$B$433,0))</f>
        <v>SIM</v>
      </c>
      <c r="E14" s="331" t="str">
        <f t="array" ref="E14">INDEX(linkdados!$H$2:$H$433,MATCH(C14,linkdados!$B$2:$B$433,0))</f>
        <v>SIM</v>
      </c>
      <c r="F14" s="331" t="str">
        <f t="array" ref="F14">INDEX(linkdados!$G$2:$G$433,MATCH(C14,linkdados!$B$2:$B$433,0))</f>
        <v>BAIXO AMAZONAS</v>
      </c>
      <c r="G14" s="369" t="s">
        <v>875</v>
      </c>
      <c r="H14" s="369" t="s">
        <v>876</v>
      </c>
      <c r="I14" s="331" t="s">
        <v>837</v>
      </c>
      <c r="J14" s="350">
        <v>10.0</v>
      </c>
      <c r="K14" s="337" t="s">
        <v>454</v>
      </c>
      <c r="L14" s="337" t="s">
        <v>457</v>
      </c>
      <c r="M14" s="337" t="s">
        <v>458</v>
      </c>
      <c r="N14" s="331" t="str">
        <f t="array" ref="N14">INDEX(linkdados!$I$2:$I$433,MATCH(C14,linkdados!$B$2:$B$433,0))</f>
        <v>BAIXO AMAZONAS</v>
      </c>
      <c r="O14" s="357">
        <v>12250.36</v>
      </c>
      <c r="P14" s="357">
        <f>IF(M14="Fibra",pconfig!$G$7,pconfig!$G$7)</f>
        <v>285.71</v>
      </c>
      <c r="Q14" s="357">
        <f>IF(M14="Radio",pconfig!$G$9,pconfig!$G$8)</f>
        <v>316.45</v>
      </c>
      <c r="R14" s="357">
        <f t="shared" si="7"/>
        <v>12852.52</v>
      </c>
      <c r="S14" s="357">
        <f t="shared" si="3"/>
        <v>1285.252</v>
      </c>
      <c r="T14" s="357">
        <f t="shared" si="4"/>
        <v>2570.504</v>
      </c>
      <c r="U14" s="357">
        <f t="shared" si="5"/>
        <v>2190.069408</v>
      </c>
      <c r="V14" s="357">
        <f t="shared" si="6"/>
        <v>18898.34541</v>
      </c>
    </row>
    <row r="15" ht="22.5" customHeight="1">
      <c r="A15" s="350">
        <f t="shared" si="1"/>
        <v>14</v>
      </c>
      <c r="B15" s="331" t="str">
        <f t="shared" si="2"/>
        <v>SEMASBELEMEVENTO COP</v>
      </c>
      <c r="C15" s="334" t="s">
        <v>173</v>
      </c>
      <c r="D15" s="331" t="str">
        <f t="array" ref="D15">INDEX(linkdados!$H$2:$H$433,MATCH(C15,linkdados!$B$2:$B$433,0))</f>
        <v>SIM</v>
      </c>
      <c r="E15" s="331" t="str">
        <f t="array" ref="E15">INDEX(linkdados!$H$2:$H$433,MATCH(C15,linkdados!$B$2:$B$433,0))</f>
        <v>SIM</v>
      </c>
      <c r="F15" s="331" t="str">
        <f t="array" ref="F15">INDEX(linkdados!$G$2:$G$433,MATCH(C15,linkdados!$B$2:$B$433,0))</f>
        <v>METROPOLITANA</v>
      </c>
      <c r="G15" s="369" t="s">
        <v>877</v>
      </c>
      <c r="H15" s="369" t="s">
        <v>878</v>
      </c>
      <c r="I15" s="331" t="s">
        <v>837</v>
      </c>
      <c r="J15" s="350">
        <v>100.0</v>
      </c>
      <c r="K15" s="337" t="s">
        <v>454</v>
      </c>
      <c r="L15" s="337" t="s">
        <v>456</v>
      </c>
      <c r="M15" s="337" t="s">
        <v>458</v>
      </c>
      <c r="N15" s="331" t="str">
        <f t="array" ref="N15">INDEX(linkdados!$I$2:$I$433,MATCH(C15,linkdados!$B$2:$B$433,0))</f>
        <v>GUAJARÁ (RMB)</v>
      </c>
      <c r="O15" s="357">
        <v>7018.41</v>
      </c>
      <c r="P15" s="357">
        <f>IF(M15="Fibra",pconfig!$G$7,pconfig!$G$7)</f>
        <v>285.71</v>
      </c>
      <c r="Q15" s="357">
        <f>IF(M15="Radio",pconfig!$G$9,pconfig!$G$8)</f>
        <v>316.45</v>
      </c>
      <c r="R15" s="357">
        <f t="shared" si="7"/>
        <v>7620.57</v>
      </c>
      <c r="S15" s="357">
        <f t="shared" si="3"/>
        <v>762.057</v>
      </c>
      <c r="T15" s="357">
        <f t="shared" si="4"/>
        <v>1524.114</v>
      </c>
      <c r="U15" s="357">
        <f t="shared" si="5"/>
        <v>1298.545128</v>
      </c>
      <c r="V15" s="357">
        <f t="shared" si="6"/>
        <v>11205.28613</v>
      </c>
    </row>
    <row r="16" ht="22.5" customHeight="1">
      <c r="A16" s="350">
        <f t="shared" si="1"/>
        <v>15</v>
      </c>
      <c r="B16" s="331" t="str">
        <f t="shared" si="2"/>
        <v>BANPARÁBELEMBANPARÁ - ROTA C</v>
      </c>
      <c r="C16" s="334" t="s">
        <v>173</v>
      </c>
      <c r="D16" s="331" t="str">
        <f t="array" ref="D16">INDEX(linkdados!$H$2:$H$433,MATCH(C16,linkdados!$B$2:$B$433,0))</f>
        <v>SIM</v>
      </c>
      <c r="E16" s="331" t="str">
        <f t="array" ref="E16">INDEX(linkdados!$H$2:$H$433,MATCH(C16,linkdados!$B$2:$B$433,0))</f>
        <v>SIM</v>
      </c>
      <c r="F16" s="331" t="str">
        <f t="array" ref="F16">INDEX(linkdados!$G$2:$G$433,MATCH(C16,linkdados!$B$2:$B$433,0))</f>
        <v>METROPOLITANA</v>
      </c>
      <c r="G16" s="369" t="s">
        <v>879</v>
      </c>
      <c r="H16" s="369" t="s">
        <v>880</v>
      </c>
      <c r="I16" s="331" t="s">
        <v>837</v>
      </c>
      <c r="J16" s="350">
        <v>3500.0</v>
      </c>
      <c r="K16" s="337" t="s">
        <v>454</v>
      </c>
      <c r="L16" s="337" t="s">
        <v>456</v>
      </c>
      <c r="M16" s="337" t="s">
        <v>458</v>
      </c>
      <c r="N16" s="331" t="str">
        <f t="array" ref="N16">INDEX(linkdados!$I$2:$I$433,MATCH(C16,linkdados!$B$2:$B$433,0))</f>
        <v>GUAJARÁ (RMB)</v>
      </c>
      <c r="O16" s="357">
        <v>421782.3</v>
      </c>
      <c r="P16" s="357">
        <f>IF(M16="Fibra",pconfig!$G$7,pconfig!$G$7)</f>
        <v>285.71</v>
      </c>
      <c r="Q16" s="357">
        <f>IF(M16="Radio",pconfig!$G$9,pconfig!$G$8)</f>
        <v>316.45</v>
      </c>
      <c r="R16" s="357">
        <f t="shared" si="7"/>
        <v>422384.46</v>
      </c>
      <c r="S16" s="357">
        <f t="shared" si="3"/>
        <v>42238.446</v>
      </c>
      <c r="T16" s="357">
        <f t="shared" si="4"/>
        <v>84476.892</v>
      </c>
      <c r="U16" s="357">
        <f t="shared" si="5"/>
        <v>71974.31198</v>
      </c>
      <c r="V16" s="357">
        <f t="shared" si="6"/>
        <v>621074.11</v>
      </c>
    </row>
    <row r="17" ht="22.5" customHeight="1">
      <c r="A17" s="350">
        <f t="shared" si="1"/>
        <v>16</v>
      </c>
      <c r="B17" s="331" t="str">
        <f t="shared" si="2"/>
        <v>BANPARÁBELEMBANPARÁ - ROTA C</v>
      </c>
      <c r="C17" s="334" t="s">
        <v>173</v>
      </c>
      <c r="D17" s="331" t="str">
        <f t="array" ref="D17">INDEX(linkdados!$H$2:$H$433,MATCH(C17,linkdados!$B$2:$B$433,0))</f>
        <v>SIM</v>
      </c>
      <c r="E17" s="331" t="str">
        <f t="array" ref="E17">INDEX(linkdados!$H$2:$H$433,MATCH(C17,linkdados!$B$2:$B$433,0))</f>
        <v>SIM</v>
      </c>
      <c r="F17" s="331" t="str">
        <f t="array" ref="F17">INDEX(linkdados!$G$2:$G$433,MATCH(C17,linkdados!$B$2:$B$433,0))</f>
        <v>METROPOLITANA</v>
      </c>
      <c r="G17" s="369" t="s">
        <v>879</v>
      </c>
      <c r="H17" s="369" t="s">
        <v>880</v>
      </c>
      <c r="I17" s="331" t="s">
        <v>837</v>
      </c>
      <c r="J17" s="350">
        <v>3500.0</v>
      </c>
      <c r="K17" s="337" t="s">
        <v>454</v>
      </c>
      <c r="L17" s="337" t="s">
        <v>456</v>
      </c>
      <c r="M17" s="337" t="s">
        <v>458</v>
      </c>
      <c r="N17" s="331" t="str">
        <f t="array" ref="N17">INDEX(linkdados!$I$2:$I$433,MATCH(C17,linkdados!$B$2:$B$433,0))</f>
        <v>GUAJARÁ (RMB)</v>
      </c>
      <c r="O17" s="357">
        <v>517792.5</v>
      </c>
      <c r="P17" s="357">
        <f>IF(M17="Fibra",pconfig!$G$7,pconfig!$G$7)</f>
        <v>285.71</v>
      </c>
      <c r="Q17" s="357">
        <f>IF(M17="Radio",pconfig!$G$9,pconfig!$G$8)</f>
        <v>316.45</v>
      </c>
      <c r="R17" s="357">
        <f t="shared" si="7"/>
        <v>518394.66</v>
      </c>
      <c r="S17" s="357">
        <f t="shared" si="3"/>
        <v>51839.466</v>
      </c>
      <c r="T17" s="357">
        <f t="shared" si="4"/>
        <v>103678.932</v>
      </c>
      <c r="U17" s="357">
        <f t="shared" si="5"/>
        <v>88334.45006</v>
      </c>
      <c r="V17" s="357">
        <f t="shared" si="6"/>
        <v>762247.5081</v>
      </c>
    </row>
    <row r="18" ht="22.5" customHeight="1">
      <c r="A18" s="350">
        <f t="shared" si="1"/>
        <v>17</v>
      </c>
      <c r="B18" s="331" t="str">
        <f t="shared" si="2"/>
        <v>FASEPABELEMRemanejamento SEDE</v>
      </c>
      <c r="C18" s="334" t="s">
        <v>173</v>
      </c>
      <c r="D18" s="331" t="str">
        <f t="array" ref="D18">INDEX(linkdados!$H$2:$H$433,MATCH(C18,linkdados!$B$2:$B$433,0))</f>
        <v>SIM</v>
      </c>
      <c r="E18" s="331" t="str">
        <f t="array" ref="E18">INDEX(linkdados!$H$2:$H$433,MATCH(C18,linkdados!$B$2:$B$433,0))</f>
        <v>SIM</v>
      </c>
      <c r="F18" s="331" t="str">
        <f t="array" ref="F18">INDEX(linkdados!$G$2:$G$433,MATCH(C18,linkdados!$B$2:$B$433,0))</f>
        <v>METROPOLITANA</v>
      </c>
      <c r="G18" s="369" t="s">
        <v>884</v>
      </c>
      <c r="H18" s="369" t="s">
        <v>885</v>
      </c>
      <c r="I18" s="331" t="s">
        <v>837</v>
      </c>
      <c r="J18" s="350">
        <v>100.0</v>
      </c>
      <c r="K18" s="337" t="s">
        <v>454</v>
      </c>
      <c r="L18" s="337" t="s">
        <v>456</v>
      </c>
      <c r="M18" s="334" t="s">
        <v>50</v>
      </c>
      <c r="N18" s="331" t="str">
        <f t="array" ref="N18">INDEX(linkdados!$I$2:$I$433,MATCH(C18,linkdados!$B$2:$B$433,0))</f>
        <v>GUAJARÁ (RMB)</v>
      </c>
      <c r="O18" s="357">
        <v>6113.47</v>
      </c>
      <c r="P18" s="357">
        <f>IF(M18="Fibra",pconfig!$G$7,pconfig!$G$7)</f>
        <v>285.71</v>
      </c>
      <c r="Q18" s="357">
        <f>IF(M18="Radio",pconfig!$G$9,pconfig!$G$8)</f>
        <v>316.45</v>
      </c>
      <c r="R18" s="357">
        <f t="shared" si="7"/>
        <v>6715.63</v>
      </c>
      <c r="S18" s="357">
        <f t="shared" si="3"/>
        <v>671.563</v>
      </c>
      <c r="T18" s="357">
        <f t="shared" si="4"/>
        <v>1343.126</v>
      </c>
      <c r="U18" s="357">
        <f t="shared" si="5"/>
        <v>1144.343352</v>
      </c>
      <c r="V18" s="357">
        <f t="shared" si="6"/>
        <v>9874.662352</v>
      </c>
    </row>
    <row r="19" ht="22.5" customHeight="1">
      <c r="A19" s="350">
        <f t="shared" si="1"/>
        <v>18</v>
      </c>
      <c r="B19" s="331" t="str">
        <f t="shared" si="2"/>
        <v>SEOPBELEM-</v>
      </c>
      <c r="C19" s="334" t="s">
        <v>173</v>
      </c>
      <c r="D19" s="331" t="str">
        <f t="array" ref="D19">INDEX(linkdados!$H$2:$H$433,MATCH(C19,linkdados!$B$2:$B$433,0))</f>
        <v>SIM</v>
      </c>
      <c r="E19" s="331" t="str">
        <f t="array" ref="E19">INDEX(linkdados!$H$2:$H$433,MATCH(C19,linkdados!$B$2:$B$433,0))</f>
        <v>SIM</v>
      </c>
      <c r="F19" s="331" t="str">
        <f t="array" ref="F19">INDEX(linkdados!$G$2:$G$433,MATCH(C19,linkdados!$B$2:$B$433,0))</f>
        <v>METROPOLITANA</v>
      </c>
      <c r="G19" s="369" t="s">
        <v>889</v>
      </c>
      <c r="H19" s="369" t="s">
        <v>106</v>
      </c>
      <c r="I19" s="331" t="s">
        <v>837</v>
      </c>
      <c r="J19" s="350"/>
      <c r="K19" s="337" t="s">
        <v>454</v>
      </c>
      <c r="L19" s="337" t="s">
        <v>456</v>
      </c>
      <c r="M19" s="334" t="s">
        <v>50</v>
      </c>
      <c r="N19" s="331" t="str">
        <f t="array" ref="N19">INDEX(linkdados!$I$2:$I$433,MATCH(C19,linkdados!$B$2:$B$433,0))</f>
        <v>GUAJARÁ (RMB)</v>
      </c>
      <c r="O19" s="357">
        <v>372202.0</v>
      </c>
      <c r="P19" s="357">
        <f>IF(M19="Fibra",pconfig!$G$7,pconfig!$G$7)</f>
        <v>285.71</v>
      </c>
      <c r="Q19" s="357">
        <f>IF(M19="Radio",pconfig!$G$9,pconfig!$G$8)</f>
        <v>316.45</v>
      </c>
      <c r="R19" s="357">
        <f t="shared" si="7"/>
        <v>372804.16</v>
      </c>
      <c r="S19" s="357">
        <f t="shared" si="3"/>
        <v>37280.416</v>
      </c>
      <c r="T19" s="357">
        <f t="shared" si="4"/>
        <v>74560.832</v>
      </c>
      <c r="U19" s="357">
        <f t="shared" si="5"/>
        <v>63525.82886</v>
      </c>
      <c r="V19" s="357">
        <f t="shared" si="6"/>
        <v>548171.2369</v>
      </c>
    </row>
    <row r="20" ht="22.5" customHeight="1">
      <c r="A20" s="350">
        <f t="shared" si="1"/>
        <v>19</v>
      </c>
      <c r="B20" s="331" t="str">
        <f t="shared" si="2"/>
        <v>SEBRAEBREVESRemanejamento</v>
      </c>
      <c r="C20" s="337" t="s">
        <v>719</v>
      </c>
      <c r="D20" s="331" t="str">
        <f t="array" ref="D20">INDEX(linkdados!$H$2:$H$433,MATCH(C20,linkdados!$B$2:$B$433,0))</f>
        <v>SIM</v>
      </c>
      <c r="E20" s="331" t="str">
        <f t="array" ref="E20">INDEX(linkdados!$H$2:$H$433,MATCH(C20,linkdados!$B$2:$B$433,0))</f>
        <v>SIM</v>
      </c>
      <c r="F20" s="331" t="str">
        <f t="array" ref="F20">INDEX(linkdados!$G$2:$G$433,MATCH(C20,linkdados!$B$2:$B$433,0))</f>
        <v>MARAJÓ</v>
      </c>
      <c r="G20" s="369" t="s">
        <v>890</v>
      </c>
      <c r="H20" s="370" t="s">
        <v>849</v>
      </c>
      <c r="I20" s="331" t="s">
        <v>837</v>
      </c>
      <c r="J20" s="350">
        <v>80.0</v>
      </c>
      <c r="K20" s="337" t="s">
        <v>454</v>
      </c>
      <c r="L20" s="337" t="s">
        <v>456</v>
      </c>
      <c r="M20" s="334" t="s">
        <v>50</v>
      </c>
      <c r="N20" s="331" t="str">
        <f t="array" ref="N20">INDEX(linkdados!$I$2:$I$433,MATCH(C20,linkdados!$B$2:$B$433,0))</f>
        <v>MARAJÓ</v>
      </c>
      <c r="O20" s="357">
        <v>4263.0</v>
      </c>
      <c r="P20" s="357">
        <f>IF(M20="Fibra",pconfig!$G$7,pconfig!$G$7)</f>
        <v>285.71</v>
      </c>
      <c r="Q20" s="357">
        <f>IF(M20="Radio",pconfig!$G$9,pconfig!$G$8)</f>
        <v>316.45</v>
      </c>
      <c r="R20" s="357">
        <f t="shared" si="7"/>
        <v>4865.16</v>
      </c>
      <c r="S20" s="357">
        <f t="shared" si="3"/>
        <v>486.516</v>
      </c>
      <c r="T20" s="357">
        <f t="shared" si="4"/>
        <v>973.032</v>
      </c>
      <c r="U20" s="357">
        <f t="shared" si="5"/>
        <v>829.023264</v>
      </c>
      <c r="V20" s="357">
        <f t="shared" si="6"/>
        <v>7153.731264</v>
      </c>
    </row>
    <row r="21" ht="22.5" customHeight="1">
      <c r="A21" s="350">
        <f t="shared" si="1"/>
        <v>20</v>
      </c>
      <c r="B21" s="331" t="str">
        <f t="shared" si="2"/>
        <v>CINBESAMUANASede</v>
      </c>
      <c r="C21" s="334" t="s">
        <v>891</v>
      </c>
      <c r="D21" s="331" t="str">
        <f t="array" ref="D21">INDEX(linkdados!$H$2:$H$433,MATCH(C21,linkdados!$B$2:$B$433,0))</f>
        <v>SIM</v>
      </c>
      <c r="E21" s="331" t="str">
        <f t="array" ref="E21">INDEX(linkdados!$H$2:$H$433,MATCH(C21,linkdados!$B$2:$B$433,0))</f>
        <v>SIM</v>
      </c>
      <c r="F21" s="331" t="str">
        <f t="array" ref="F21">INDEX(linkdados!$G$2:$G$433,MATCH(C21,linkdados!$B$2:$B$433,0))</f>
        <v>MARAJÓ</v>
      </c>
      <c r="G21" s="370" t="s">
        <v>824</v>
      </c>
      <c r="H21" s="370" t="s">
        <v>575</v>
      </c>
      <c r="I21" s="331" t="s">
        <v>837</v>
      </c>
      <c r="J21" s="350"/>
      <c r="K21" s="334" t="s">
        <v>454</v>
      </c>
      <c r="L21" s="334" t="s">
        <v>456</v>
      </c>
      <c r="M21" s="334" t="s">
        <v>50</v>
      </c>
      <c r="N21" s="331" t="str">
        <f t="array" ref="N21">INDEX(linkdados!$I$2:$I$433,MATCH(C21,linkdados!$B$2:$B$433,0))</f>
        <v>MARAJÓ</v>
      </c>
      <c r="O21" s="357">
        <v>18226.35</v>
      </c>
      <c r="P21" s="357">
        <f>IF(M21="Fibra",pconfig!$G$7,pconfig!$G$7)</f>
        <v>285.71</v>
      </c>
      <c r="Q21" s="357">
        <f>IF(M21="Radio",pconfig!$G$9,pconfig!$G$8)</f>
        <v>316.45</v>
      </c>
      <c r="R21" s="357">
        <f t="shared" si="7"/>
        <v>18828.51</v>
      </c>
      <c r="S21" s="357">
        <f t="shared" si="3"/>
        <v>1882.851</v>
      </c>
      <c r="T21" s="357">
        <f t="shared" si="4"/>
        <v>3765.702</v>
      </c>
      <c r="U21" s="357">
        <f t="shared" si="5"/>
        <v>3208.378104</v>
      </c>
      <c r="V21" s="357">
        <f t="shared" si="6"/>
        <v>27685.4411</v>
      </c>
    </row>
    <row r="22" ht="22.5" customHeight="1">
      <c r="A22" s="350">
        <f t="shared" si="1"/>
        <v>21</v>
      </c>
      <c r="B22" s="331" t="str">
        <f t="shared" si="2"/>
        <v>CINBESAPONTA DE PEDRASSede</v>
      </c>
      <c r="C22" s="334" t="s">
        <v>892</v>
      </c>
      <c r="D22" s="331" t="str">
        <f t="array" ref="D22">INDEX(linkdados!$H$2:$H$433,MATCH(C22,linkdados!$B$2:$B$433,0))</f>
        <v>SIM</v>
      </c>
      <c r="E22" s="331" t="str">
        <f t="array" ref="E22">INDEX(linkdados!$H$2:$H$433,MATCH(C22,linkdados!$B$2:$B$433,0))</f>
        <v>SIM</v>
      </c>
      <c r="F22" s="331" t="str">
        <f t="array" ref="F22">INDEX(linkdados!$G$2:$G$433,MATCH(C22,linkdados!$B$2:$B$433,0))</f>
        <v>MARAJÓ</v>
      </c>
      <c r="G22" s="370" t="s">
        <v>824</v>
      </c>
      <c r="H22" s="370" t="s">
        <v>575</v>
      </c>
      <c r="I22" s="331" t="s">
        <v>837</v>
      </c>
      <c r="J22" s="350"/>
      <c r="K22" s="334" t="s">
        <v>454</v>
      </c>
      <c r="L22" s="334" t="s">
        <v>456</v>
      </c>
      <c r="M22" s="334" t="s">
        <v>59</v>
      </c>
      <c r="N22" s="331" t="str">
        <f t="array" ref="N22">INDEX(linkdados!$I$2:$I$433,MATCH(C22,linkdados!$B$2:$B$433,0))</f>
        <v>MARAJÓ</v>
      </c>
      <c r="O22" s="357">
        <v>6498.7</v>
      </c>
      <c r="P22" s="357">
        <f>IF(M22="Fibra",pconfig!$G$7,pconfig!$G$7)</f>
        <v>285.71</v>
      </c>
      <c r="Q22" s="357">
        <f>IF(M22="Radio",pconfig!$G$9,pconfig!$G$8)</f>
        <v>285.71</v>
      </c>
      <c r="R22" s="357">
        <f t="shared" si="7"/>
        <v>7070.12</v>
      </c>
      <c r="S22" s="357">
        <f t="shared" si="3"/>
        <v>707.012</v>
      </c>
      <c r="T22" s="357">
        <f t="shared" si="4"/>
        <v>1414.024</v>
      </c>
      <c r="U22" s="357">
        <f t="shared" si="5"/>
        <v>1204.748448</v>
      </c>
      <c r="V22" s="357">
        <f t="shared" si="6"/>
        <v>10395.90445</v>
      </c>
    </row>
  </sheetData>
  <dataValidations>
    <dataValidation type="list" allowBlank="1" sqref="K2:K22">
      <formula1>"PREVISTO,ATIVO"</formula1>
    </dataValidation>
    <dataValidation type="list" allowBlank="1" showErrorMessage="1" sqref="I2:I7 I9:I22">
      <formula1>"Sim,Não"</formula1>
    </dataValidation>
    <dataValidation type="list" allowBlank="1" sqref="L2:L22">
      <formula1>#REF!</formula1>
    </dataValidation>
    <dataValidation type="list" allowBlank="1" sqref="C2:C22">
      <formula1>municipios</formula1>
    </dataValidation>
    <dataValidation type="list" allowBlank="1" sqref="M2:M22">
      <formula1>#REF!</formula1>
    </dataValidation>
  </dataValidations>
  <drawing r:id="rId1"/>
  <tableParts count="1">
    <tablePart r:id="rId3"/>
  </tableParts>
</worksheet>
</file>